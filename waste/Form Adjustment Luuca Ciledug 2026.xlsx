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R 111225" sheetId="1" r:id="rId4"/>
    <sheet state="visible" name="MASTER DATA" sheetId="2" r:id="rId5"/>
    <sheet state="visible" name="DASHBOARD" sheetId="3" r:id="rId6"/>
    <sheet state="hidden" name="Sheet3" sheetId="4" r:id="rId7"/>
    <sheet state="hidden" name="ADJUSTMENT DESEMBER JC CILEDUG" sheetId="5" r:id="rId8"/>
    <sheet state="visible" name="PER APRIL TGL 5" sheetId="6" r:id="rId9"/>
    <sheet state="visible" name="5 APRIL - 30 APRIL 2026" sheetId="7" r:id="rId10"/>
    <sheet state="visible" name="1 MEI - 30 MEI" sheetId="8" r:id="rId11"/>
    <sheet state="visible" name="JUNI 2026" sheetId="9" r:id="rId12"/>
    <sheet state="hidden" name="1JUNI-31" sheetId="10" r:id="rId13"/>
    <sheet state="visible" name="JULI 2026" sheetId="11" r:id="rId14"/>
    <sheet state="visible" name="AGUSTUS 26" sheetId="12" r:id="rId15"/>
    <sheet state="visible" name="SEPTEMBER 26" sheetId="13" r:id="rId16"/>
    <sheet state="visible" name="OKTOBER 2026" sheetId="14" r:id="rId17"/>
  </sheets>
  <definedNames>
    <definedName hidden="1" localSheetId="9" name="_xlnm._FilterDatabase">'1JUNI-31'!$A$1:$AA$200</definedName>
    <definedName hidden="1" localSheetId="10" name="_xlnm._FilterDatabase">'JULI 2026'!$A$6:$AA$1000</definedName>
  </definedNames>
  <calcPr/>
  <extLst>
    <ext uri="GoogleSheetsCustomDataVersion2">
      <go:sheetsCustomData xmlns:go="http://customooxmlschemas.google.com/" r:id="rId18" roundtripDataChecksum="3uV+AHYefUI72JTAsed4P0B1+YqD5QP4hyYX+VBeQoo="/>
    </ext>
  </extLst>
</workbook>
</file>

<file path=xl/sharedStrings.xml><?xml version="1.0" encoding="utf-8"?>
<sst xmlns="http://schemas.openxmlformats.org/spreadsheetml/2006/main" count="8376" uniqueCount="1186">
  <si>
    <t>Nama Item</t>
  </si>
  <si>
    <t>FORM ADJUSTMENT</t>
  </si>
  <si>
    <t>TANGGAL</t>
  </si>
  <si>
    <t>Kode Item</t>
  </si>
  <si>
    <t>Kelompok</t>
  </si>
  <si>
    <t>Sat</t>
  </si>
  <si>
    <t>NAMA PRODUK</t>
  </si>
  <si>
    <t>KODE CSA</t>
  </si>
  <si>
    <t>JENIS</t>
  </si>
  <si>
    <t>SATUAN CSA</t>
  </si>
  <si>
    <t>JUMLAH</t>
  </si>
  <si>
    <t>ALASAN WASTE</t>
  </si>
  <si>
    <t>USER</t>
  </si>
  <si>
    <t>GREENFIELD FRESH MILK (SALAH)</t>
  </si>
  <si>
    <t>POWDER CHOCOLATE 1KG</t>
  </si>
  <si>
    <t>B004</t>
  </si>
  <si>
    <t>BAHAN BAKU LUUCA</t>
  </si>
  <si>
    <t>GR</t>
  </si>
  <si>
    <t>B001-110</t>
  </si>
  <si>
    <t>PT. KREASI LIMA CAHAYA</t>
  </si>
  <si>
    <t>POWDER YOGHURT</t>
  </si>
  <si>
    <t>LUUCA CILEDUG</t>
  </si>
  <si>
    <t>POWDER ICE CREAM YOGHURT</t>
  </si>
  <si>
    <t>POWDER ICE CREAM CHOCOLATE</t>
  </si>
  <si>
    <t>FRISIAN FLAG UHT FULL CREAM 946ML</t>
  </si>
  <si>
    <t xml:space="preserve">BULAN, TAHUN: </t>
  </si>
  <si>
    <t>ML</t>
  </si>
  <si>
    <t>SIMPLE SYRUP 3KG</t>
  </si>
  <si>
    <t>GRANOLA</t>
  </si>
  <si>
    <t>PEANUT 1 kg</t>
  </si>
  <si>
    <t>PEPERO ALMOND 32GR</t>
  </si>
  <si>
    <t>CARAMEL CHIP CALLEBAUT GOLD 2.5KG</t>
  </si>
  <si>
    <t>CHOCO DIP SAUCE BELLA 1KG</t>
  </si>
  <si>
    <t>BUAH LONGAN 565GR</t>
  </si>
  <si>
    <t>NATA DE COCO KARA 1KGX6</t>
  </si>
  <si>
    <t>BB-100001</t>
  </si>
  <si>
    <t>WAFFLE CONE</t>
  </si>
  <si>
    <t>PCS</t>
  </si>
  <si>
    <t>SLEEVE CONE - LUUCA</t>
  </si>
  <si>
    <t>P005</t>
  </si>
  <si>
    <t>PACKAGING LUUCA</t>
  </si>
  <si>
    <t>CUP PET 12OZ LUUCA</t>
  </si>
  <si>
    <t>KATEGORI</t>
  </si>
  <si>
    <t>SENDOK ICE CREAM</t>
  </si>
  <si>
    <t>AUDIT</t>
  </si>
  <si>
    <t>LID DOME PET</t>
  </si>
  <si>
    <t>KANTONG SMALL - 15</t>
  </si>
  <si>
    <t>KANTONG MEDIUM - 20</t>
  </si>
  <si>
    <t>KANTONG LARGE - 25</t>
  </si>
  <si>
    <t>BB-100002</t>
  </si>
  <si>
    <t>CERES RAINBOW 0.5 kg</t>
  </si>
  <si>
    <t>CHOCO CRISPEARLS 2.5KG</t>
  </si>
  <si>
    <t>BUTTER OIL 2L</t>
  </si>
  <si>
    <t>BUAH KIWI</t>
  </si>
  <si>
    <t>BB-100003</t>
  </si>
  <si>
    <t>POETRI BALI KACANG MEDAN 75GR</t>
  </si>
  <si>
    <t>POETRI BALI KACANG BAWANG SPICY 75GR</t>
  </si>
  <si>
    <t>POETRI BALI KACANG BAWANG 75GR</t>
  </si>
  <si>
    <t>POETRI BALI CASHEW ORI 75GR</t>
  </si>
  <si>
    <t>BB-100004</t>
  </si>
  <si>
    <t>POETRI BALI CASHEW CRISPY 75GR</t>
  </si>
  <si>
    <t>POETRI BALI KACANG BALI MANIS 75GR</t>
  </si>
  <si>
    <t>POETRI BALI KACANG BALI ASIN 75GR</t>
  </si>
  <si>
    <t>BB-100006</t>
  </si>
  <si>
    <t>POPCORN 70GR</t>
  </si>
  <si>
    <t>CUP PP 16OZ LUUCA</t>
  </si>
  <si>
    <t>POWDER ICE CREAM STRAWBERRY</t>
  </si>
  <si>
    <t>KRAFT CHEDDAR CHEESE 150GR</t>
  </si>
  <si>
    <t>BB-100007</t>
  </si>
  <si>
    <t>POCKY STRAWBERRY 45GR</t>
  </si>
  <si>
    <t>PAPERBAG</t>
  </si>
  <si>
    <t>CORN FLAKES 150GR</t>
  </si>
  <si>
    <t>GRANOLA Luuca</t>
  </si>
  <si>
    <t>BB-100012</t>
  </si>
  <si>
    <t>DARK CHOCOLATE 1KG</t>
  </si>
  <si>
    <t>ORANGE SYRUP 1,2KG</t>
  </si>
  <si>
    <t>DOUGH - PAIN AU CHOCOLATE</t>
  </si>
  <si>
    <t>DOUGH - PAIN AU CHEESE</t>
  </si>
  <si>
    <t>BB-100013</t>
  </si>
  <si>
    <t>DOUGH - CLASSIC RIBBON</t>
  </si>
  <si>
    <t>DOUGH - CLASSIC CROISSANT</t>
  </si>
  <si>
    <t>MINI COOKIE</t>
  </si>
  <si>
    <t>GULA DONAT</t>
  </si>
  <si>
    <t>PEPERO ALMOND SALAH</t>
  </si>
  <si>
    <t>BB-100014</t>
  </si>
  <si>
    <t>GOLDENFILL STRAWBERRY JAM</t>
  </si>
  <si>
    <t>COOKIE CRUMB</t>
  </si>
  <si>
    <t>WHITE CHOCOLATE</t>
  </si>
  <si>
    <t>BB-100020</t>
  </si>
  <si>
    <t>MILK POWDER</t>
  </si>
  <si>
    <t>GULA HALUS (LUCCA)</t>
  </si>
  <si>
    <t>KISMIS SYRUP 750M</t>
  </si>
  <si>
    <t>PISTACHIO SYRUP 750ML</t>
  </si>
  <si>
    <t>LID KABEL BENING</t>
  </si>
  <si>
    <t>PAPER CUP 12OZ LUUCA</t>
  </si>
  <si>
    <t>KARDUS PACKAGING PASTRY</t>
  </si>
  <si>
    <t>POWDER ICE CREAM HOKKAIDO MATCHA</t>
  </si>
  <si>
    <t>BB-100021</t>
  </si>
  <si>
    <t>PEPPERMINT SYRUP 750ML</t>
  </si>
  <si>
    <t>HAZELNUT SYRUP 750ML</t>
  </si>
  <si>
    <t>SEDOTAN HITAM KECIL 250 PCS/PACK</t>
  </si>
  <si>
    <t>BB-100022</t>
  </si>
  <si>
    <t>CUP INJECTION 400ML FROSTED BLACK VICTORY - LUUCA</t>
  </si>
  <si>
    <t>LID KABEL INJECTION VICTORY BLACK - LUUCA</t>
  </si>
  <si>
    <t>STRAWBERRY JAM 1,2KG</t>
  </si>
  <si>
    <t>BB-100023</t>
  </si>
  <si>
    <t>KACANG ALMOND 1KG</t>
  </si>
  <si>
    <t>COFFEE BEANS - LUUCA</t>
  </si>
  <si>
    <t>BUAH STRAWBERRY</t>
  </si>
  <si>
    <t>BUAH ANGGUR</t>
  </si>
  <si>
    <t>BB-100024</t>
  </si>
  <si>
    <t>BUAH LEMON</t>
  </si>
  <si>
    <t>ES BATU</t>
  </si>
  <si>
    <t>Romeo Chocolate</t>
  </si>
  <si>
    <t>L001</t>
  </si>
  <si>
    <t>LUCCA MENU</t>
  </si>
  <si>
    <t>PRS</t>
  </si>
  <si>
    <t>Pisa Chocolate</t>
  </si>
  <si>
    <t>Verona Chocolate</t>
  </si>
  <si>
    <t>BB-100035</t>
  </si>
  <si>
    <t>Ferara Chocolate</t>
  </si>
  <si>
    <t>Venesia Chocolate</t>
  </si>
  <si>
    <t>Siena Chocolate</t>
  </si>
  <si>
    <t>Juliet Yoghurt</t>
  </si>
  <si>
    <t>BB-100041</t>
  </si>
  <si>
    <t>Napoli Yoghurt</t>
  </si>
  <si>
    <t>Milan Yoghurt</t>
  </si>
  <si>
    <t>Padova Yoguhrt</t>
  </si>
  <si>
    <t>BB-100043</t>
  </si>
  <si>
    <t>Florence Yoghurt</t>
  </si>
  <si>
    <t>Catania Yoghurt</t>
  </si>
  <si>
    <t>Bologna Yoghurt</t>
  </si>
  <si>
    <t>POETRI BALI KACANG MEDAN 75GR Salah</t>
  </si>
  <si>
    <t>BB-100054</t>
  </si>
  <si>
    <t>Fuji Matcha</t>
  </si>
  <si>
    <t>Osaka Matcha</t>
  </si>
  <si>
    <t>Nara Matcha</t>
  </si>
  <si>
    <t>Akita Matcha</t>
  </si>
  <si>
    <t>POETRI BALI KACANG BAWANG SPICY 75GR Salah</t>
  </si>
  <si>
    <t>BB-100055</t>
  </si>
  <si>
    <t>Aomori Matcha</t>
  </si>
  <si>
    <t>Meguro Matcha</t>
  </si>
  <si>
    <t>Iora Strawberry</t>
  </si>
  <si>
    <t>Monza Strawberry</t>
  </si>
  <si>
    <t>POETRI BALI KACANG BAWANG 75GR SALAH</t>
  </si>
  <si>
    <t>BB-100056</t>
  </si>
  <si>
    <t>Forla Strawberry</t>
  </si>
  <si>
    <t>Novara Strawberry</t>
  </si>
  <si>
    <t>Glamora Strawberry</t>
  </si>
  <si>
    <t>Pavia Strawberry</t>
  </si>
  <si>
    <t>POETRI BALI CASHEW ORI 75GR Salah</t>
  </si>
  <si>
    <t>BB-100057</t>
  </si>
  <si>
    <t>Latte Amore (HOT)</t>
  </si>
  <si>
    <t>Latte Amore (Iced)</t>
  </si>
  <si>
    <t>Brew &amp; Cacao (HOT)</t>
  </si>
  <si>
    <t>Brew &amp; Cacao (Iced)</t>
  </si>
  <si>
    <t>POETRI BALI CASHEW CRISPY 75GR SALAH</t>
  </si>
  <si>
    <t>BB-100058</t>
  </si>
  <si>
    <t>Classico (HOT)</t>
  </si>
  <si>
    <t>Classico (Iced)</t>
  </si>
  <si>
    <t>Nutcracker Coffe (Iced)</t>
  </si>
  <si>
    <t>Citrus Noir (HOT)</t>
  </si>
  <si>
    <t>Citrus Noir (Iced)</t>
  </si>
  <si>
    <t>POETRI BALI KACANG BALI MANIS 75GR SALAH</t>
  </si>
  <si>
    <t>BB-100059</t>
  </si>
  <si>
    <t>Belgian Choco (HOT)</t>
  </si>
  <si>
    <t>Belgian Choco (Iced)</t>
  </si>
  <si>
    <t>POETRI BALI KACANG BALI ASIN 75GR SALAH</t>
  </si>
  <si>
    <t>BB-100060</t>
  </si>
  <si>
    <t>Choco Breeze (Iced)</t>
  </si>
  <si>
    <t>Cioccolato (HOT)</t>
  </si>
  <si>
    <t>Cioccolato (Iced)</t>
  </si>
  <si>
    <t>Cacao Barrel (HOT)</t>
  </si>
  <si>
    <t>Cacao Barrel (Iced)</t>
  </si>
  <si>
    <t>BB-100132</t>
  </si>
  <si>
    <t>WIP CHOCOLATE ICE CREAM</t>
  </si>
  <si>
    <t>P006</t>
  </si>
  <si>
    <t>PRODUKSI STOK LUUCA</t>
  </si>
  <si>
    <t>WIP YOGURT ICE CREAM</t>
  </si>
  <si>
    <t>WIP MATCHA ICE CREAM</t>
  </si>
  <si>
    <t>BB-100149</t>
  </si>
  <si>
    <t>WIP STRAWBERRY ICE CREAM</t>
  </si>
  <si>
    <t>WIP CHOCOLATE SAUCE</t>
  </si>
  <si>
    <t>WIP CARAMEL SAUCE</t>
  </si>
  <si>
    <t>WIP STRAWBERRY SAUCE</t>
  </si>
  <si>
    <t>BB-100169</t>
  </si>
  <si>
    <t>WIP CHOCOLATE BASE</t>
  </si>
  <si>
    <t>POCKY STRAWBERRY Salah</t>
  </si>
  <si>
    <t>BB-100170</t>
  </si>
  <si>
    <t>BB-100201</t>
  </si>
  <si>
    <t>BB-100216</t>
  </si>
  <si>
    <t>BB-100239</t>
  </si>
  <si>
    <t>BB-100250</t>
  </si>
  <si>
    <t>BB-100251</t>
  </si>
  <si>
    <t>BB-100252</t>
  </si>
  <si>
    <t>BB-100253</t>
  </si>
  <si>
    <t>BB-100254</t>
  </si>
  <si>
    <t>BB-100255</t>
  </si>
  <si>
    <t>BB-100256</t>
  </si>
  <si>
    <t>BB-100257</t>
  </si>
  <si>
    <t>BB-100258</t>
  </si>
  <si>
    <t>BB-100259</t>
  </si>
  <si>
    <t>BB-100260</t>
  </si>
  <si>
    <t>BB-100267</t>
  </si>
  <si>
    <t>BB-100280</t>
  </si>
  <si>
    <t>BB-100309</t>
  </si>
  <si>
    <t>BB-100316</t>
  </si>
  <si>
    <t>BB-100317</t>
  </si>
  <si>
    <t>BB-100345</t>
  </si>
  <si>
    <t>BB-100389</t>
  </si>
  <si>
    <t>BB-100400</t>
  </si>
  <si>
    <t>BB-100500</t>
  </si>
  <si>
    <t>BB-100501</t>
  </si>
  <si>
    <t>BB-100502</t>
  </si>
  <si>
    <t>BB-100503</t>
  </si>
  <si>
    <t>BB-100504</t>
  </si>
  <si>
    <t>Air Mineral Luuca</t>
  </si>
  <si>
    <t>BB-100505</t>
  </si>
  <si>
    <t>KACANG PISTACHIO 500GR</t>
  </si>
  <si>
    <t>BB-100506</t>
  </si>
  <si>
    <t>PEPERO ALMOND</t>
  </si>
  <si>
    <t>BB-100507</t>
  </si>
  <si>
    <t>POETRI BALI KACANG MEDAN</t>
  </si>
  <si>
    <t>BB-100508</t>
  </si>
  <si>
    <t>POETRI BALI KACANG KAPRI SPICY</t>
  </si>
  <si>
    <t>BB-100509</t>
  </si>
  <si>
    <t>POETRI BALI KACANG KAPRI</t>
  </si>
  <si>
    <t>BB-100510</t>
  </si>
  <si>
    <t>POETRI BALI CASHEW ORI</t>
  </si>
  <si>
    <t>BB-100511</t>
  </si>
  <si>
    <t>POETRI BALI CASHEW CRISPY</t>
  </si>
  <si>
    <t>BB-100512</t>
  </si>
  <si>
    <t>POETRI BALI KACANG MANIS</t>
  </si>
  <si>
    <t>BB-100513</t>
  </si>
  <si>
    <t>POETRI BALI KACANG BALI ASIN</t>
  </si>
  <si>
    <t>BB-100514</t>
  </si>
  <si>
    <t>Pocky Strawberry</t>
  </si>
  <si>
    <t>BB-100515</t>
  </si>
  <si>
    <t>TELUR LUUCA</t>
  </si>
  <si>
    <t>BB-100517</t>
  </si>
  <si>
    <t>WHIPPING CREAM LUUCA</t>
  </si>
  <si>
    <t>BB-100518</t>
  </si>
  <si>
    <t>PLASTIK 17X25</t>
  </si>
  <si>
    <t>BB-100519</t>
  </si>
  <si>
    <t>WIP WHITE CHOCOLATE</t>
  </si>
  <si>
    <t>BB-100520</t>
  </si>
  <si>
    <t>Kitkat Spread</t>
  </si>
  <si>
    <t>BB-100521</t>
  </si>
  <si>
    <t>JASMINE SYRUP 750ML</t>
  </si>
  <si>
    <t>BB-100522</t>
  </si>
  <si>
    <t>POWDER MATCHA 500GR LUUCA</t>
  </si>
  <si>
    <t>BB-100523</t>
  </si>
  <si>
    <t>POWDER ICE CREAM ORIGINAL</t>
  </si>
  <si>
    <t>BB-100524</t>
  </si>
  <si>
    <t>PASTA PISTACHIO</t>
  </si>
  <si>
    <t>BB-100525</t>
  </si>
  <si>
    <t>Non Dairy Creamer Luuca</t>
  </si>
  <si>
    <t>BB-100526</t>
  </si>
  <si>
    <t>GREENFIELD</t>
  </si>
  <si>
    <t>BB-100527</t>
  </si>
  <si>
    <t>Cup Luuca Salah</t>
  </si>
  <si>
    <t>L001-001</t>
  </si>
  <si>
    <t>L001-002</t>
  </si>
  <si>
    <t>L001-003</t>
  </si>
  <si>
    <t>Ferrara Chocolate</t>
  </si>
  <si>
    <t>L001-004</t>
  </si>
  <si>
    <t>L001-005</t>
  </si>
  <si>
    <t>Sienna Chocolate</t>
  </si>
  <si>
    <t>L001-006</t>
  </si>
  <si>
    <t>Juliet Yogurt</t>
  </si>
  <si>
    <t>L001-007</t>
  </si>
  <si>
    <t>Napoli Yogurt</t>
  </si>
  <si>
    <t>L001-008</t>
  </si>
  <si>
    <t>L001-009</t>
  </si>
  <si>
    <t>Padova Yogurt</t>
  </si>
  <si>
    <t>L001-010</t>
  </si>
  <si>
    <t>Florence Yogurt</t>
  </si>
  <si>
    <t>L001-011</t>
  </si>
  <si>
    <t>Catania Yogurt</t>
  </si>
  <si>
    <t>L001-012</t>
  </si>
  <si>
    <t>Bologna Yogurt</t>
  </si>
  <si>
    <t>L001-013</t>
  </si>
  <si>
    <t>L001-014</t>
  </si>
  <si>
    <t>L001-015</t>
  </si>
  <si>
    <t>L001-016</t>
  </si>
  <si>
    <t>L001-017</t>
  </si>
  <si>
    <t>WIP BLENDED MILKY</t>
  </si>
  <si>
    <t>L001-018</t>
  </si>
  <si>
    <t>L001-019</t>
  </si>
  <si>
    <t>L001-020</t>
  </si>
  <si>
    <t>L001-021</t>
  </si>
  <si>
    <t>L001-022</t>
  </si>
  <si>
    <t>L001-023</t>
  </si>
  <si>
    <t>Training</t>
  </si>
  <si>
    <t>Fadli</t>
  </si>
  <si>
    <t>L001-024</t>
  </si>
  <si>
    <t>WIP MILK FOAM</t>
  </si>
  <si>
    <t>L001-025</t>
  </si>
  <si>
    <t>Latte Amore - Hot</t>
  </si>
  <si>
    <t>L001-026</t>
  </si>
  <si>
    <t>Latte Amore - Ice</t>
  </si>
  <si>
    <t>L001-027</t>
  </si>
  <si>
    <t>SIZZLING FRIED CHICKEN STEAK</t>
  </si>
  <si>
    <t>Brew &amp; Cacao - Hot</t>
  </si>
  <si>
    <t>L001-028</t>
  </si>
  <si>
    <t>Brew &amp; Cacao - Ice</t>
  </si>
  <si>
    <t>L001-029</t>
  </si>
  <si>
    <t>Classico - Hot</t>
  </si>
  <si>
    <t>L001-030</t>
  </si>
  <si>
    <t>BEEF SAUSAGE PIZZA</t>
  </si>
  <si>
    <t>Classico - Ice</t>
  </si>
  <si>
    <t>L001-031</t>
  </si>
  <si>
    <t>L001-032</t>
  </si>
  <si>
    <t>Citrus Noir - Hot</t>
  </si>
  <si>
    <t>L001-033</t>
  </si>
  <si>
    <t>WIP NASI PUTIH</t>
  </si>
  <si>
    <t>Citrus Noir - Ice</t>
  </si>
  <si>
    <t>L001-034</t>
  </si>
  <si>
    <t>Kering</t>
  </si>
  <si>
    <t>Dendi</t>
  </si>
  <si>
    <t>Belgian Choco - Hot</t>
  </si>
  <si>
    <t>L001-035</t>
  </si>
  <si>
    <t>Belgian Choco - Ice</t>
  </si>
  <si>
    <t>L001-036</t>
  </si>
  <si>
    <t>Choco Breeze</t>
  </si>
  <si>
    <t>L001-037</t>
  </si>
  <si>
    <t>Discard</t>
  </si>
  <si>
    <t>ORIGINAL TURBO CHICKEN</t>
  </si>
  <si>
    <t>Cioccolato - Hot</t>
  </si>
  <si>
    <t>L001-038</t>
  </si>
  <si>
    <t>Cioccolato - Ice</t>
  </si>
  <si>
    <t>L001-039</t>
  </si>
  <si>
    <t>Iqbal</t>
  </si>
  <si>
    <t>Paprika Hijau</t>
  </si>
  <si>
    <t>Cacao Barel - Hot</t>
  </si>
  <si>
    <t>L001-040</t>
  </si>
  <si>
    <t>Cacao Barel - Ice</t>
  </si>
  <si>
    <t>L001-041</t>
  </si>
  <si>
    <t>Tegar</t>
  </si>
  <si>
    <t>Paprika Merah</t>
  </si>
  <si>
    <t>Air Mineral</t>
  </si>
  <si>
    <t>L001-042</t>
  </si>
  <si>
    <t>Choco Stick</t>
  </si>
  <si>
    <t>L001-043</t>
  </si>
  <si>
    <t>Callebaut Caramel Sauce</t>
  </si>
  <si>
    <t>L001-044</t>
  </si>
  <si>
    <t>WIP UNSWEERENED TEA BASE</t>
  </si>
  <si>
    <t>Cheese Cube</t>
  </si>
  <si>
    <t>L001-045</t>
  </si>
  <si>
    <t>Poetry Bali Kacang Medan 75gr</t>
  </si>
  <si>
    <t>L001-046</t>
  </si>
  <si>
    <t>WIP RED TEA BASE</t>
  </si>
  <si>
    <t>Poetry Bali Kacang Kapri Spicy 75gr</t>
  </si>
  <si>
    <t>L001-047</t>
  </si>
  <si>
    <t>Poetry Bali Kacang Kapri 75gr</t>
  </si>
  <si>
    <t>L001-048</t>
  </si>
  <si>
    <t>WIP GREEN TEA BASE</t>
  </si>
  <si>
    <t>Poetry Bali Cashew Ori 75gr</t>
  </si>
  <si>
    <t>L001-049</t>
  </si>
  <si>
    <t>Poetry Bali Cashew Crispy 75gr</t>
  </si>
  <si>
    <t>L001-050</t>
  </si>
  <si>
    <t>Poetry Bali Kacang Bali Manis 75gr</t>
  </si>
  <si>
    <t>L001-051</t>
  </si>
  <si>
    <t>Poetry Bali Kacang Bali Asin 75gr</t>
  </si>
  <si>
    <t>L001-052</t>
  </si>
  <si>
    <t>WIP SAMBAL BALI</t>
  </si>
  <si>
    <t>Chocolate Sauce</t>
  </si>
  <si>
    <t>L001-053</t>
  </si>
  <si>
    <t>Cone Crumble</t>
  </si>
  <si>
    <t>L001-054</t>
  </si>
  <si>
    <t>Basi</t>
  </si>
  <si>
    <t>Cornflake</t>
  </si>
  <si>
    <t>CHICKEN POPCORN</t>
  </si>
  <si>
    <t>L001-055</t>
  </si>
  <si>
    <t>Crispearls</t>
  </si>
  <si>
    <t>L001-056</t>
  </si>
  <si>
    <t>Cup Luuca</t>
  </si>
  <si>
    <t>L001-057</t>
  </si>
  <si>
    <t>Rika</t>
  </si>
  <si>
    <t>Mixed Veggies</t>
  </si>
  <si>
    <t>Peanut</t>
  </si>
  <si>
    <t>L001-058</t>
  </si>
  <si>
    <t>Pop Corn</t>
  </si>
  <si>
    <t>L001-059</t>
  </si>
  <si>
    <t>Strawberry Jam</t>
  </si>
  <si>
    <t>L001-060</t>
  </si>
  <si>
    <t>Strawberry Stick</t>
  </si>
  <si>
    <t>L001-061</t>
  </si>
  <si>
    <t>Almond</t>
  </si>
  <si>
    <t>L001-062</t>
  </si>
  <si>
    <t>Granola</t>
  </si>
  <si>
    <t>L001-063</t>
  </si>
  <si>
    <t>chili sauce</t>
  </si>
  <si>
    <t>Longan</t>
  </si>
  <si>
    <t>L001-064</t>
  </si>
  <si>
    <t>Mix Fruit</t>
  </si>
  <si>
    <t>L001-065</t>
  </si>
  <si>
    <t>Nata De Coco</t>
  </si>
  <si>
    <t>L001-066</t>
  </si>
  <si>
    <t>Rosidin</t>
  </si>
  <si>
    <t>Rainbow Ceres</t>
  </si>
  <si>
    <t>L001-067</t>
  </si>
  <si>
    <t>Pistalato</t>
  </si>
  <si>
    <t>L001-068</t>
  </si>
  <si>
    <t>Telur</t>
  </si>
  <si>
    <t>Dolcetta</t>
  </si>
  <si>
    <t>L001-069</t>
  </si>
  <si>
    <t>Fiocco</t>
  </si>
  <si>
    <t>L001-070</t>
  </si>
  <si>
    <t>Fiochella</t>
  </si>
  <si>
    <t>L001-071</t>
  </si>
  <si>
    <t>Croissant Classico</t>
  </si>
  <si>
    <t>L001-072</t>
  </si>
  <si>
    <t>Quadro Dolce</t>
  </si>
  <si>
    <t>L001-073</t>
  </si>
  <si>
    <t>Clacciola Made With Kitkat</t>
  </si>
  <si>
    <t>L001-074</t>
  </si>
  <si>
    <t>Double Treat On</t>
  </si>
  <si>
    <t>L001-075</t>
  </si>
  <si>
    <t>Perfect Pair On</t>
  </si>
  <si>
    <t>L001-076</t>
  </si>
  <si>
    <t>Squad Pack</t>
  </si>
  <si>
    <t>L001-077</t>
  </si>
  <si>
    <t>Triple Treat On</t>
  </si>
  <si>
    <t>L001-078</t>
  </si>
  <si>
    <t>Biscotti Crema</t>
  </si>
  <si>
    <t>L001-079</t>
  </si>
  <si>
    <t>Dirty Matja Latte</t>
  </si>
  <si>
    <t>L001-080</t>
  </si>
  <si>
    <t>Add On Serve Matcha</t>
  </si>
  <si>
    <t>L001-081</t>
  </si>
  <si>
    <t>Nutcracker Fiochella Fair</t>
  </si>
  <si>
    <t>L001-082</t>
  </si>
  <si>
    <t>Choco &amp; Dolce Fair</t>
  </si>
  <si>
    <t>L001-083</t>
  </si>
  <si>
    <t>Choco &amp; Dolce Fair 2</t>
  </si>
  <si>
    <t>L001-084</t>
  </si>
  <si>
    <t>Classico Pistalato Pair</t>
  </si>
  <si>
    <t>L001-085</t>
  </si>
  <si>
    <t>Classico Pistalato Pair 2</t>
  </si>
  <si>
    <t>L001-086</t>
  </si>
  <si>
    <t>CREAMY CHICKEN RASHER SPAGHETTI</t>
  </si>
  <si>
    <t>Choco Comfort Pair</t>
  </si>
  <si>
    <t>L001-087</t>
  </si>
  <si>
    <t>Pistaciola</t>
  </si>
  <si>
    <t>L001-088</t>
  </si>
  <si>
    <t>Pistachoco Mist</t>
  </si>
  <si>
    <t>L001-089</t>
  </si>
  <si>
    <t>Pistaciola Bliss</t>
  </si>
  <si>
    <t>L001-090</t>
  </si>
  <si>
    <t>Berry Crunchy Made With Kitkat</t>
  </si>
  <si>
    <t>L001-091</t>
  </si>
  <si>
    <t>Dani</t>
  </si>
  <si>
    <t>CIRENG</t>
  </si>
  <si>
    <t>Laciola Float</t>
  </si>
  <si>
    <t>L001-092</t>
  </si>
  <si>
    <t>Chocociola Float</t>
  </si>
  <si>
    <t>L001-093</t>
  </si>
  <si>
    <t>Claciolla Made With Kitkat</t>
  </si>
  <si>
    <t>L001-094</t>
  </si>
  <si>
    <t>Choco Yogurt Duo</t>
  </si>
  <si>
    <t>L001-095</t>
  </si>
  <si>
    <t>Putra</t>
  </si>
  <si>
    <t>Chicken Steak</t>
  </si>
  <si>
    <t>Classic Duo</t>
  </si>
  <si>
    <t>L001-096</t>
  </si>
  <si>
    <t>Sharing Trio</t>
  </si>
  <si>
    <t>L001-097</t>
  </si>
  <si>
    <t>Roti Tawar</t>
  </si>
  <si>
    <t>2 Cup Delivery Duo</t>
  </si>
  <si>
    <t>L001-098</t>
  </si>
  <si>
    <t>3 Cup Sharing Pack</t>
  </si>
  <si>
    <t>L001-099</t>
  </si>
  <si>
    <t>Nutcracker Sweet Pair</t>
  </si>
  <si>
    <t>L001-100</t>
  </si>
  <si>
    <t>Sobek</t>
  </si>
  <si>
    <t>Pistalato Sweet Pair</t>
  </si>
  <si>
    <t>L001-101</t>
  </si>
  <si>
    <t>Croissant Soft Serve Pair</t>
  </si>
  <si>
    <t>L001-102</t>
  </si>
  <si>
    <t>Jatuh</t>
  </si>
  <si>
    <t>BB-100025</t>
  </si>
  <si>
    <t>BB-100026</t>
  </si>
  <si>
    <t>Naufal</t>
  </si>
  <si>
    <t>BB-100028</t>
  </si>
  <si>
    <t>BB-100030</t>
  </si>
  <si>
    <t>BB-100031</t>
  </si>
  <si>
    <t>BB-100032</t>
  </si>
  <si>
    <t>BB-100033</t>
  </si>
  <si>
    <t>BB-100136</t>
  </si>
  <si>
    <t>BB-100194</t>
  </si>
  <si>
    <t>BB-100288</t>
  </si>
  <si>
    <t>BB-100289</t>
  </si>
  <si>
    <t>Daun Mint</t>
  </si>
  <si>
    <t>BB-100300</t>
  </si>
  <si>
    <t>BB-100340</t>
  </si>
  <si>
    <t>Busuk</t>
  </si>
  <si>
    <t>BB-100342</t>
  </si>
  <si>
    <t>BB-100343</t>
  </si>
  <si>
    <t>PLASTIK SEGITIGA</t>
  </si>
  <si>
    <t>BB-100516</t>
  </si>
  <si>
    <t>P006-001</t>
  </si>
  <si>
    <t>WIP LEMON TEA BATCH</t>
  </si>
  <si>
    <t>P006-002</t>
  </si>
  <si>
    <t>P006-003</t>
  </si>
  <si>
    <t>P006-004</t>
  </si>
  <si>
    <t>P006-005</t>
  </si>
  <si>
    <t>P006-006</t>
  </si>
  <si>
    <t>P006-007</t>
  </si>
  <si>
    <t>P006-008</t>
  </si>
  <si>
    <t>WIP - Filling Biscotti Crema</t>
  </si>
  <si>
    <t>P006-009</t>
  </si>
  <si>
    <t>WIP - MATCHA PASTA</t>
  </si>
  <si>
    <t>P006-010</t>
  </si>
  <si>
    <t>WIP ICE CREAM PISTACHIO</t>
  </si>
  <si>
    <t>P006-011</t>
  </si>
  <si>
    <t>WIP TELUR KOCOK</t>
  </si>
  <si>
    <t>Cone</t>
  </si>
  <si>
    <t>Rusak</t>
  </si>
  <si>
    <t>h</t>
  </si>
  <si>
    <t xml:space="preserve">Koreksi audit </t>
  </si>
  <si>
    <t>Rifqi</t>
  </si>
  <si>
    <t>Lidia</t>
  </si>
  <si>
    <t>Cabai Rawit Merah</t>
  </si>
  <si>
    <t>5,2</t>
  </si>
  <si>
    <t>Tidak bisa digunakan/Daun</t>
  </si>
  <si>
    <t>Gagal produksi</t>
  </si>
  <si>
    <t>AMERICAN FRIES</t>
  </si>
  <si>
    <t>Patah</t>
  </si>
  <si>
    <t>Terjatuh</t>
  </si>
  <si>
    <t>Chicken Bacon</t>
  </si>
  <si>
    <t>Berjamur</t>
  </si>
  <si>
    <t>Terkontaminasi</t>
  </si>
  <si>
    <t>cone</t>
  </si>
  <si>
    <t>koreksi audit</t>
  </si>
  <si>
    <t>WIP PREP. VANILLA ICE CREAM</t>
  </si>
  <si>
    <t>10,5</t>
  </si>
  <si>
    <t>49,9</t>
  </si>
  <si>
    <t>Tidak bisa digunakan/Kulit</t>
  </si>
  <si>
    <t>101,7</t>
  </si>
  <si>
    <t>Tidak bisa digunakan</t>
  </si>
  <si>
    <t>Nickita</t>
  </si>
  <si>
    <t>7,7</t>
  </si>
  <si>
    <t>78,4</t>
  </si>
  <si>
    <t>29,5</t>
  </si>
  <si>
    <t>26,2</t>
  </si>
  <si>
    <t>04/05/202604/05/202</t>
  </si>
  <si>
    <t>Tidak Ada biji</t>
  </si>
  <si>
    <t>14,7</t>
  </si>
  <si>
    <t>WIP SELAI TOAST</t>
  </si>
  <si>
    <t>6,1</t>
  </si>
  <si>
    <t>336,6</t>
  </si>
  <si>
    <t>WIP TOPPING AYAM SAMBAL BAWANG</t>
  </si>
  <si>
    <t>Tian</t>
  </si>
  <si>
    <t>1,1</t>
  </si>
  <si>
    <t>Hancur</t>
  </si>
  <si>
    <t>CARAMEL EGG TART</t>
  </si>
  <si>
    <t>3,7</t>
  </si>
  <si>
    <t>Cancel order</t>
  </si>
  <si>
    <t>Kalibrasi</t>
  </si>
  <si>
    <t>24,4</t>
  </si>
  <si>
    <t>Raka</t>
  </si>
  <si>
    <t>36,6</t>
  </si>
  <si>
    <t>WIP SAOS TERIYAKI</t>
  </si>
  <si>
    <t>Basi Dari kiriman</t>
  </si>
  <si>
    <t>Pizza Crust</t>
  </si>
  <si>
    <t>For Crew</t>
  </si>
  <si>
    <t>Karin</t>
  </si>
  <si>
    <t>352,6</t>
  </si>
  <si>
    <t>Tidak bisa digunakan/Air</t>
  </si>
  <si>
    <t>TELUR</t>
  </si>
  <si>
    <t>74,1gr</t>
  </si>
  <si>
    <t>Putih telur</t>
  </si>
  <si>
    <t>Aletta</t>
  </si>
  <si>
    <t>Patah/Basah</t>
  </si>
  <si>
    <t>63,6</t>
  </si>
  <si>
    <t>0,9</t>
  </si>
  <si>
    <t>0,4</t>
  </si>
  <si>
    <t>Cabai Rawit Hijau</t>
  </si>
  <si>
    <t>78,7</t>
  </si>
  <si>
    <t>29,3</t>
  </si>
  <si>
    <t>Basah</t>
  </si>
  <si>
    <t>26,8</t>
  </si>
  <si>
    <t>Tidak bisa digunakan/ Kulit</t>
  </si>
  <si>
    <t>Pisang</t>
  </si>
  <si>
    <t>10,2</t>
  </si>
  <si>
    <t>Ayam Utuh - Original</t>
  </si>
  <si>
    <t>43,5</t>
  </si>
  <si>
    <t>Tangkai Anggur</t>
  </si>
  <si>
    <t>Untuk KOL</t>
  </si>
  <si>
    <t>11,3</t>
  </si>
  <si>
    <t xml:space="preserve">Air </t>
  </si>
  <si>
    <t>120,0</t>
  </si>
  <si>
    <t>87,4</t>
  </si>
  <si>
    <t>Tertimpa barang saat thwing</t>
  </si>
  <si>
    <t>Alif</t>
  </si>
  <si>
    <t>Tercampur Serbuk kopi</t>
  </si>
  <si>
    <t>WIP SAUS PIZZA</t>
  </si>
  <si>
    <t>Neza</t>
  </si>
  <si>
    <t>7,6</t>
  </si>
  <si>
    <t>319,1</t>
  </si>
  <si>
    <t>321,6</t>
  </si>
  <si>
    <t>57,6</t>
  </si>
  <si>
    <t>12,3</t>
  </si>
  <si>
    <t>Tidak bisa digunakan/ Daun</t>
  </si>
  <si>
    <t>3,6</t>
  </si>
  <si>
    <t>37,3</t>
  </si>
  <si>
    <t>147,9</t>
  </si>
  <si>
    <t>23,7</t>
  </si>
  <si>
    <t>401,9</t>
  </si>
  <si>
    <t>69,3</t>
  </si>
  <si>
    <t>Ayam Original Parting 9</t>
  </si>
  <si>
    <t>32,1</t>
  </si>
  <si>
    <t>........</t>
  </si>
  <si>
    <t>Arul</t>
  </si>
  <si>
    <t>Thia</t>
  </si>
  <si>
    <t>98,8</t>
  </si>
  <si>
    <t>WIP SAMBAL BAWANG</t>
  </si>
  <si>
    <t>105,9</t>
  </si>
  <si>
    <t>Tidak ada biji</t>
  </si>
  <si>
    <t>218,2</t>
  </si>
  <si>
    <t>Tempat Keju</t>
  </si>
  <si>
    <t>403,5</t>
  </si>
  <si>
    <t>Terkontaminasi minyak</t>
  </si>
  <si>
    <t>Admin Luuca</t>
  </si>
  <si>
    <t>ORLEAN MEAT</t>
  </si>
  <si>
    <t>42,9</t>
  </si>
  <si>
    <t>Topping ayam sambal bali</t>
  </si>
  <si>
    <t>Gr</t>
  </si>
  <si>
    <t>Faisal</t>
  </si>
  <si>
    <t>Sosis Sapi</t>
  </si>
  <si>
    <t>50,6</t>
  </si>
  <si>
    <t>pecah</t>
  </si>
  <si>
    <t>23,3</t>
  </si>
  <si>
    <t>7,3</t>
  </si>
  <si>
    <t>35,4</t>
  </si>
  <si>
    <t>24,1</t>
  </si>
  <si>
    <t>13,4</t>
  </si>
  <si>
    <t>Trouble mesin/Tercampur</t>
  </si>
  <si>
    <t>SCRAMBLED EGG</t>
  </si>
  <si>
    <t>25,9</t>
  </si>
  <si>
    <t>22,0</t>
  </si>
  <si>
    <t>42,7</t>
  </si>
  <si>
    <t>PCSS</t>
  </si>
  <si>
    <t>Terkena Lelehan</t>
  </si>
  <si>
    <t>Nagof</t>
  </si>
  <si>
    <t>1,4</t>
  </si>
  <si>
    <t>V TRI</t>
  </si>
  <si>
    <t>WIP SAUS SUSU</t>
  </si>
  <si>
    <t>31,3</t>
  </si>
  <si>
    <t>Tidak  bisa digunakan/Daun</t>
  </si>
  <si>
    <t>Daun mint</t>
  </si>
  <si>
    <t>Layu</t>
  </si>
  <si>
    <t>Jatuh/Trouble mesin</t>
  </si>
  <si>
    <t>56,9</t>
  </si>
  <si>
    <t>71,4</t>
  </si>
  <si>
    <t>Tangkai anggur</t>
  </si>
  <si>
    <t>19,3</t>
  </si>
  <si>
    <t>Cabai Merah Keriting</t>
  </si>
  <si>
    <t>Terkontaminasi/Trouble mesin</t>
  </si>
  <si>
    <t>X 1486GR</t>
  </si>
  <si>
    <t>V</t>
  </si>
  <si>
    <t>X 6PCS</t>
  </si>
  <si>
    <t>WIP SPAGHETTI</t>
  </si>
  <si>
    <t>62,4</t>
  </si>
  <si>
    <t>hancur</t>
  </si>
  <si>
    <t>102,3</t>
  </si>
  <si>
    <t>2,4</t>
  </si>
  <si>
    <t>322,8</t>
  </si>
  <si>
    <t>6,5</t>
  </si>
  <si>
    <t>Hancur/Remah</t>
  </si>
  <si>
    <t>v</t>
  </si>
  <si>
    <t>287,4</t>
  </si>
  <si>
    <t>X 9PCS</t>
  </si>
  <si>
    <t>Gagal</t>
  </si>
  <si>
    <t>43,1</t>
  </si>
  <si>
    <t>8,8</t>
  </si>
  <si>
    <t>80,4</t>
  </si>
  <si>
    <t>X 80,4GR</t>
  </si>
  <si>
    <t>21,8</t>
  </si>
  <si>
    <t>98,3</t>
  </si>
  <si>
    <t>X 21,8GR</t>
  </si>
  <si>
    <t>56,7</t>
  </si>
  <si>
    <t>61,3</t>
  </si>
  <si>
    <t>X 61,3GR</t>
  </si>
  <si>
    <t>62,9</t>
  </si>
  <si>
    <t>7,5</t>
  </si>
  <si>
    <t>72,7</t>
  </si>
  <si>
    <t>FRESH MILK/SUSU MURNI</t>
  </si>
  <si>
    <t>Tercampur</t>
  </si>
  <si>
    <t>8,9</t>
  </si>
  <si>
    <t>X 8,9GR</t>
  </si>
  <si>
    <t>putra</t>
  </si>
  <si>
    <t>8,6</t>
  </si>
  <si>
    <t>16,9</t>
  </si>
  <si>
    <t>X 16,9GR</t>
  </si>
  <si>
    <t>16,6</t>
  </si>
  <si>
    <t>140,5</t>
  </si>
  <si>
    <t>X 140,5GR</t>
  </si>
  <si>
    <t>amanda</t>
  </si>
  <si>
    <t>93,8</t>
  </si>
  <si>
    <t>X 93,8GR</t>
  </si>
  <si>
    <t>Untuk Ekspedisi</t>
  </si>
  <si>
    <t>Air</t>
  </si>
  <si>
    <t>SWEET AND SPICY TURBO CHICKEN</t>
  </si>
  <si>
    <t>301,3</t>
  </si>
  <si>
    <t>WIP SAUS GOLDEN</t>
  </si>
  <si>
    <t>273,8</t>
  </si>
  <si>
    <t>1,8</t>
  </si>
  <si>
    <t>Tidak digunakan/Kulit</t>
  </si>
  <si>
    <t>30/03/2026</t>
  </si>
  <si>
    <t>20/04/2026</t>
  </si>
  <si>
    <t>X 23,7GR</t>
  </si>
  <si>
    <t>27,9</t>
  </si>
  <si>
    <t>X 27,9GR</t>
  </si>
  <si>
    <t>28,1</t>
  </si>
  <si>
    <t>fadli</t>
  </si>
  <si>
    <t>43,7</t>
  </si>
  <si>
    <t>1,2</t>
  </si>
  <si>
    <t>322,6</t>
  </si>
  <si>
    <t>X 322,6GR</t>
  </si>
  <si>
    <t>Rusak[Bagian luar&amp;Dalem}</t>
  </si>
  <si>
    <t>46,3</t>
  </si>
  <si>
    <t>Admin luuca</t>
  </si>
  <si>
    <t>JAPPANESE CHICKEN BURGER</t>
  </si>
  <si>
    <t>7,4</t>
  </si>
  <si>
    <t>Locita</t>
  </si>
  <si>
    <t>7,1</t>
  </si>
  <si>
    <t>JAPPANESE RASHER EGG BURGER</t>
  </si>
  <si>
    <t>25,1</t>
  </si>
  <si>
    <t>586,5</t>
  </si>
  <si>
    <t>X 586,5GR</t>
  </si>
  <si>
    <t>Tidak bisa diguanakan/Kulit</t>
  </si>
  <si>
    <t>34,9</t>
  </si>
  <si>
    <t>X 34,9GR</t>
  </si>
  <si>
    <t>35,1</t>
  </si>
  <si>
    <t>X 35,1GR</t>
  </si>
  <si>
    <t>130,7</t>
  </si>
  <si>
    <t>X 130,7GR</t>
  </si>
  <si>
    <t>38,7</t>
  </si>
  <si>
    <t>X 38,7GR</t>
  </si>
  <si>
    <t>Salah/Sudah mengandap 1 hari</t>
  </si>
  <si>
    <t>Pecah</t>
  </si>
  <si>
    <t>76,6</t>
  </si>
  <si>
    <t>LIdia</t>
  </si>
  <si>
    <t>X 76,6GR</t>
  </si>
  <si>
    <t>PCS/GR</t>
  </si>
  <si>
    <t>3/107Gr</t>
  </si>
  <si>
    <t>V TRI 107,4GR</t>
  </si>
  <si>
    <t>21,9</t>
  </si>
  <si>
    <t>60,9</t>
  </si>
  <si>
    <t>8,7</t>
  </si>
  <si>
    <t>Tidak digunakan/Daun</t>
  </si>
  <si>
    <t>letuce</t>
  </si>
  <si>
    <t>47,6</t>
  </si>
  <si>
    <t>Trial</t>
  </si>
  <si>
    <t>WIP BURGER BUN</t>
  </si>
  <si>
    <t>52,3</t>
  </si>
  <si>
    <t>Tidak  bisa digunakan/Kulit</t>
  </si>
  <si>
    <t>69,1</t>
  </si>
  <si>
    <t xml:space="preserve"> Tidak bisa digunakan/Daun</t>
  </si>
  <si>
    <t>34,4</t>
  </si>
  <si>
    <t>04/24/2026</t>
  </si>
  <si>
    <t>arul</t>
  </si>
  <si>
    <t>Lem tidak menempel</t>
  </si>
  <si>
    <t>04/25/2026</t>
  </si>
  <si>
    <t>520,5</t>
  </si>
  <si>
    <t>Jeruk Nipis</t>
  </si>
  <si>
    <t>6,9</t>
  </si>
  <si>
    <t>dani</t>
  </si>
  <si>
    <t>Biji Kopi</t>
  </si>
  <si>
    <t>.....</t>
  </si>
  <si>
    <t>Llidia</t>
  </si>
  <si>
    <t>04/26/2026</t>
  </si>
  <si>
    <t>Mushroom Sauce 25104E</t>
  </si>
  <si>
    <t>Alif'</t>
  </si>
  <si>
    <t>14,3</t>
  </si>
  <si>
    <t>28,8</t>
  </si>
  <si>
    <t>04/27/2026</t>
  </si>
  <si>
    <t>229,2</t>
  </si>
  <si>
    <t>04/28/2026</t>
  </si>
  <si>
    <t>80/2</t>
  </si>
  <si>
    <t>Percobaan mesin</t>
  </si>
  <si>
    <t>296,8</t>
  </si>
  <si>
    <t>04/29/2026</t>
  </si>
  <si>
    <t>04/30/2026</t>
  </si>
  <si>
    <t>311,1</t>
  </si>
  <si>
    <t>25,2</t>
  </si>
  <si>
    <t>Ilyas</t>
  </si>
  <si>
    <t>296,3/3</t>
  </si>
  <si>
    <t>89,2</t>
  </si>
  <si>
    <t>Busuk/Berair</t>
  </si>
  <si>
    <t>Daun</t>
  </si>
  <si>
    <t>Kulit</t>
  </si>
  <si>
    <t>36,5</t>
  </si>
  <si>
    <t>31,2</t>
  </si>
  <si>
    <t>Daun&amp; Ujung kiwi</t>
  </si>
  <si>
    <t xml:space="preserve">Daun </t>
  </si>
  <si>
    <t>111,6</t>
  </si>
  <si>
    <t>59,8</t>
  </si>
  <si>
    <t>75,5/2</t>
  </si>
  <si>
    <t>Terkontaminasi air</t>
  </si>
  <si>
    <t>27,5</t>
  </si>
  <si>
    <t>Tri</t>
  </si>
  <si>
    <t xml:space="preserve"> Daun</t>
  </si>
  <si>
    <t>22,6</t>
  </si>
  <si>
    <t>116,1</t>
  </si>
  <si>
    <t>19,4</t>
  </si>
  <si>
    <t xml:space="preserve"> Rusak</t>
  </si>
  <si>
    <t>Filling biscotti crema</t>
  </si>
  <si>
    <t>206,1</t>
  </si>
  <si>
    <t>Whipping cream</t>
  </si>
  <si>
    <t>235,4</t>
  </si>
  <si>
    <t>Cek Gramasi</t>
  </si>
  <si>
    <t>9,4</t>
  </si>
  <si>
    <t>39,4</t>
  </si>
  <si>
    <t>GR/PCS</t>
  </si>
  <si>
    <t>27,3/1</t>
  </si>
  <si>
    <t>156,3</t>
  </si>
  <si>
    <t xml:space="preserve">Busuk </t>
  </si>
  <si>
    <t>26,1</t>
  </si>
  <si>
    <t>299,4</t>
  </si>
  <si>
    <t>Daun&amp;Busuk</t>
  </si>
  <si>
    <t>93,6</t>
  </si>
  <si>
    <t xml:space="preserve"> Kulit</t>
  </si>
  <si>
    <t xml:space="preserve">Kompensasi </t>
  </si>
  <si>
    <t>Tangkai</t>
  </si>
  <si>
    <t>18,4</t>
  </si>
  <si>
    <t>Allif</t>
  </si>
  <si>
    <t>107,9</t>
  </si>
  <si>
    <t xml:space="preserve">Patah </t>
  </si>
  <si>
    <t>8,2</t>
  </si>
  <si>
    <t>111,7</t>
  </si>
  <si>
    <t>55,6</t>
  </si>
  <si>
    <t>385,4</t>
  </si>
  <si>
    <t>37,7/2</t>
  </si>
  <si>
    <t>TOKO</t>
  </si>
  <si>
    <t>1PCS</t>
  </si>
  <si>
    <t>114,9</t>
  </si>
  <si>
    <t>47,3</t>
  </si>
  <si>
    <t>17,6</t>
  </si>
  <si>
    <t>51,9</t>
  </si>
  <si>
    <t>16,2</t>
  </si>
  <si>
    <t>152,3</t>
  </si>
  <si>
    <t>TIDAK TERPAKAI</t>
  </si>
  <si>
    <t>AIR BUAH LONGAN</t>
  </si>
  <si>
    <t>91,2</t>
  </si>
  <si>
    <t>40,2</t>
  </si>
  <si>
    <t>DAUN</t>
  </si>
  <si>
    <t>4,3</t>
  </si>
  <si>
    <t>BATANG</t>
  </si>
  <si>
    <t>39,5</t>
  </si>
  <si>
    <t>AIR NATA</t>
  </si>
  <si>
    <t xml:space="preserve">ilyas </t>
  </si>
  <si>
    <t>86,1</t>
  </si>
  <si>
    <t>ilyas</t>
  </si>
  <si>
    <t>606,5</t>
  </si>
  <si>
    <t>12,5</t>
  </si>
  <si>
    <t>Konsumsi Tukang</t>
  </si>
  <si>
    <t>Toko</t>
  </si>
  <si>
    <t>46,5</t>
  </si>
  <si>
    <t>105,5</t>
  </si>
  <si>
    <t>Kuilit</t>
  </si>
  <si>
    <t>44,7</t>
  </si>
  <si>
    <t>Niclita</t>
  </si>
  <si>
    <t>TRI-AUDIT</t>
  </si>
  <si>
    <t>17,9</t>
  </si>
  <si>
    <t>Menggumpal</t>
  </si>
  <si>
    <t>111,1</t>
  </si>
  <si>
    <t>87,6</t>
  </si>
  <si>
    <t>21,3</t>
  </si>
  <si>
    <t>897,5</t>
  </si>
  <si>
    <t>60,8</t>
  </si>
  <si>
    <t>47,4</t>
  </si>
  <si>
    <t>thia</t>
  </si>
  <si>
    <t>16,4</t>
  </si>
  <si>
    <t>567,5</t>
  </si>
  <si>
    <t xml:space="preserve"> 10,9</t>
  </si>
  <si>
    <t>Tangkai  Anggur&amp; Busuk</t>
  </si>
  <si>
    <t>72,6</t>
  </si>
  <si>
    <t>97,6/3</t>
  </si>
  <si>
    <t>9,8</t>
  </si>
  <si>
    <t xml:space="preserve">Kunsumsi tukang </t>
  </si>
  <si>
    <t>5,6</t>
  </si>
  <si>
    <t>651,5</t>
  </si>
  <si>
    <t>20,7</t>
  </si>
  <si>
    <t>Konsumsi tukang ac</t>
  </si>
  <si>
    <t>2/78,9</t>
  </si>
  <si>
    <t xml:space="preserve">Thia </t>
  </si>
  <si>
    <t>TRI</t>
  </si>
  <si>
    <t>115,7</t>
  </si>
  <si>
    <t>3/142,6</t>
  </si>
  <si>
    <t>628,5</t>
  </si>
  <si>
    <t>116,2</t>
  </si>
  <si>
    <t>8,1</t>
  </si>
  <si>
    <t>3455,5</t>
  </si>
  <si>
    <t>459,4</t>
  </si>
  <si>
    <t>12,9</t>
  </si>
  <si>
    <t>33,9</t>
  </si>
  <si>
    <t>30,1</t>
  </si>
  <si>
    <t>Trial ice cream</t>
  </si>
  <si>
    <t>67,5</t>
  </si>
  <si>
    <t>804,5</t>
  </si>
  <si>
    <t>12,8</t>
  </si>
  <si>
    <t>197,8</t>
  </si>
  <si>
    <t>22,8</t>
  </si>
  <si>
    <t>Trial menu baru</t>
  </si>
  <si>
    <t>21,7</t>
  </si>
  <si>
    <t xml:space="preserve">KITKAT SPREAD </t>
  </si>
  <si>
    <t>119,6</t>
  </si>
  <si>
    <t>553,5</t>
  </si>
  <si>
    <t>20,4</t>
  </si>
  <si>
    <t>720,5</t>
  </si>
  <si>
    <t>78,9</t>
  </si>
  <si>
    <t>311,6</t>
  </si>
  <si>
    <t>905,5</t>
  </si>
  <si>
    <t>15,5</t>
  </si>
  <si>
    <t>9,6</t>
  </si>
  <si>
    <t>68,2</t>
  </si>
  <si>
    <t>365,6</t>
  </si>
  <si>
    <t>28,9</t>
  </si>
  <si>
    <t xml:space="preserve">Kulit </t>
  </si>
  <si>
    <t>26,5</t>
  </si>
  <si>
    <t xml:space="preserve">Terkontaminasi lalat </t>
  </si>
  <si>
    <t>8,5</t>
  </si>
  <si>
    <t>27,6</t>
  </si>
  <si>
    <t>13,5</t>
  </si>
  <si>
    <t>Terjatuh/Terkontaminasi</t>
  </si>
  <si>
    <t>737,5</t>
  </si>
  <si>
    <t>114,7</t>
  </si>
  <si>
    <t>32,4</t>
  </si>
  <si>
    <t>82,1</t>
  </si>
  <si>
    <t>18,1</t>
  </si>
  <si>
    <t>106,9</t>
  </si>
  <si>
    <t>6,6</t>
  </si>
  <si>
    <t>berjamur</t>
  </si>
  <si>
    <t>679,5</t>
  </si>
  <si>
    <t>21,1</t>
  </si>
  <si>
    <t>46,7</t>
  </si>
  <si>
    <t>30,5</t>
  </si>
  <si>
    <t>48,5</t>
  </si>
  <si>
    <t>Testfood</t>
  </si>
  <si>
    <t>714,5</t>
  </si>
  <si>
    <t>48,2</t>
  </si>
  <si>
    <t>54,6</t>
  </si>
  <si>
    <t>317,7</t>
  </si>
  <si>
    <t>113,3</t>
  </si>
  <si>
    <t>189,8</t>
  </si>
  <si>
    <t>17,5</t>
  </si>
  <si>
    <t>792,5</t>
  </si>
  <si>
    <t>06/18/2026</t>
  </si>
  <si>
    <t>40,6</t>
  </si>
  <si>
    <t>271,9</t>
  </si>
  <si>
    <t>66,6</t>
  </si>
  <si>
    <t>274,7</t>
  </si>
  <si>
    <t>20,1</t>
  </si>
  <si>
    <t>Tidak Renyah</t>
  </si>
  <si>
    <t>06/19/2026</t>
  </si>
  <si>
    <t>5/27/0206</t>
  </si>
  <si>
    <t>16,7</t>
  </si>
  <si>
    <t>117,2</t>
  </si>
  <si>
    <t>224,3</t>
  </si>
  <si>
    <t>15,3</t>
  </si>
  <si>
    <t>59,5/2</t>
  </si>
  <si>
    <t>Putih Telur</t>
  </si>
  <si>
    <t>990,5</t>
  </si>
  <si>
    <t>30,8</t>
  </si>
  <si>
    <t>704,5</t>
  </si>
  <si>
    <t>125,8</t>
  </si>
  <si>
    <t>27,3</t>
  </si>
  <si>
    <t>598,5</t>
  </si>
  <si>
    <t>Lidia'</t>
  </si>
  <si>
    <t>53,9</t>
  </si>
  <si>
    <t>146,9</t>
  </si>
  <si>
    <t>73,7</t>
  </si>
  <si>
    <t>82,7</t>
  </si>
  <si>
    <t>32,2/1</t>
  </si>
  <si>
    <t>100,7</t>
  </si>
  <si>
    <t>401,5</t>
  </si>
  <si>
    <t>Berubah Rasa/ Tidak bisa digunakan</t>
  </si>
  <si>
    <t>68,4</t>
  </si>
  <si>
    <t>22,5</t>
  </si>
  <si>
    <t>180,5</t>
  </si>
  <si>
    <t>Nikita</t>
  </si>
  <si>
    <t>23,9</t>
  </si>
  <si>
    <t>134,1</t>
  </si>
  <si>
    <t>Tangkai&amp;Busuk</t>
  </si>
  <si>
    <t>245,8</t>
  </si>
  <si>
    <t>64,5</t>
  </si>
  <si>
    <t>42,4</t>
  </si>
  <si>
    <t>31,5</t>
  </si>
  <si>
    <t>42,6</t>
  </si>
  <si>
    <t>901,5</t>
  </si>
  <si>
    <t>52,5</t>
  </si>
  <si>
    <t>25,5</t>
  </si>
  <si>
    <t>18,3</t>
  </si>
  <si>
    <t>44,3</t>
  </si>
  <si>
    <t>521,5</t>
  </si>
  <si>
    <t>83,6/3</t>
  </si>
  <si>
    <t>86,6</t>
  </si>
  <si>
    <t>115,9</t>
  </si>
  <si>
    <t>647,5</t>
  </si>
  <si>
    <t>92,,6</t>
  </si>
  <si>
    <t>48,3</t>
  </si>
  <si>
    <t>15,6</t>
  </si>
  <si>
    <t>Ujung Kiwi</t>
  </si>
  <si>
    <t>20,6</t>
  </si>
  <si>
    <t>16,3</t>
  </si>
  <si>
    <t>Kult</t>
  </si>
  <si>
    <t>06/24/2026</t>
  </si>
  <si>
    <t>Lidiaa</t>
  </si>
  <si>
    <t>Basi/Ganti varian</t>
  </si>
  <si>
    <t xml:space="preserve">  </t>
  </si>
  <si>
    <t>06/25/2026</t>
  </si>
  <si>
    <t>49,8/1</t>
  </si>
  <si>
    <t>61,7</t>
  </si>
  <si>
    <t>Ags</t>
  </si>
  <si>
    <t>91,1</t>
  </si>
  <si>
    <t>627,5</t>
  </si>
  <si>
    <t>102,1</t>
  </si>
  <si>
    <t>11,2</t>
  </si>
  <si>
    <t>7,2</t>
  </si>
  <si>
    <t>Ujung lemon</t>
  </si>
  <si>
    <t>37,6</t>
  </si>
  <si>
    <t>busu</t>
  </si>
  <si>
    <t>busuk</t>
  </si>
  <si>
    <t>548,5</t>
  </si>
  <si>
    <t>18,8</t>
  </si>
  <si>
    <t>48,9</t>
  </si>
  <si>
    <t>14,9</t>
  </si>
  <si>
    <t>13,3</t>
  </si>
  <si>
    <t>06/30/2026</t>
  </si>
  <si>
    <t>BULAN, TAHUN:  Juli 2026</t>
  </si>
  <si>
    <t>44,2</t>
  </si>
  <si>
    <t>Waste</t>
  </si>
  <si>
    <t>781,5</t>
  </si>
  <si>
    <t>24,2</t>
  </si>
  <si>
    <t>91,9</t>
  </si>
  <si>
    <t>13,1</t>
  </si>
  <si>
    <t xml:space="preserve">Tangkai </t>
  </si>
  <si>
    <t>6,2</t>
  </si>
  <si>
    <t>Spoil</t>
  </si>
  <si>
    <t>75,8</t>
  </si>
  <si>
    <t>13,9</t>
  </si>
  <si>
    <t>418,3</t>
  </si>
  <si>
    <t>404,8</t>
  </si>
  <si>
    <t>86,9</t>
  </si>
  <si>
    <t>31,8</t>
  </si>
  <si>
    <t>71,2</t>
  </si>
  <si>
    <t>60,5</t>
  </si>
  <si>
    <t>309,1</t>
  </si>
  <si>
    <t>Rasa Terkontaminasi</t>
  </si>
  <si>
    <t>443,1</t>
  </si>
  <si>
    <t>631,5</t>
  </si>
  <si>
    <t>131,3</t>
  </si>
  <si>
    <t>314,5</t>
  </si>
  <si>
    <t>618,5</t>
  </si>
  <si>
    <t>70,8</t>
  </si>
  <si>
    <t>Fatur</t>
  </si>
  <si>
    <t>41,5</t>
  </si>
  <si>
    <t>6,8</t>
  </si>
  <si>
    <t xml:space="preserve">Kalibrasi </t>
  </si>
  <si>
    <t>Test food/kalibrasi</t>
  </si>
  <si>
    <t>15,8</t>
  </si>
  <si>
    <t>561,5</t>
  </si>
  <si>
    <t>328,8</t>
  </si>
  <si>
    <t>Ganti Varian</t>
  </si>
  <si>
    <t>523,5</t>
  </si>
  <si>
    <t xml:space="preserve">Fatur </t>
  </si>
  <si>
    <t>535,5</t>
  </si>
  <si>
    <t>98,7</t>
  </si>
  <si>
    <t xml:space="preserve">Raka </t>
  </si>
  <si>
    <t>58,1</t>
  </si>
  <si>
    <t>45,3</t>
  </si>
  <si>
    <t>28,7</t>
  </si>
  <si>
    <t>23,1</t>
  </si>
  <si>
    <t>59,2</t>
  </si>
  <si>
    <t>07/13/2026</t>
  </si>
  <si>
    <t>07/14/2026</t>
  </si>
  <si>
    <t xml:space="preserve">Ags </t>
  </si>
  <si>
    <t>07/16/2026</t>
  </si>
  <si>
    <t xml:space="preserve">Basi </t>
  </si>
  <si>
    <t>Aliff</t>
  </si>
  <si>
    <t>daun</t>
  </si>
  <si>
    <t>577,5</t>
  </si>
  <si>
    <t>air longan</t>
  </si>
  <si>
    <t xml:space="preserve"> </t>
  </si>
  <si>
    <t>37,2</t>
  </si>
  <si>
    <t>kulit</t>
  </si>
  <si>
    <t>Olesan Pastry</t>
  </si>
  <si>
    <t>11,9</t>
  </si>
  <si>
    <t>14,4</t>
  </si>
  <si>
    <t>54,7</t>
  </si>
  <si>
    <t>42,1</t>
  </si>
  <si>
    <t xml:space="preserve">Tian </t>
  </si>
  <si>
    <t>38,5</t>
  </si>
  <si>
    <t>534,5</t>
  </si>
  <si>
    <t>616,5</t>
  </si>
  <si>
    <t>53,1</t>
  </si>
  <si>
    <t>507,5</t>
  </si>
  <si>
    <t>41,9</t>
  </si>
  <si>
    <t>31,4</t>
  </si>
  <si>
    <t>44,9</t>
  </si>
  <si>
    <t>624,6</t>
  </si>
  <si>
    <t>17,4</t>
  </si>
  <si>
    <t>17,3</t>
  </si>
  <si>
    <t>26,6</t>
  </si>
  <si>
    <t>41,6</t>
  </si>
  <si>
    <t>317,6</t>
  </si>
  <si>
    <t>10,7</t>
  </si>
  <si>
    <t xml:space="preserve">Berjamur </t>
  </si>
  <si>
    <t>51,6</t>
  </si>
  <si>
    <t>18,5</t>
  </si>
  <si>
    <t>Terkontaminasi Air</t>
  </si>
  <si>
    <t xml:space="preserve">Lidia </t>
  </si>
  <si>
    <t>34,7</t>
  </si>
  <si>
    <t xml:space="preserve">Kering </t>
  </si>
  <si>
    <t>63,9</t>
  </si>
  <si>
    <t>BULAN, TAHUN:  Agustus 2026</t>
  </si>
  <si>
    <t xml:space="preserve">3,6 </t>
  </si>
  <si>
    <t xml:space="preserve">Tangkai Anggur </t>
  </si>
  <si>
    <t>61,9</t>
  </si>
  <si>
    <t>189,2</t>
  </si>
  <si>
    <t>12,6</t>
  </si>
  <si>
    <t>68,1</t>
  </si>
  <si>
    <t>57,2</t>
  </si>
  <si>
    <t xml:space="preserve">Konsumsi Tukang </t>
  </si>
  <si>
    <t xml:space="preserve">Training </t>
  </si>
  <si>
    <t>10,4</t>
  </si>
  <si>
    <t>38,6</t>
  </si>
  <si>
    <t>454,3</t>
  </si>
  <si>
    <t>49,4</t>
  </si>
  <si>
    <t>BULAN, TAHUN:  September  2026</t>
  </si>
  <si>
    <t xml:space="preserve">ALASAN WASTE </t>
  </si>
  <si>
    <t>414,6</t>
  </si>
  <si>
    <t>494,1</t>
  </si>
  <si>
    <t>584,5</t>
  </si>
  <si>
    <t>4,9</t>
  </si>
  <si>
    <t>120,8</t>
  </si>
  <si>
    <t xml:space="preserve">Terkontaminasi Semut </t>
  </si>
  <si>
    <t>*</t>
  </si>
  <si>
    <t xml:space="preserve">Alif </t>
  </si>
  <si>
    <t>355,7</t>
  </si>
  <si>
    <t>17,2</t>
  </si>
  <si>
    <t xml:space="preserve">Chewy Kunafa </t>
  </si>
  <si>
    <t xml:space="preserve">PCS </t>
  </si>
  <si>
    <t xml:space="preserve">kering </t>
  </si>
  <si>
    <t xml:space="preserve">08/15/2026 </t>
  </si>
  <si>
    <t>445,1</t>
  </si>
  <si>
    <t xml:space="preserve">Busuk  </t>
  </si>
  <si>
    <t>18,7</t>
  </si>
  <si>
    <t xml:space="preserve">Basah </t>
  </si>
  <si>
    <t xml:space="preserve">08/16/2026 </t>
  </si>
  <si>
    <t>16,5</t>
  </si>
  <si>
    <t>519,5</t>
  </si>
  <si>
    <t>45,8</t>
  </si>
  <si>
    <t>08/17/2026</t>
  </si>
  <si>
    <t>2,5</t>
  </si>
  <si>
    <t>3,4</t>
  </si>
  <si>
    <t>terkontaminasi</t>
  </si>
  <si>
    <t xml:space="preserve">08/18/2026 </t>
  </si>
  <si>
    <t>489,3</t>
  </si>
  <si>
    <t>17/09/2029</t>
  </si>
  <si>
    <t>18/09/2026</t>
  </si>
  <si>
    <t>08/20/2026</t>
  </si>
  <si>
    <t>19/09/2026</t>
  </si>
  <si>
    <t xml:space="preserve">412,3 </t>
  </si>
  <si>
    <t xml:space="preserve">08/21/2026 </t>
  </si>
  <si>
    <t>Konsumsi instruktur senam</t>
  </si>
  <si>
    <t xml:space="preserve">Tidak bisa digunakan </t>
  </si>
  <si>
    <t>20/09/2026</t>
  </si>
  <si>
    <t>42,8</t>
  </si>
  <si>
    <t xml:space="preserve">30,1 </t>
  </si>
  <si>
    <t xml:space="preserve">08/23/2026 </t>
  </si>
  <si>
    <t xml:space="preserve">Berair </t>
  </si>
  <si>
    <t>08/24/2026</t>
  </si>
  <si>
    <t>08/25/2026</t>
  </si>
  <si>
    <t>08/26/2026</t>
  </si>
  <si>
    <t>08/27/2026</t>
  </si>
  <si>
    <t>08/28/2026</t>
  </si>
  <si>
    <t>13,6</t>
  </si>
  <si>
    <t>38,3</t>
  </si>
  <si>
    <t>34,6</t>
  </si>
  <si>
    <t xml:space="preserve">Terjatuh </t>
  </si>
  <si>
    <t>226,3</t>
  </si>
  <si>
    <t>14,8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</si>
</sst>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mm/dd/yyyy"/>
    <numFmt numFmtId="166" formatCode="dd/mm/yyyy"/>
    <numFmt numFmtId="167" formatCode="d.m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vertical="bottom"/>
    </xf>
    <xf borderId="1" fillId="0" fontId="4" numFmtId="0" xfId="0" applyBorder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vertical="bottom"/>
    </xf>
    <xf borderId="0" fillId="0" fontId="7" numFmtId="0" xfId="0" applyFont="1"/>
    <xf borderId="1" fillId="2" fontId="2" numFmtId="164" xfId="0" applyAlignment="1" applyBorder="1" applyFill="1" applyFont="1" applyNumberFormat="1">
      <alignment horizontal="center"/>
    </xf>
    <xf borderId="1" fillId="2" fontId="2" numFmtId="0" xfId="0" applyBorder="1" applyFill="1" applyFont="1"/>
    <xf borderId="1" fillId="2" fontId="2" numFmtId="0" xfId="0" applyAlignment="1" applyBorder="1" applyFill="1" applyFont="1">
      <alignment horizontal="center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shrinkToFit="0" vertical="bottom" wrapText="0"/>
    </xf>
    <xf borderId="1" fillId="0" fontId="4" numFmtId="14" xfId="0" applyBorder="1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1" fillId="0" fontId="4" numFmtId="1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3" fontId="4" numFmtId="0" xfId="0" applyAlignment="1" applyBorder="1" applyFill="1" applyFont="1">
      <alignment horizontal="center" readingOrder="0"/>
    </xf>
    <xf borderId="0" fillId="0" fontId="7" numFmtId="165" xfId="0" applyAlignment="1" applyFont="1" applyNumberFormat="1">
      <alignment readingOrder="0"/>
    </xf>
    <xf borderId="1" fillId="0" fontId="4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/>
    </xf>
    <xf borderId="1" fillId="0" fontId="7" numFmtId="165" xfId="0" applyAlignment="1" applyBorder="1" applyFont="1" applyNumberFormat="1">
      <alignment readingOrder="0"/>
    </xf>
    <xf borderId="1" fillId="0" fontId="0" numFmtId="14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/>
    </xf>
    <xf borderId="0" fillId="2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1" fillId="0" fontId="4" numFmtId="1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 vertical="bottom"/>
    </xf>
    <xf borderId="1" fillId="0" fontId="7" numFmtId="165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readingOrder="0"/>
    </xf>
    <xf borderId="1" fillId="4" fontId="4" numFmtId="0" xfId="0" applyAlignment="1" applyBorder="1" applyFill="1" applyFon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4" fontId="7" numFmtId="165" xfId="0" applyAlignment="1" applyBorder="1" applyFill="1" applyFont="1" applyNumberFormat="1">
      <alignment readingOrder="0"/>
    </xf>
    <xf borderId="0" fillId="5" fontId="7" numFmtId="0" xfId="0" applyAlignment="1" applyFill="1" applyFont="1">
      <alignment readingOrder="0"/>
    </xf>
    <xf borderId="0" fillId="4" fontId="7" numFmtId="0" xfId="0" applyAlignment="1" applyFill="1" applyFont="1">
      <alignment readingOrder="0"/>
    </xf>
    <xf borderId="0" fillId="4" fontId="7" numFmtId="0" xfId="0" applyFill="1" applyFont="1"/>
    <xf borderId="1" fillId="0" fontId="7" numFmtId="14" xfId="0" applyAlignment="1" applyBorder="1" applyFont="1" applyNumberFormat="1">
      <alignment horizontal="center" readingOrder="0"/>
    </xf>
    <xf borderId="1" fillId="0" fontId="7" numFmtId="14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/>
    </xf>
    <xf borderId="1" fillId="0" fontId="7" numFmtId="166" xfId="0" applyAlignment="1" applyBorder="1" applyFont="1" applyNumberFormat="1">
      <alignment readingOrder="0"/>
    </xf>
    <xf borderId="1" fillId="0" fontId="7" numFmtId="0" xfId="0" applyAlignment="1" applyBorder="1" applyFont="1">
      <alignment horizontal="right" readingOrder="0"/>
    </xf>
    <xf borderId="1" fillId="0" fontId="7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52.57"/>
    <col customWidth="1" min="3" max="3" width="23.57"/>
    <col customWidth="1" min="4" max="4" width="14.71"/>
    <col customWidth="1" min="5" max="5" width="10.29"/>
    <col customWidth="1" min="6" max="6" width="38.29"/>
    <col customWidth="1" min="7" max="7" width="13.14"/>
    <col customWidth="1" min="8" max="26" width="8.71"/>
  </cols>
  <sheetData>
    <row r="1">
      <c r="A1" s="4">
        <v>6.0</v>
      </c>
      <c r="B1" s="2" t="s">
        <v>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7" t="s">
        <v>15</v>
      </c>
      <c r="B2" s="7" t="s">
        <v>14</v>
      </c>
      <c r="C2" s="7" t="s">
        <v>16</v>
      </c>
      <c r="D2" s="9" t="s">
        <v>17</v>
      </c>
      <c r="E2" s="6"/>
      <c r="F2" s="6"/>
      <c r="G2" s="6"/>
    </row>
    <row r="3">
      <c r="A3" s="7" t="s">
        <v>15</v>
      </c>
      <c r="B3" s="7" t="s">
        <v>20</v>
      </c>
      <c r="C3" s="7" t="s">
        <v>16</v>
      </c>
      <c r="D3" s="9" t="s">
        <v>17</v>
      </c>
      <c r="E3" s="6"/>
      <c r="F3" s="6"/>
      <c r="G3" s="6"/>
    </row>
    <row r="4">
      <c r="A4" s="7" t="s">
        <v>15</v>
      </c>
      <c r="B4" s="7" t="s">
        <v>22</v>
      </c>
      <c r="C4" s="7" t="s">
        <v>16</v>
      </c>
      <c r="D4" s="9" t="s">
        <v>17</v>
      </c>
      <c r="E4" s="6"/>
      <c r="F4" s="6"/>
      <c r="G4" s="6"/>
    </row>
    <row r="5">
      <c r="A5" s="7" t="s">
        <v>15</v>
      </c>
      <c r="B5" s="7" t="s">
        <v>23</v>
      </c>
      <c r="C5" s="7" t="s">
        <v>16</v>
      </c>
      <c r="D5" s="9" t="s">
        <v>17</v>
      </c>
      <c r="E5" s="6"/>
      <c r="F5" s="6"/>
      <c r="G5" s="6"/>
    </row>
    <row r="6">
      <c r="A6" s="7" t="s">
        <v>15</v>
      </c>
      <c r="B6" s="7" t="s">
        <v>24</v>
      </c>
      <c r="C6" s="7" t="s">
        <v>16</v>
      </c>
      <c r="D6" s="9" t="s">
        <v>26</v>
      </c>
      <c r="E6" s="6"/>
      <c r="F6" s="6"/>
      <c r="G6" s="6"/>
    </row>
    <row r="7">
      <c r="A7" s="7" t="s">
        <v>15</v>
      </c>
      <c r="B7" s="7" t="s">
        <v>27</v>
      </c>
      <c r="C7" s="7" t="s">
        <v>16</v>
      </c>
      <c r="D7" s="9" t="s">
        <v>17</v>
      </c>
      <c r="E7" s="6"/>
      <c r="F7" s="6"/>
      <c r="G7" s="6"/>
    </row>
    <row r="8">
      <c r="A8" s="7" t="s">
        <v>15</v>
      </c>
      <c r="B8" s="7" t="s">
        <v>28</v>
      </c>
      <c r="C8" s="7" t="s">
        <v>16</v>
      </c>
      <c r="D8" s="9" t="s">
        <v>17</v>
      </c>
      <c r="E8" s="6"/>
      <c r="F8" s="6"/>
      <c r="G8" s="6"/>
    </row>
    <row r="9">
      <c r="A9" s="7" t="s">
        <v>15</v>
      </c>
      <c r="B9" s="7" t="s">
        <v>29</v>
      </c>
      <c r="C9" s="7" t="s">
        <v>16</v>
      </c>
      <c r="D9" s="9" t="s">
        <v>17</v>
      </c>
      <c r="E9" s="6"/>
      <c r="F9" s="6"/>
      <c r="G9" s="6"/>
    </row>
    <row r="10">
      <c r="A10" s="7" t="s">
        <v>15</v>
      </c>
      <c r="B10" s="7" t="s">
        <v>30</v>
      </c>
      <c r="C10" s="7" t="s">
        <v>16</v>
      </c>
      <c r="D10" s="9" t="s">
        <v>17</v>
      </c>
      <c r="E10" s="6"/>
      <c r="F10" s="6"/>
      <c r="G10" s="6"/>
    </row>
    <row r="11">
      <c r="A11" s="7" t="s">
        <v>15</v>
      </c>
      <c r="B11" s="7" t="s">
        <v>31</v>
      </c>
      <c r="C11" s="7" t="s">
        <v>16</v>
      </c>
      <c r="D11" s="9" t="s">
        <v>17</v>
      </c>
      <c r="E11" s="6"/>
      <c r="F11" s="6"/>
      <c r="G11" s="6"/>
    </row>
    <row r="12">
      <c r="A12" s="7" t="s">
        <v>15</v>
      </c>
      <c r="B12" s="7" t="s">
        <v>32</v>
      </c>
      <c r="C12" s="7" t="s">
        <v>16</v>
      </c>
      <c r="D12" s="9" t="s">
        <v>17</v>
      </c>
      <c r="E12" s="6"/>
      <c r="F12" s="6"/>
      <c r="G12" s="6"/>
    </row>
    <row r="13">
      <c r="A13" s="7" t="s">
        <v>15</v>
      </c>
      <c r="B13" s="7" t="s">
        <v>33</v>
      </c>
      <c r="C13" s="7" t="s">
        <v>16</v>
      </c>
      <c r="D13" s="9" t="s">
        <v>17</v>
      </c>
      <c r="E13" s="6"/>
      <c r="F13" s="6"/>
      <c r="G13" s="6"/>
    </row>
    <row r="14">
      <c r="A14" s="7" t="s">
        <v>15</v>
      </c>
      <c r="B14" s="7" t="s">
        <v>34</v>
      </c>
      <c r="C14" s="7" t="s">
        <v>16</v>
      </c>
      <c r="D14" s="9" t="s">
        <v>17</v>
      </c>
      <c r="E14" s="6"/>
      <c r="F14" s="6"/>
      <c r="G14" s="6"/>
    </row>
    <row r="15">
      <c r="A15" s="7" t="s">
        <v>15</v>
      </c>
      <c r="B15" s="7" t="s">
        <v>36</v>
      </c>
      <c r="C15" s="7" t="s">
        <v>16</v>
      </c>
      <c r="D15" s="9" t="s">
        <v>37</v>
      </c>
      <c r="E15" s="6"/>
      <c r="F15" s="6"/>
      <c r="G15" s="6"/>
    </row>
    <row r="16">
      <c r="A16" s="7" t="s">
        <v>39</v>
      </c>
      <c r="B16" s="7" t="s">
        <v>38</v>
      </c>
      <c r="C16" s="7" t="s">
        <v>40</v>
      </c>
      <c r="D16" s="9" t="s">
        <v>37</v>
      </c>
      <c r="E16" s="6"/>
      <c r="F16" s="6"/>
      <c r="G16" s="6"/>
    </row>
    <row r="17">
      <c r="A17" s="7" t="s">
        <v>39</v>
      </c>
      <c r="B17" s="7" t="s">
        <v>41</v>
      </c>
      <c r="C17" s="7" t="s">
        <v>40</v>
      </c>
      <c r="D17" s="9" t="s">
        <v>37</v>
      </c>
      <c r="E17" s="6"/>
      <c r="F17" s="6"/>
      <c r="G17" s="6"/>
    </row>
    <row r="18">
      <c r="A18" s="7" t="s">
        <v>39</v>
      </c>
      <c r="B18" s="7" t="s">
        <v>43</v>
      </c>
      <c r="C18" s="7" t="s">
        <v>40</v>
      </c>
      <c r="D18" s="9" t="s">
        <v>37</v>
      </c>
      <c r="E18" s="6"/>
      <c r="F18" s="6"/>
      <c r="G18" s="6"/>
    </row>
    <row r="19">
      <c r="A19" s="7" t="s">
        <v>39</v>
      </c>
      <c r="B19" s="7" t="s">
        <v>45</v>
      </c>
      <c r="C19" s="7" t="s">
        <v>40</v>
      </c>
      <c r="D19" s="9" t="s">
        <v>37</v>
      </c>
      <c r="E19" s="6"/>
      <c r="F19" s="6"/>
      <c r="G19" s="6"/>
    </row>
    <row r="20">
      <c r="A20" s="7" t="s">
        <v>39</v>
      </c>
      <c r="B20" s="7" t="s">
        <v>46</v>
      </c>
      <c r="C20" s="7" t="s">
        <v>40</v>
      </c>
      <c r="D20" s="9" t="s">
        <v>37</v>
      </c>
      <c r="E20" s="6"/>
      <c r="F20" s="6"/>
      <c r="G20" s="6"/>
    </row>
    <row r="21" ht="15.75" customHeight="1">
      <c r="A21" s="7" t="s">
        <v>39</v>
      </c>
      <c r="B21" s="7" t="s">
        <v>47</v>
      </c>
      <c r="C21" s="7" t="s">
        <v>40</v>
      </c>
      <c r="D21" s="9" t="s">
        <v>37</v>
      </c>
      <c r="E21" s="6"/>
      <c r="F21" s="6"/>
      <c r="G21" s="6"/>
    </row>
    <row r="22" ht="15.75" customHeight="1">
      <c r="A22" s="7" t="s">
        <v>39</v>
      </c>
      <c r="B22" s="7" t="s">
        <v>48</v>
      </c>
      <c r="C22" s="7" t="s">
        <v>40</v>
      </c>
      <c r="D22" s="9" t="s">
        <v>37</v>
      </c>
      <c r="E22" s="6"/>
      <c r="F22" s="6"/>
      <c r="G22" s="6"/>
    </row>
    <row r="23" ht="15.75" customHeight="1">
      <c r="A23" s="7" t="s">
        <v>15</v>
      </c>
      <c r="B23" s="7" t="s">
        <v>50</v>
      </c>
      <c r="C23" s="7" t="s">
        <v>16</v>
      </c>
      <c r="D23" s="9" t="s">
        <v>17</v>
      </c>
      <c r="E23" s="6"/>
      <c r="F23" s="6"/>
      <c r="G23" s="6"/>
    </row>
    <row r="24" ht="15.75" customHeight="1">
      <c r="A24" s="7" t="s">
        <v>15</v>
      </c>
      <c r="B24" s="7" t="s">
        <v>51</v>
      </c>
      <c r="C24" s="7" t="s">
        <v>16</v>
      </c>
      <c r="D24" s="9" t="s">
        <v>17</v>
      </c>
      <c r="E24" s="6"/>
      <c r="F24" s="6"/>
      <c r="G24" s="6"/>
    </row>
    <row r="25" ht="15.75" customHeight="1">
      <c r="A25" s="7" t="s">
        <v>15</v>
      </c>
      <c r="B25" s="7" t="s">
        <v>52</v>
      </c>
      <c r="C25" s="7" t="s">
        <v>16</v>
      </c>
      <c r="D25" s="9" t="s">
        <v>17</v>
      </c>
      <c r="E25" s="6"/>
      <c r="F25" s="6"/>
      <c r="G25" s="6"/>
    </row>
    <row r="26" ht="15.75" customHeight="1">
      <c r="A26" s="7" t="s">
        <v>15</v>
      </c>
      <c r="B26" s="7" t="s">
        <v>55</v>
      </c>
      <c r="C26" s="7" t="s">
        <v>16</v>
      </c>
      <c r="D26" s="9" t="s">
        <v>17</v>
      </c>
      <c r="E26" s="6"/>
      <c r="F26" s="6"/>
      <c r="G26" s="6"/>
    </row>
    <row r="27" ht="15.75" customHeight="1">
      <c r="A27" s="7" t="s">
        <v>15</v>
      </c>
      <c r="B27" s="7" t="s">
        <v>56</v>
      </c>
      <c r="C27" s="7" t="s">
        <v>16</v>
      </c>
      <c r="D27" s="9" t="s">
        <v>17</v>
      </c>
      <c r="E27" s="6"/>
      <c r="F27" s="6"/>
      <c r="G27" s="6"/>
    </row>
    <row r="28" ht="15.75" customHeight="1">
      <c r="A28" s="7" t="s">
        <v>15</v>
      </c>
      <c r="B28" s="7" t="s">
        <v>57</v>
      </c>
      <c r="C28" s="7" t="s">
        <v>16</v>
      </c>
      <c r="D28" s="9" t="s">
        <v>17</v>
      </c>
      <c r="E28" s="6"/>
      <c r="F28" s="6"/>
      <c r="G28" s="6"/>
    </row>
    <row r="29" ht="15.75" customHeight="1">
      <c r="A29" s="7" t="s">
        <v>15</v>
      </c>
      <c r="B29" s="7" t="s">
        <v>58</v>
      </c>
      <c r="C29" s="7" t="s">
        <v>16</v>
      </c>
      <c r="D29" s="9" t="s">
        <v>17</v>
      </c>
      <c r="E29" s="6"/>
      <c r="F29" s="6"/>
      <c r="G29" s="6"/>
    </row>
    <row r="30" ht="15.75" customHeight="1">
      <c r="A30" s="7" t="s">
        <v>15</v>
      </c>
      <c r="B30" s="7" t="s">
        <v>60</v>
      </c>
      <c r="C30" s="7" t="s">
        <v>16</v>
      </c>
      <c r="D30" s="9" t="s">
        <v>17</v>
      </c>
      <c r="E30" s="6"/>
      <c r="F30" s="6"/>
      <c r="G30" s="6"/>
    </row>
    <row r="31" ht="15.75" customHeight="1">
      <c r="A31" s="7" t="s">
        <v>15</v>
      </c>
      <c r="B31" s="7" t="s">
        <v>61</v>
      </c>
      <c r="C31" s="7" t="s">
        <v>16</v>
      </c>
      <c r="D31" s="9" t="s">
        <v>17</v>
      </c>
      <c r="E31" s="6"/>
      <c r="F31" s="6"/>
      <c r="G31" s="6"/>
    </row>
    <row r="32" ht="15.75" customHeight="1">
      <c r="A32" s="7" t="s">
        <v>15</v>
      </c>
      <c r="B32" s="7" t="s">
        <v>62</v>
      </c>
      <c r="C32" s="7" t="s">
        <v>16</v>
      </c>
      <c r="D32" s="9" t="s">
        <v>17</v>
      </c>
      <c r="E32" s="6"/>
      <c r="F32" s="6"/>
      <c r="G32" s="6"/>
    </row>
    <row r="33" ht="15.75" customHeight="1">
      <c r="A33" s="7" t="s">
        <v>15</v>
      </c>
      <c r="B33" s="7" t="s">
        <v>64</v>
      </c>
      <c r="C33" s="7" t="s">
        <v>16</v>
      </c>
      <c r="D33" s="9" t="s">
        <v>17</v>
      </c>
      <c r="E33" s="6"/>
      <c r="F33" s="6"/>
      <c r="G33" s="6"/>
    </row>
    <row r="34" ht="15.75" customHeight="1">
      <c r="A34" s="7" t="s">
        <v>39</v>
      </c>
      <c r="B34" s="7" t="s">
        <v>65</v>
      </c>
      <c r="C34" s="7" t="s">
        <v>40</v>
      </c>
      <c r="D34" s="9" t="s">
        <v>37</v>
      </c>
      <c r="E34" s="6"/>
      <c r="F34" s="6"/>
      <c r="G34" s="6"/>
    </row>
    <row r="35" ht="15.75" customHeight="1">
      <c r="A35" s="7" t="s">
        <v>15</v>
      </c>
      <c r="B35" s="7" t="s">
        <v>66</v>
      </c>
      <c r="C35" s="7" t="s">
        <v>16</v>
      </c>
      <c r="D35" s="9" t="s">
        <v>17</v>
      </c>
      <c r="E35" s="6"/>
      <c r="F35" s="6"/>
      <c r="G35" s="6"/>
    </row>
    <row r="36" ht="15.75" customHeight="1">
      <c r="A36" s="7" t="s">
        <v>15</v>
      </c>
      <c r="B36" s="7" t="s">
        <v>67</v>
      </c>
      <c r="C36" s="7" t="s">
        <v>16</v>
      </c>
      <c r="D36" s="9" t="s">
        <v>17</v>
      </c>
      <c r="E36" s="6"/>
      <c r="F36" s="6"/>
      <c r="G36" s="6"/>
    </row>
    <row r="37" ht="15.75" customHeight="1">
      <c r="A37" s="7" t="s">
        <v>15</v>
      </c>
      <c r="B37" s="7" t="s">
        <v>69</v>
      </c>
      <c r="C37" s="7" t="s">
        <v>16</v>
      </c>
      <c r="D37" s="9" t="s">
        <v>17</v>
      </c>
      <c r="E37" s="6"/>
      <c r="F37" s="6"/>
      <c r="G37" s="6"/>
    </row>
    <row r="38" ht="15.75" customHeight="1">
      <c r="A38" s="7" t="s">
        <v>39</v>
      </c>
      <c r="B38" s="7" t="s">
        <v>70</v>
      </c>
      <c r="C38" s="7" t="s">
        <v>40</v>
      </c>
      <c r="D38" s="9" t="s">
        <v>37</v>
      </c>
      <c r="E38" s="6"/>
      <c r="F38" s="6"/>
      <c r="G38" s="6"/>
    </row>
    <row r="39" ht="15.75" customHeight="1">
      <c r="A39" s="7" t="s">
        <v>15</v>
      </c>
      <c r="B39" s="7" t="s">
        <v>71</v>
      </c>
      <c r="C39" s="7" t="s">
        <v>16</v>
      </c>
      <c r="D39" s="9" t="s">
        <v>17</v>
      </c>
      <c r="E39" s="6"/>
      <c r="F39" s="6"/>
      <c r="G39" s="6"/>
    </row>
    <row r="40" ht="15.75" customHeight="1">
      <c r="A40" s="7" t="s">
        <v>15</v>
      </c>
      <c r="B40" s="7" t="s">
        <v>74</v>
      </c>
      <c r="C40" s="7" t="s">
        <v>16</v>
      </c>
      <c r="D40" s="9" t="s">
        <v>17</v>
      </c>
      <c r="E40" s="6"/>
      <c r="F40" s="6"/>
      <c r="G40" s="6"/>
    </row>
    <row r="41" ht="15.75" customHeight="1">
      <c r="A41" s="7" t="s">
        <v>15</v>
      </c>
      <c r="B41" s="7" t="s">
        <v>75</v>
      </c>
      <c r="C41" s="7" t="s">
        <v>16</v>
      </c>
      <c r="D41" s="9" t="s">
        <v>17</v>
      </c>
      <c r="E41" s="6"/>
      <c r="F41" s="6"/>
      <c r="G41" s="6"/>
    </row>
    <row r="42" ht="15.75" customHeight="1">
      <c r="A42" s="7" t="s">
        <v>15</v>
      </c>
      <c r="B42" s="7" t="s">
        <v>76</v>
      </c>
      <c r="C42" s="7" t="s">
        <v>16</v>
      </c>
      <c r="D42" s="9" t="s">
        <v>37</v>
      </c>
      <c r="E42" s="6"/>
      <c r="F42" s="6"/>
      <c r="G42" s="6"/>
    </row>
    <row r="43" ht="15.75" customHeight="1">
      <c r="A43" s="7" t="s">
        <v>15</v>
      </c>
      <c r="B43" s="7" t="s">
        <v>77</v>
      </c>
      <c r="C43" s="7" t="s">
        <v>16</v>
      </c>
      <c r="D43" s="9" t="s">
        <v>37</v>
      </c>
      <c r="E43" s="6"/>
      <c r="F43" s="6"/>
      <c r="G43" s="6"/>
    </row>
    <row r="44" ht="15.75" customHeight="1">
      <c r="A44" s="7" t="s">
        <v>15</v>
      </c>
      <c r="B44" s="7" t="s">
        <v>79</v>
      </c>
      <c r="C44" s="7" t="s">
        <v>16</v>
      </c>
      <c r="D44" s="9" t="s">
        <v>37</v>
      </c>
      <c r="E44" s="6"/>
      <c r="F44" s="6"/>
      <c r="G44" s="6"/>
    </row>
    <row r="45" ht="15.75" customHeight="1">
      <c r="A45" s="7" t="s">
        <v>15</v>
      </c>
      <c r="B45" s="7" t="s">
        <v>80</v>
      </c>
      <c r="C45" s="7" t="s">
        <v>16</v>
      </c>
      <c r="D45" s="9" t="s">
        <v>37</v>
      </c>
      <c r="E45" s="6"/>
      <c r="F45" s="6"/>
      <c r="G45" s="6"/>
    </row>
    <row r="46" ht="15.75" customHeight="1">
      <c r="A46" s="7" t="s">
        <v>15</v>
      </c>
      <c r="B46" s="7" t="s">
        <v>81</v>
      </c>
      <c r="C46" s="7" t="s">
        <v>16</v>
      </c>
      <c r="D46" s="9" t="s">
        <v>17</v>
      </c>
      <c r="E46" s="6"/>
      <c r="F46" s="6"/>
      <c r="G46" s="6"/>
    </row>
    <row r="47" ht="15.75" customHeight="1">
      <c r="A47" s="7" t="s">
        <v>15</v>
      </c>
      <c r="B47" s="7" t="s">
        <v>82</v>
      </c>
      <c r="C47" s="7" t="s">
        <v>16</v>
      </c>
      <c r="D47" s="9" t="s">
        <v>17</v>
      </c>
      <c r="E47" s="6"/>
      <c r="F47" s="6"/>
      <c r="G47" s="6"/>
    </row>
    <row r="48" ht="15.75" customHeight="1">
      <c r="A48" s="7" t="s">
        <v>15</v>
      </c>
      <c r="B48" s="7" t="s">
        <v>85</v>
      </c>
      <c r="C48" s="7" t="s">
        <v>16</v>
      </c>
      <c r="D48" s="9" t="s">
        <v>17</v>
      </c>
      <c r="E48" s="6"/>
      <c r="F48" s="6"/>
      <c r="G48" s="6"/>
    </row>
    <row r="49" ht="15.75" customHeight="1">
      <c r="A49" s="7" t="s">
        <v>15</v>
      </c>
      <c r="B49" s="7" t="s">
        <v>86</v>
      </c>
      <c r="C49" s="7" t="s">
        <v>16</v>
      </c>
      <c r="D49" s="9" t="s">
        <v>17</v>
      </c>
      <c r="E49" s="6"/>
      <c r="F49" s="6"/>
      <c r="G49" s="6"/>
    </row>
    <row r="50" ht="15.75" customHeight="1">
      <c r="A50" s="7" t="s">
        <v>15</v>
      </c>
      <c r="B50" s="7" t="s">
        <v>87</v>
      </c>
      <c r="C50" s="7" t="s">
        <v>16</v>
      </c>
      <c r="D50" s="9" t="s">
        <v>17</v>
      </c>
      <c r="E50" s="6"/>
      <c r="F50" s="6"/>
      <c r="G50" s="6"/>
    </row>
    <row r="51" ht="15.75" customHeight="1">
      <c r="A51" s="7" t="s">
        <v>15</v>
      </c>
      <c r="B51" s="7" t="s">
        <v>89</v>
      </c>
      <c r="C51" s="7" t="s">
        <v>16</v>
      </c>
      <c r="D51" s="9" t="s">
        <v>17</v>
      </c>
      <c r="E51" s="6"/>
      <c r="F51" s="6"/>
      <c r="G51" s="6"/>
    </row>
    <row r="52" ht="15.75" customHeight="1">
      <c r="A52" s="7" t="s">
        <v>15</v>
      </c>
      <c r="B52" s="7" t="s">
        <v>90</v>
      </c>
      <c r="C52" s="7" t="s">
        <v>16</v>
      </c>
      <c r="D52" s="9" t="s">
        <v>17</v>
      </c>
      <c r="E52" s="6"/>
      <c r="F52" s="6"/>
      <c r="G52" s="6"/>
    </row>
    <row r="53" ht="15.75" customHeight="1">
      <c r="A53" s="7" t="s">
        <v>15</v>
      </c>
      <c r="B53" s="7" t="s">
        <v>91</v>
      </c>
      <c r="C53" s="7" t="s">
        <v>16</v>
      </c>
      <c r="D53" s="9" t="s">
        <v>17</v>
      </c>
      <c r="E53" s="6"/>
      <c r="F53" s="6"/>
      <c r="G53" s="6"/>
    </row>
    <row r="54" ht="15.75" customHeight="1">
      <c r="A54" s="7" t="s">
        <v>15</v>
      </c>
      <c r="B54" s="7" t="s">
        <v>92</v>
      </c>
      <c r="C54" s="7" t="s">
        <v>16</v>
      </c>
      <c r="D54" s="9" t="s">
        <v>17</v>
      </c>
      <c r="E54" s="6"/>
      <c r="F54" s="6"/>
      <c r="G54" s="6"/>
    </row>
    <row r="55" ht="15.75" customHeight="1">
      <c r="A55" s="7" t="s">
        <v>39</v>
      </c>
      <c r="B55" s="7" t="s">
        <v>93</v>
      </c>
      <c r="C55" s="7" t="s">
        <v>40</v>
      </c>
      <c r="D55" s="9" t="s">
        <v>37</v>
      </c>
      <c r="E55" s="6"/>
      <c r="F55" s="6"/>
      <c r="G55" s="6"/>
    </row>
    <row r="56" ht="15.75" customHeight="1">
      <c r="A56" s="7" t="s">
        <v>39</v>
      </c>
      <c r="B56" s="7" t="s">
        <v>94</v>
      </c>
      <c r="C56" s="7" t="s">
        <v>40</v>
      </c>
      <c r="D56" s="9" t="s">
        <v>37</v>
      </c>
      <c r="E56" s="6"/>
      <c r="F56" s="6"/>
      <c r="G56" s="6"/>
    </row>
    <row r="57" ht="15.75" customHeight="1">
      <c r="A57" s="7" t="s">
        <v>39</v>
      </c>
      <c r="B57" s="7" t="s">
        <v>95</v>
      </c>
      <c r="C57" s="7" t="s">
        <v>40</v>
      </c>
      <c r="D57" s="9" t="s">
        <v>37</v>
      </c>
      <c r="E57" s="6"/>
      <c r="F57" s="6"/>
      <c r="G57" s="6"/>
    </row>
    <row r="58" ht="15.75" customHeight="1">
      <c r="A58" s="7" t="s">
        <v>15</v>
      </c>
      <c r="B58" s="7" t="s">
        <v>96</v>
      </c>
      <c r="C58" s="7" t="s">
        <v>16</v>
      </c>
      <c r="D58" s="9" t="s">
        <v>17</v>
      </c>
      <c r="E58" s="6"/>
      <c r="F58" s="6"/>
      <c r="G58" s="6"/>
    </row>
    <row r="59" ht="15.75" customHeight="1">
      <c r="A59" s="7" t="s">
        <v>15</v>
      </c>
      <c r="B59" s="7" t="s">
        <v>98</v>
      </c>
      <c r="C59" s="7" t="s">
        <v>16</v>
      </c>
      <c r="D59" s="9" t="s">
        <v>17</v>
      </c>
      <c r="E59" s="6"/>
      <c r="F59" s="6"/>
      <c r="G59" s="6"/>
    </row>
    <row r="60" ht="15.75" customHeight="1">
      <c r="A60" s="7" t="s">
        <v>15</v>
      </c>
      <c r="B60" s="7" t="s">
        <v>99</v>
      </c>
      <c r="C60" s="7" t="s">
        <v>16</v>
      </c>
      <c r="D60" s="9" t="s">
        <v>17</v>
      </c>
      <c r="E60" s="6"/>
      <c r="F60" s="6"/>
      <c r="G60" s="6"/>
    </row>
    <row r="61" ht="15.75" customHeight="1">
      <c r="A61" s="7" t="s">
        <v>39</v>
      </c>
      <c r="B61" s="7" t="s">
        <v>100</v>
      </c>
      <c r="C61" s="7" t="s">
        <v>40</v>
      </c>
      <c r="D61" s="9" t="s">
        <v>37</v>
      </c>
      <c r="E61" s="6"/>
      <c r="F61" s="6"/>
      <c r="G61" s="6"/>
    </row>
    <row r="62" ht="15.75" customHeight="1">
      <c r="A62" s="7" t="s">
        <v>39</v>
      </c>
      <c r="B62" s="7" t="s">
        <v>102</v>
      </c>
      <c r="C62" s="7" t="s">
        <v>40</v>
      </c>
      <c r="D62" s="9" t="s">
        <v>37</v>
      </c>
      <c r="E62" s="6"/>
      <c r="F62" s="6"/>
      <c r="G62" s="6"/>
    </row>
    <row r="63" ht="15.75" customHeight="1">
      <c r="A63" s="7" t="s">
        <v>39</v>
      </c>
      <c r="B63" s="7" t="s">
        <v>103</v>
      </c>
      <c r="C63" s="7" t="s">
        <v>40</v>
      </c>
      <c r="D63" s="9" t="s">
        <v>37</v>
      </c>
      <c r="E63" s="6"/>
      <c r="F63" s="6"/>
      <c r="G63" s="6"/>
    </row>
    <row r="64" ht="15.75" customHeight="1">
      <c r="A64" s="7" t="s">
        <v>15</v>
      </c>
      <c r="B64" s="7" t="s">
        <v>104</v>
      </c>
      <c r="C64" s="7" t="s">
        <v>16</v>
      </c>
      <c r="D64" s="9" t="s">
        <v>17</v>
      </c>
      <c r="E64" s="6"/>
      <c r="F64" s="6"/>
      <c r="G64" s="6"/>
    </row>
    <row r="65" ht="15.75" customHeight="1">
      <c r="A65" s="7" t="s">
        <v>15</v>
      </c>
      <c r="B65" s="7" t="s">
        <v>106</v>
      </c>
      <c r="C65" s="7" t="s">
        <v>16</v>
      </c>
      <c r="D65" s="9" t="s">
        <v>17</v>
      </c>
      <c r="E65" s="6"/>
      <c r="F65" s="6"/>
      <c r="G65" s="6"/>
    </row>
    <row r="66" ht="15.75" customHeight="1">
      <c r="A66" s="7" t="s">
        <v>15</v>
      </c>
      <c r="B66" s="7" t="s">
        <v>107</v>
      </c>
      <c r="C66" s="7" t="s">
        <v>16</v>
      </c>
      <c r="D66" s="9" t="s">
        <v>17</v>
      </c>
      <c r="E66" s="6"/>
      <c r="F66" s="6"/>
      <c r="G66" s="6"/>
    </row>
    <row r="67" ht="15.75" customHeight="1">
      <c r="A67" s="7" t="s">
        <v>15</v>
      </c>
      <c r="B67" s="7" t="s">
        <v>108</v>
      </c>
      <c r="C67" s="7" t="s">
        <v>16</v>
      </c>
      <c r="D67" s="9" t="s">
        <v>17</v>
      </c>
      <c r="E67" s="6"/>
      <c r="F67" s="6"/>
      <c r="G67" s="6"/>
    </row>
    <row r="68" ht="15.75" customHeight="1">
      <c r="A68" s="7" t="s">
        <v>15</v>
      </c>
      <c r="B68" s="7" t="s">
        <v>109</v>
      </c>
      <c r="C68" s="7" t="s">
        <v>16</v>
      </c>
      <c r="D68" s="9" t="s">
        <v>17</v>
      </c>
      <c r="E68" s="6"/>
      <c r="F68" s="6"/>
      <c r="G68" s="6"/>
    </row>
    <row r="69" ht="15.75" customHeight="1">
      <c r="A69" s="7" t="s">
        <v>15</v>
      </c>
      <c r="B69" s="7" t="s">
        <v>53</v>
      </c>
      <c r="C69" s="7" t="s">
        <v>16</v>
      </c>
      <c r="D69" s="9" t="s">
        <v>17</v>
      </c>
      <c r="E69" s="6"/>
      <c r="F69" s="6"/>
      <c r="G69" s="6"/>
    </row>
    <row r="70" ht="15.75" customHeight="1">
      <c r="A70" s="7" t="s">
        <v>15</v>
      </c>
      <c r="B70" s="7" t="s">
        <v>111</v>
      </c>
      <c r="C70" s="7" t="s">
        <v>16</v>
      </c>
      <c r="D70" s="9" t="s">
        <v>17</v>
      </c>
      <c r="E70" s="6"/>
      <c r="F70" s="6"/>
      <c r="G70" s="6"/>
    </row>
    <row r="71" ht="15.75" customHeight="1">
      <c r="A71" s="7" t="s">
        <v>15</v>
      </c>
      <c r="B71" s="7" t="s">
        <v>112</v>
      </c>
      <c r="C71" s="7" t="s">
        <v>16</v>
      </c>
      <c r="D71" s="9" t="s">
        <v>17</v>
      </c>
      <c r="E71" s="6"/>
      <c r="F71" s="6"/>
      <c r="G71" s="6"/>
    </row>
    <row r="72" ht="15.75" customHeight="1">
      <c r="A72" s="7" t="s">
        <v>114</v>
      </c>
      <c r="B72" s="7" t="s">
        <v>113</v>
      </c>
      <c r="C72" s="7" t="s">
        <v>115</v>
      </c>
      <c r="D72" s="9" t="s">
        <v>116</v>
      </c>
      <c r="E72" s="6"/>
      <c r="F72" s="6"/>
      <c r="G72" s="6"/>
    </row>
    <row r="73" ht="15.75" customHeight="1">
      <c r="A73" s="7" t="s">
        <v>114</v>
      </c>
      <c r="B73" s="7" t="s">
        <v>117</v>
      </c>
      <c r="C73" s="7" t="s">
        <v>115</v>
      </c>
      <c r="D73" s="9" t="s">
        <v>116</v>
      </c>
      <c r="E73" s="6"/>
      <c r="F73" s="6"/>
      <c r="G73" s="6"/>
    </row>
    <row r="74" ht="15.75" customHeight="1">
      <c r="A74" s="7" t="s">
        <v>114</v>
      </c>
      <c r="B74" s="7" t="s">
        <v>118</v>
      </c>
      <c r="C74" s="7" t="s">
        <v>115</v>
      </c>
      <c r="D74" s="9" t="s">
        <v>116</v>
      </c>
      <c r="E74" s="6"/>
      <c r="F74" s="6"/>
      <c r="G74" s="6"/>
    </row>
    <row r="75" ht="15.75" customHeight="1">
      <c r="A75" s="7" t="s">
        <v>114</v>
      </c>
      <c r="B75" s="7" t="s">
        <v>120</v>
      </c>
      <c r="C75" s="7" t="s">
        <v>115</v>
      </c>
      <c r="D75" s="9" t="s">
        <v>116</v>
      </c>
      <c r="E75" s="6"/>
      <c r="F75" s="6"/>
      <c r="G75" s="6"/>
    </row>
    <row r="76" ht="15.75" customHeight="1">
      <c r="A76" s="7" t="s">
        <v>114</v>
      </c>
      <c r="B76" s="7" t="s">
        <v>121</v>
      </c>
      <c r="C76" s="7" t="s">
        <v>115</v>
      </c>
      <c r="D76" s="9" t="s">
        <v>116</v>
      </c>
      <c r="E76" s="6"/>
      <c r="F76" s="6"/>
      <c r="G76" s="6"/>
    </row>
    <row r="77" ht="15.75" customHeight="1">
      <c r="A77" s="7" t="s">
        <v>114</v>
      </c>
      <c r="B77" s="7" t="s">
        <v>122</v>
      </c>
      <c r="C77" s="7" t="s">
        <v>115</v>
      </c>
      <c r="D77" s="9" t="s">
        <v>116</v>
      </c>
      <c r="E77" s="6"/>
      <c r="F77" s="6"/>
      <c r="G77" s="6"/>
    </row>
    <row r="78" ht="15.75" customHeight="1">
      <c r="A78" s="7" t="s">
        <v>114</v>
      </c>
      <c r="B78" s="7" t="s">
        <v>123</v>
      </c>
      <c r="C78" s="7" t="s">
        <v>115</v>
      </c>
      <c r="D78" s="9" t="s">
        <v>116</v>
      </c>
      <c r="E78" s="6"/>
      <c r="F78" s="6"/>
      <c r="G78" s="6"/>
    </row>
    <row r="79" ht="15.75" customHeight="1">
      <c r="A79" s="7" t="s">
        <v>114</v>
      </c>
      <c r="B79" s="7" t="s">
        <v>125</v>
      </c>
      <c r="C79" s="7" t="s">
        <v>115</v>
      </c>
      <c r="D79" s="9" t="s">
        <v>116</v>
      </c>
      <c r="E79" s="6"/>
      <c r="F79" s="6"/>
      <c r="G79" s="6"/>
    </row>
    <row r="80" ht="15.75" customHeight="1">
      <c r="A80" s="7" t="s">
        <v>114</v>
      </c>
      <c r="B80" s="7" t="s">
        <v>126</v>
      </c>
      <c r="C80" s="7" t="s">
        <v>115</v>
      </c>
      <c r="D80" s="9" t="s">
        <v>116</v>
      </c>
      <c r="E80" s="6"/>
      <c r="F80" s="6"/>
      <c r="G80" s="6"/>
    </row>
    <row r="81" ht="15.75" customHeight="1">
      <c r="A81" s="7" t="s">
        <v>114</v>
      </c>
      <c r="B81" s="7" t="s">
        <v>127</v>
      </c>
      <c r="C81" s="7" t="s">
        <v>115</v>
      </c>
      <c r="D81" s="9" t="s">
        <v>116</v>
      </c>
      <c r="E81" s="6"/>
      <c r="F81" s="6"/>
      <c r="G81" s="6"/>
    </row>
    <row r="82" ht="15.75" customHeight="1">
      <c r="A82" s="7" t="s">
        <v>114</v>
      </c>
      <c r="B82" s="7" t="s">
        <v>129</v>
      </c>
      <c r="C82" s="7" t="s">
        <v>115</v>
      </c>
      <c r="D82" s="9" t="s">
        <v>116</v>
      </c>
      <c r="E82" s="6"/>
      <c r="F82" s="6"/>
      <c r="G82" s="6"/>
    </row>
    <row r="83" ht="15.75" customHeight="1">
      <c r="A83" s="7" t="s">
        <v>114</v>
      </c>
      <c r="B83" s="7" t="s">
        <v>130</v>
      </c>
      <c r="C83" s="7" t="s">
        <v>115</v>
      </c>
      <c r="D83" s="9" t="s">
        <v>116</v>
      </c>
      <c r="E83" s="6"/>
      <c r="F83" s="6"/>
      <c r="G83" s="6"/>
    </row>
    <row r="84" ht="15.75" customHeight="1">
      <c r="A84" s="7" t="s">
        <v>114</v>
      </c>
      <c r="B84" s="7" t="s">
        <v>131</v>
      </c>
      <c r="C84" s="7" t="s">
        <v>115</v>
      </c>
      <c r="D84" s="9" t="s">
        <v>116</v>
      </c>
      <c r="E84" s="6"/>
      <c r="F84" s="6"/>
      <c r="G84" s="6"/>
    </row>
    <row r="85" ht="15.75" customHeight="1">
      <c r="A85" s="7" t="s">
        <v>114</v>
      </c>
      <c r="B85" s="7" t="s">
        <v>134</v>
      </c>
      <c r="C85" s="7" t="s">
        <v>115</v>
      </c>
      <c r="D85" s="9" t="s">
        <v>116</v>
      </c>
      <c r="E85" s="6"/>
      <c r="F85" s="6"/>
      <c r="G85" s="6"/>
    </row>
    <row r="86" ht="15.75" customHeight="1">
      <c r="A86" s="7" t="s">
        <v>114</v>
      </c>
      <c r="B86" s="7" t="s">
        <v>135</v>
      </c>
      <c r="C86" s="7" t="s">
        <v>115</v>
      </c>
      <c r="D86" s="9" t="s">
        <v>116</v>
      </c>
      <c r="E86" s="6"/>
      <c r="F86" s="6"/>
      <c r="G86" s="6"/>
    </row>
    <row r="87" ht="15.75" customHeight="1">
      <c r="A87" s="7" t="s">
        <v>114</v>
      </c>
      <c r="B87" s="7" t="s">
        <v>136</v>
      </c>
      <c r="C87" s="7" t="s">
        <v>115</v>
      </c>
      <c r="D87" s="9" t="s">
        <v>116</v>
      </c>
      <c r="E87" s="6"/>
      <c r="F87" s="6"/>
      <c r="G87" s="6"/>
    </row>
    <row r="88" ht="15.75" customHeight="1">
      <c r="A88" s="7" t="s">
        <v>114</v>
      </c>
      <c r="B88" s="7" t="s">
        <v>137</v>
      </c>
      <c r="C88" s="7" t="s">
        <v>115</v>
      </c>
      <c r="D88" s="9" t="s">
        <v>116</v>
      </c>
      <c r="E88" s="6"/>
      <c r="F88" s="6"/>
      <c r="G88" s="6"/>
    </row>
    <row r="89" ht="15.75" customHeight="1">
      <c r="A89" s="7" t="s">
        <v>114</v>
      </c>
      <c r="B89" s="7" t="s">
        <v>140</v>
      </c>
      <c r="C89" s="7" t="s">
        <v>115</v>
      </c>
      <c r="D89" s="9" t="s">
        <v>116</v>
      </c>
      <c r="E89" s="6"/>
      <c r="F89" s="6"/>
      <c r="G89" s="6"/>
    </row>
    <row r="90" ht="15.75" customHeight="1">
      <c r="A90" s="7" t="s">
        <v>114</v>
      </c>
      <c r="B90" s="7" t="s">
        <v>141</v>
      </c>
      <c r="C90" s="7" t="s">
        <v>115</v>
      </c>
      <c r="D90" s="9" t="s">
        <v>116</v>
      </c>
      <c r="E90" s="6"/>
      <c r="F90" s="6"/>
      <c r="G90" s="6"/>
    </row>
    <row r="91" ht="15.75" customHeight="1">
      <c r="A91" s="7" t="s">
        <v>114</v>
      </c>
      <c r="B91" s="7" t="s">
        <v>142</v>
      </c>
      <c r="C91" s="7" t="s">
        <v>115</v>
      </c>
      <c r="D91" s="9" t="s">
        <v>116</v>
      </c>
      <c r="E91" s="6"/>
      <c r="F91" s="6"/>
      <c r="G91" s="6"/>
    </row>
    <row r="92" ht="15.75" customHeight="1">
      <c r="A92" s="7" t="s">
        <v>114</v>
      </c>
      <c r="B92" s="7" t="s">
        <v>143</v>
      </c>
      <c r="C92" s="7" t="s">
        <v>115</v>
      </c>
      <c r="D92" s="9" t="s">
        <v>116</v>
      </c>
      <c r="E92" s="6"/>
      <c r="F92" s="6"/>
      <c r="G92" s="6"/>
    </row>
    <row r="93" ht="15.75" customHeight="1">
      <c r="A93" s="7" t="s">
        <v>114</v>
      </c>
      <c r="B93" s="7" t="s">
        <v>146</v>
      </c>
      <c r="C93" s="7" t="s">
        <v>115</v>
      </c>
      <c r="D93" s="9" t="s">
        <v>116</v>
      </c>
      <c r="E93" s="6"/>
      <c r="F93" s="6"/>
      <c r="G93" s="6"/>
    </row>
    <row r="94" ht="15.75" customHeight="1">
      <c r="A94" s="7" t="s">
        <v>114</v>
      </c>
      <c r="B94" s="7" t="s">
        <v>147</v>
      </c>
      <c r="C94" s="7" t="s">
        <v>115</v>
      </c>
      <c r="D94" s="9" t="s">
        <v>116</v>
      </c>
      <c r="E94" s="6"/>
      <c r="F94" s="6"/>
      <c r="G94" s="6"/>
    </row>
    <row r="95" ht="15.75" customHeight="1">
      <c r="A95" s="7" t="s">
        <v>114</v>
      </c>
      <c r="B95" s="7" t="s">
        <v>148</v>
      </c>
      <c r="C95" s="7" t="s">
        <v>115</v>
      </c>
      <c r="D95" s="9" t="s">
        <v>116</v>
      </c>
      <c r="E95" s="6"/>
      <c r="F95" s="6"/>
      <c r="G95" s="6"/>
    </row>
    <row r="96" ht="15.75" customHeight="1">
      <c r="A96" s="7" t="s">
        <v>114</v>
      </c>
      <c r="B96" s="7" t="s">
        <v>149</v>
      </c>
      <c r="C96" s="7" t="s">
        <v>115</v>
      </c>
      <c r="D96" s="9" t="s">
        <v>116</v>
      </c>
      <c r="E96" s="6"/>
      <c r="F96" s="6"/>
      <c r="G96" s="6"/>
    </row>
    <row r="97" ht="15.75" customHeight="1">
      <c r="A97" s="7" t="s">
        <v>114</v>
      </c>
      <c r="B97" s="7" t="s">
        <v>152</v>
      </c>
      <c r="C97" s="7" t="s">
        <v>115</v>
      </c>
      <c r="D97" s="9" t="s">
        <v>116</v>
      </c>
      <c r="E97" s="6"/>
      <c r="F97" s="6"/>
      <c r="G97" s="6"/>
    </row>
    <row r="98" ht="15.75" customHeight="1">
      <c r="A98" s="7" t="s">
        <v>114</v>
      </c>
      <c r="B98" s="7" t="s">
        <v>153</v>
      </c>
      <c r="C98" s="7" t="s">
        <v>115</v>
      </c>
      <c r="D98" s="9" t="s">
        <v>116</v>
      </c>
      <c r="E98" s="6"/>
      <c r="F98" s="6"/>
      <c r="G98" s="6"/>
    </row>
    <row r="99" ht="15.75" customHeight="1">
      <c r="A99" s="7" t="s">
        <v>114</v>
      </c>
      <c r="B99" s="7" t="s">
        <v>154</v>
      </c>
      <c r="C99" s="7" t="s">
        <v>115</v>
      </c>
      <c r="D99" s="9" t="s">
        <v>116</v>
      </c>
      <c r="E99" s="6"/>
      <c r="F99" s="6"/>
      <c r="G99" s="6"/>
    </row>
    <row r="100" ht="15.75" customHeight="1">
      <c r="A100" s="7" t="s">
        <v>114</v>
      </c>
      <c r="B100" s="7" t="s">
        <v>155</v>
      </c>
      <c r="C100" s="7" t="s">
        <v>115</v>
      </c>
      <c r="D100" s="9" t="s">
        <v>116</v>
      </c>
      <c r="E100" s="6"/>
      <c r="F100" s="6"/>
      <c r="G100" s="6"/>
    </row>
    <row r="101" ht="15.75" customHeight="1">
      <c r="A101" s="7" t="s">
        <v>114</v>
      </c>
      <c r="B101" s="7" t="s">
        <v>158</v>
      </c>
      <c r="C101" s="7" t="s">
        <v>115</v>
      </c>
      <c r="D101" s="9" t="s">
        <v>116</v>
      </c>
      <c r="E101" s="6"/>
      <c r="F101" s="6"/>
      <c r="G101" s="6"/>
    </row>
    <row r="102" ht="15.75" customHeight="1">
      <c r="A102" s="7" t="s">
        <v>114</v>
      </c>
      <c r="B102" s="7" t="s">
        <v>159</v>
      </c>
      <c r="C102" s="7" t="s">
        <v>115</v>
      </c>
      <c r="D102" s="9" t="s">
        <v>116</v>
      </c>
      <c r="E102" s="6"/>
      <c r="F102" s="6"/>
      <c r="G102" s="6"/>
    </row>
    <row r="103" ht="15.75" customHeight="1">
      <c r="A103" s="7" t="s">
        <v>114</v>
      </c>
      <c r="B103" s="7" t="s">
        <v>160</v>
      </c>
      <c r="C103" s="7" t="s">
        <v>115</v>
      </c>
      <c r="D103" s="9" t="s">
        <v>116</v>
      </c>
      <c r="E103" s="6"/>
      <c r="F103" s="6"/>
      <c r="G103" s="6"/>
    </row>
    <row r="104" ht="15.75" customHeight="1">
      <c r="A104" s="7" t="s">
        <v>114</v>
      </c>
      <c r="B104" s="7" t="s">
        <v>161</v>
      </c>
      <c r="C104" s="7" t="s">
        <v>115</v>
      </c>
      <c r="D104" s="9" t="s">
        <v>116</v>
      </c>
      <c r="E104" s="6"/>
      <c r="F104" s="6"/>
      <c r="G104" s="6"/>
    </row>
    <row r="105" ht="15.75" customHeight="1">
      <c r="A105" s="7" t="s">
        <v>114</v>
      </c>
      <c r="B105" s="7" t="s">
        <v>162</v>
      </c>
      <c r="C105" s="7" t="s">
        <v>115</v>
      </c>
      <c r="D105" s="9" t="s">
        <v>116</v>
      </c>
      <c r="E105" s="6"/>
      <c r="F105" s="6"/>
      <c r="G105" s="6"/>
    </row>
    <row r="106" ht="15.75" customHeight="1">
      <c r="A106" s="7" t="s">
        <v>114</v>
      </c>
      <c r="B106" s="7" t="s">
        <v>165</v>
      </c>
      <c r="C106" s="7" t="s">
        <v>115</v>
      </c>
      <c r="D106" s="9" t="s">
        <v>116</v>
      </c>
      <c r="E106" s="6"/>
      <c r="F106" s="6"/>
      <c r="G106" s="6"/>
    </row>
    <row r="107" ht="15.75" customHeight="1">
      <c r="A107" s="7" t="s">
        <v>114</v>
      </c>
      <c r="B107" s="7" t="s">
        <v>166</v>
      </c>
      <c r="C107" s="7" t="s">
        <v>115</v>
      </c>
      <c r="D107" s="9" t="s">
        <v>116</v>
      </c>
      <c r="E107" s="6"/>
      <c r="F107" s="6"/>
      <c r="G107" s="6"/>
    </row>
    <row r="108" ht="15.75" customHeight="1">
      <c r="A108" s="7" t="s">
        <v>114</v>
      </c>
      <c r="B108" s="7" t="s">
        <v>169</v>
      </c>
      <c r="C108" s="7" t="s">
        <v>115</v>
      </c>
      <c r="D108" s="9" t="s">
        <v>116</v>
      </c>
      <c r="E108" s="6"/>
      <c r="F108" s="6"/>
      <c r="G108" s="6"/>
    </row>
    <row r="109" ht="15.75" customHeight="1">
      <c r="A109" s="7" t="s">
        <v>114</v>
      </c>
      <c r="B109" s="7" t="s">
        <v>170</v>
      </c>
      <c r="C109" s="7" t="s">
        <v>115</v>
      </c>
      <c r="D109" s="9" t="s">
        <v>116</v>
      </c>
      <c r="E109" s="6"/>
      <c r="F109" s="6"/>
      <c r="G109" s="6"/>
    </row>
    <row r="110" ht="15.75" customHeight="1">
      <c r="A110" s="7" t="s">
        <v>114</v>
      </c>
      <c r="B110" s="7" t="s">
        <v>171</v>
      </c>
      <c r="C110" s="7" t="s">
        <v>115</v>
      </c>
      <c r="D110" s="9" t="s">
        <v>116</v>
      </c>
      <c r="E110" s="6"/>
      <c r="F110" s="6"/>
      <c r="G110" s="6"/>
    </row>
    <row r="111" ht="15.75" customHeight="1">
      <c r="A111" s="7" t="s">
        <v>114</v>
      </c>
      <c r="B111" s="7" t="s">
        <v>172</v>
      </c>
      <c r="C111" s="7" t="s">
        <v>115</v>
      </c>
      <c r="D111" s="9" t="s">
        <v>116</v>
      </c>
      <c r="E111" s="6"/>
      <c r="F111" s="6"/>
      <c r="G111" s="6"/>
    </row>
    <row r="112" ht="15.75" customHeight="1">
      <c r="A112" s="7" t="s">
        <v>114</v>
      </c>
      <c r="B112" s="7" t="s">
        <v>173</v>
      </c>
      <c r="C112" s="7" t="s">
        <v>115</v>
      </c>
      <c r="D112" s="9" t="s">
        <v>116</v>
      </c>
      <c r="E112" s="6"/>
      <c r="F112" s="6"/>
      <c r="G112" s="6"/>
    </row>
    <row r="113" ht="15.75" customHeight="1">
      <c r="A113" s="7" t="s">
        <v>176</v>
      </c>
      <c r="B113" s="7" t="s">
        <v>175</v>
      </c>
      <c r="C113" s="7" t="s">
        <v>177</v>
      </c>
      <c r="D113" s="9" t="s">
        <v>17</v>
      </c>
      <c r="E113" s="6"/>
      <c r="F113" s="6"/>
      <c r="G113" s="6"/>
    </row>
    <row r="114" ht="15.75" customHeight="1">
      <c r="A114" s="7" t="s">
        <v>176</v>
      </c>
      <c r="B114" s="7" t="s">
        <v>178</v>
      </c>
      <c r="C114" s="7" t="s">
        <v>177</v>
      </c>
      <c r="D114" s="9" t="s">
        <v>17</v>
      </c>
      <c r="E114" s="6"/>
      <c r="F114" s="6"/>
      <c r="G114" s="6"/>
    </row>
    <row r="115" ht="15.75" customHeight="1">
      <c r="A115" s="7" t="s">
        <v>176</v>
      </c>
      <c r="B115" s="7" t="s">
        <v>179</v>
      </c>
      <c r="C115" s="7" t="s">
        <v>177</v>
      </c>
      <c r="D115" s="9" t="s">
        <v>17</v>
      </c>
      <c r="E115" s="6"/>
      <c r="F115" s="6"/>
      <c r="G115" s="6"/>
    </row>
    <row r="116" ht="15.75" customHeight="1">
      <c r="A116" s="7" t="s">
        <v>176</v>
      </c>
      <c r="B116" s="7" t="s">
        <v>181</v>
      </c>
      <c r="C116" s="7" t="s">
        <v>177</v>
      </c>
      <c r="D116" s="9" t="s">
        <v>17</v>
      </c>
      <c r="E116" s="6"/>
      <c r="F116" s="6"/>
      <c r="G116" s="6"/>
    </row>
    <row r="117" ht="15.75" customHeight="1">
      <c r="A117" s="7" t="s">
        <v>176</v>
      </c>
      <c r="B117" s="7" t="s">
        <v>182</v>
      </c>
      <c r="C117" s="7" t="s">
        <v>177</v>
      </c>
      <c r="D117" s="9" t="s">
        <v>17</v>
      </c>
      <c r="E117" s="6"/>
      <c r="F117" s="6"/>
      <c r="G117" s="6"/>
    </row>
    <row r="118" ht="15.75" customHeight="1">
      <c r="A118" s="7" t="s">
        <v>176</v>
      </c>
      <c r="B118" s="7" t="s">
        <v>183</v>
      </c>
      <c r="C118" s="7" t="s">
        <v>177</v>
      </c>
      <c r="D118" s="9" t="s">
        <v>17</v>
      </c>
      <c r="E118" s="6"/>
      <c r="F118" s="6"/>
      <c r="G118" s="6"/>
    </row>
    <row r="119" ht="15.75" customHeight="1">
      <c r="A119" s="7" t="s">
        <v>176</v>
      </c>
      <c r="B119" s="7" t="s">
        <v>184</v>
      </c>
      <c r="C119" s="7" t="s">
        <v>177</v>
      </c>
      <c r="D119" s="9" t="s">
        <v>17</v>
      </c>
      <c r="E119" s="6"/>
      <c r="F119" s="6"/>
      <c r="G119" s="6"/>
    </row>
    <row r="120" ht="15.75" customHeight="1">
      <c r="A120" s="7" t="s">
        <v>176</v>
      </c>
      <c r="B120" s="7" t="s">
        <v>186</v>
      </c>
      <c r="C120" s="7" t="s">
        <v>177</v>
      </c>
      <c r="D120" s="9" t="s">
        <v>17</v>
      </c>
      <c r="E120" s="6"/>
      <c r="F120" s="6"/>
      <c r="G120" s="6"/>
    </row>
    <row r="121" ht="15.75" customHeight="1">
      <c r="A121" s="6"/>
      <c r="B121" s="6"/>
      <c r="C121" s="19"/>
      <c r="D121" s="19"/>
      <c r="E121" s="6"/>
      <c r="F121" s="6"/>
      <c r="G121" s="6"/>
    </row>
    <row r="122" ht="15.75" customHeight="1">
      <c r="A122" s="6"/>
      <c r="B122" s="6"/>
      <c r="C122" s="19"/>
      <c r="D122" s="19"/>
      <c r="E122" s="6"/>
      <c r="F122" s="6"/>
      <c r="G122" s="6"/>
    </row>
    <row r="123" ht="15.75" customHeight="1">
      <c r="A123" s="6"/>
      <c r="B123" s="6"/>
      <c r="C123" s="19"/>
      <c r="D123" s="19"/>
      <c r="E123" s="6"/>
      <c r="F123" s="6"/>
      <c r="G123" s="6"/>
    </row>
    <row r="124" ht="15.75" customHeight="1">
      <c r="A124" s="6"/>
      <c r="B124" s="6"/>
      <c r="C124" s="19"/>
      <c r="D124" s="19"/>
      <c r="E124" s="6"/>
      <c r="F124" s="6"/>
      <c r="G124" s="6"/>
    </row>
    <row r="125" ht="15.75" customHeight="1">
      <c r="A125" s="6"/>
      <c r="B125" s="6"/>
      <c r="C125" s="19"/>
      <c r="D125" s="19"/>
      <c r="E125" s="6"/>
      <c r="F125" s="6"/>
      <c r="G125" s="6"/>
    </row>
    <row r="126" ht="15.75" customHeight="1">
      <c r="A126" s="6"/>
      <c r="B126" s="6"/>
      <c r="C126" s="19"/>
      <c r="D126" s="19"/>
      <c r="E126" s="6"/>
      <c r="F126" s="6"/>
      <c r="G126" s="6"/>
    </row>
    <row r="127" ht="15.75" customHeight="1">
      <c r="A127" s="6"/>
      <c r="B127" s="6"/>
      <c r="C127" s="19"/>
      <c r="D127" s="19"/>
      <c r="E127" s="6"/>
      <c r="F127" s="6"/>
      <c r="G127" s="6"/>
    </row>
    <row r="128" ht="15.75" customHeight="1">
      <c r="A128" s="6"/>
      <c r="B128" s="6"/>
      <c r="C128" s="19"/>
      <c r="D128" s="19"/>
      <c r="E128" s="6"/>
      <c r="F128" s="6"/>
      <c r="G128" s="6"/>
    </row>
    <row r="129" ht="15.75" customHeight="1">
      <c r="A129" s="6"/>
      <c r="B129" s="6"/>
      <c r="C129" s="19"/>
      <c r="D129" s="19"/>
      <c r="E129" s="6"/>
      <c r="F129" s="6"/>
      <c r="G129" s="6"/>
    </row>
    <row r="130" ht="15.75" customHeight="1">
      <c r="A130" s="6"/>
      <c r="B130" s="6"/>
      <c r="C130" s="19"/>
      <c r="D130" s="19"/>
      <c r="E130" s="6"/>
      <c r="F130" s="6"/>
      <c r="G130" s="6"/>
    </row>
    <row r="131" ht="15.75" customHeight="1">
      <c r="A131" s="6"/>
      <c r="B131" s="6"/>
      <c r="C131" s="19"/>
      <c r="D131" s="19"/>
      <c r="E131" s="6"/>
      <c r="F131" s="6"/>
      <c r="G131" s="6"/>
    </row>
    <row r="132" ht="15.75" customHeight="1">
      <c r="A132" s="6"/>
      <c r="B132" s="6"/>
      <c r="C132" s="19"/>
      <c r="D132" s="19"/>
      <c r="E132" s="6"/>
      <c r="F132" s="6"/>
      <c r="G132" s="6"/>
    </row>
    <row r="133" ht="15.75" customHeight="1">
      <c r="A133" s="6"/>
      <c r="B133" s="6"/>
      <c r="C133" s="19"/>
      <c r="D133" s="19"/>
      <c r="E133" s="6"/>
      <c r="F133" s="6"/>
      <c r="G133" s="6"/>
    </row>
    <row r="134" ht="15.75" customHeight="1">
      <c r="A134" s="6"/>
      <c r="B134" s="6"/>
      <c r="C134" s="19"/>
      <c r="D134" s="19"/>
      <c r="E134" s="6"/>
      <c r="F134" s="6"/>
      <c r="G134" s="6"/>
    </row>
    <row r="135" ht="15.75" customHeight="1">
      <c r="A135" s="6"/>
      <c r="B135" s="6"/>
      <c r="C135" s="19"/>
      <c r="D135" s="19"/>
      <c r="E135" s="6"/>
      <c r="F135" s="6"/>
      <c r="G135" s="6"/>
    </row>
    <row r="136" ht="15.75" customHeight="1">
      <c r="A136" s="6"/>
      <c r="B136" s="6"/>
      <c r="C136" s="19"/>
      <c r="D136" s="19"/>
      <c r="E136" s="6"/>
      <c r="F136" s="6"/>
      <c r="G136" s="6"/>
    </row>
    <row r="137" ht="15.75" customHeight="1">
      <c r="A137" s="6"/>
      <c r="B137" s="6"/>
      <c r="C137" s="19"/>
      <c r="D137" s="19"/>
      <c r="E137" s="6"/>
      <c r="F137" s="6"/>
      <c r="G137" s="6"/>
    </row>
    <row r="138" ht="15.75" customHeight="1">
      <c r="A138" s="6"/>
      <c r="B138" s="6"/>
      <c r="C138" s="19"/>
      <c r="D138" s="19"/>
      <c r="E138" s="6"/>
      <c r="F138" s="6"/>
      <c r="G138" s="6"/>
    </row>
    <row r="139" ht="15.75" customHeight="1">
      <c r="A139" s="6"/>
      <c r="B139" s="6"/>
      <c r="C139" s="19"/>
      <c r="D139" s="19"/>
      <c r="E139" s="6"/>
      <c r="F139" s="6"/>
      <c r="G139" s="6"/>
    </row>
    <row r="140" ht="15.75" customHeight="1">
      <c r="A140" s="6"/>
      <c r="B140" s="6"/>
      <c r="C140" s="19"/>
      <c r="D140" s="19"/>
      <c r="E140" s="6"/>
      <c r="F140" s="6"/>
      <c r="G140" s="6"/>
    </row>
    <row r="141" ht="15.75" customHeight="1">
      <c r="A141" s="6"/>
      <c r="B141" s="6"/>
      <c r="C141" s="19"/>
      <c r="D141" s="19"/>
      <c r="E141" s="6"/>
      <c r="F141" s="6"/>
      <c r="G141" s="6"/>
    </row>
    <row r="142" ht="15.75" customHeight="1">
      <c r="A142" s="6"/>
      <c r="B142" s="6"/>
      <c r="C142" s="19"/>
      <c r="D142" s="19"/>
      <c r="E142" s="6"/>
      <c r="F142" s="6"/>
      <c r="G142" s="6"/>
    </row>
    <row r="143" ht="15.75" customHeight="1">
      <c r="A143" s="6"/>
      <c r="B143" s="6"/>
      <c r="C143" s="19"/>
      <c r="D143" s="19"/>
      <c r="E143" s="6"/>
      <c r="F143" s="6"/>
      <c r="G143" s="6"/>
    </row>
    <row r="144" ht="15.75" customHeight="1">
      <c r="A144" s="6"/>
      <c r="B144" s="6"/>
      <c r="C144" s="19"/>
      <c r="D144" s="19"/>
      <c r="E144" s="6"/>
      <c r="F144" s="6"/>
      <c r="G144" s="6"/>
    </row>
    <row r="145" ht="15.75" customHeight="1">
      <c r="A145" s="6"/>
      <c r="B145" s="6"/>
      <c r="C145" s="19"/>
      <c r="D145" s="19"/>
      <c r="E145" s="6"/>
      <c r="F145" s="6"/>
      <c r="G145" s="6"/>
    </row>
    <row r="146" ht="15.75" customHeight="1">
      <c r="A146" s="6"/>
      <c r="B146" s="6"/>
      <c r="C146" s="19"/>
      <c r="D146" s="19"/>
      <c r="E146" s="6"/>
      <c r="F146" s="6"/>
      <c r="G146" s="6"/>
    </row>
    <row r="147" ht="15.75" customHeight="1">
      <c r="A147" s="6"/>
      <c r="B147" s="6"/>
      <c r="C147" s="19"/>
      <c r="D147" s="19"/>
      <c r="E147" s="6"/>
      <c r="F147" s="6"/>
      <c r="G147" s="6"/>
    </row>
    <row r="148" ht="15.75" customHeight="1">
      <c r="A148" s="6"/>
      <c r="B148" s="6"/>
      <c r="C148" s="19"/>
      <c r="D148" s="19"/>
      <c r="E148" s="6"/>
      <c r="F148" s="6"/>
      <c r="G148" s="6"/>
    </row>
    <row r="149" ht="15.75" customHeight="1">
      <c r="A149" s="6"/>
      <c r="B149" s="6"/>
      <c r="C149" s="19"/>
      <c r="D149" s="19"/>
      <c r="E149" s="6"/>
      <c r="F149" s="6"/>
      <c r="G149" s="6"/>
    </row>
    <row r="150" ht="15.75" customHeight="1">
      <c r="A150" s="6"/>
      <c r="B150" s="6"/>
      <c r="C150" s="19"/>
      <c r="D150" s="19"/>
      <c r="E150" s="6"/>
      <c r="F150" s="6"/>
      <c r="G150" s="6"/>
    </row>
    <row r="151" ht="15.75" customHeight="1">
      <c r="A151" s="6"/>
      <c r="B151" s="6"/>
      <c r="C151" s="19"/>
      <c r="D151" s="19"/>
      <c r="E151" s="6"/>
      <c r="F151" s="6"/>
      <c r="G151" s="6"/>
    </row>
    <row r="152" ht="15.75" customHeight="1">
      <c r="A152" s="6"/>
      <c r="B152" s="6"/>
      <c r="C152" s="19"/>
      <c r="D152" s="19"/>
      <c r="E152" s="6"/>
      <c r="F152" s="6"/>
      <c r="G152" s="6"/>
    </row>
    <row r="153" ht="15.75" customHeight="1">
      <c r="A153" s="6"/>
      <c r="B153" s="6"/>
      <c r="C153" s="19"/>
      <c r="D153" s="19"/>
      <c r="E153" s="6"/>
      <c r="F153" s="6"/>
      <c r="G153" s="6"/>
    </row>
    <row r="154" ht="15.75" customHeight="1">
      <c r="A154" s="6"/>
      <c r="B154" s="6"/>
      <c r="C154" s="19"/>
      <c r="D154" s="19"/>
      <c r="E154" s="6"/>
      <c r="F154" s="6"/>
      <c r="G154" s="6"/>
    </row>
    <row r="155" ht="15.75" customHeight="1">
      <c r="A155" s="6"/>
      <c r="B155" s="6"/>
      <c r="C155" s="19"/>
      <c r="D155" s="19"/>
      <c r="E155" s="6"/>
      <c r="F155" s="6"/>
      <c r="G155" s="6"/>
    </row>
    <row r="156" ht="15.75" customHeight="1">
      <c r="A156" s="6"/>
      <c r="B156" s="6"/>
      <c r="C156" s="19"/>
      <c r="D156" s="19"/>
      <c r="E156" s="6"/>
      <c r="F156" s="6"/>
      <c r="G156" s="6"/>
    </row>
    <row r="157" ht="15.75" customHeight="1">
      <c r="A157" s="6"/>
      <c r="B157" s="6"/>
      <c r="C157" s="19"/>
      <c r="D157" s="19"/>
      <c r="E157" s="6"/>
      <c r="F157" s="6"/>
      <c r="G157" s="6"/>
    </row>
    <row r="158" ht="15.75" customHeight="1">
      <c r="A158" s="6"/>
      <c r="B158" s="6"/>
      <c r="C158" s="19"/>
      <c r="D158" s="19"/>
      <c r="E158" s="6"/>
      <c r="F158" s="6"/>
      <c r="G158" s="6"/>
    </row>
    <row r="159" ht="15.75" customHeight="1">
      <c r="A159" s="6"/>
      <c r="B159" s="6"/>
      <c r="C159" s="19"/>
      <c r="D159" s="19"/>
      <c r="E159" s="6"/>
      <c r="F159" s="6"/>
      <c r="G159" s="6"/>
    </row>
    <row r="160" ht="15.75" customHeight="1">
      <c r="A160" s="6"/>
      <c r="B160" s="6"/>
      <c r="C160" s="19"/>
      <c r="D160" s="19"/>
      <c r="E160" s="6"/>
      <c r="F160" s="6"/>
      <c r="G160" s="6"/>
    </row>
    <row r="161" ht="15.75" customHeight="1">
      <c r="A161" s="6"/>
      <c r="B161" s="6"/>
      <c r="C161" s="19"/>
      <c r="D161" s="19"/>
      <c r="E161" s="6"/>
      <c r="F161" s="6"/>
      <c r="G161" s="6"/>
    </row>
    <row r="162" ht="15.75" customHeight="1">
      <c r="A162" s="6"/>
      <c r="B162" s="6"/>
      <c r="C162" s="19"/>
      <c r="D162" s="19"/>
      <c r="E162" s="6"/>
      <c r="F162" s="6"/>
      <c r="G162" s="6"/>
    </row>
    <row r="163" ht="15.75" customHeight="1">
      <c r="A163" s="6"/>
      <c r="B163" s="6"/>
      <c r="C163" s="19"/>
      <c r="D163" s="19"/>
      <c r="E163" s="6"/>
      <c r="F163" s="6"/>
      <c r="G163" s="6"/>
    </row>
    <row r="164" ht="15.75" customHeight="1">
      <c r="A164" s="6"/>
      <c r="B164" s="6"/>
      <c r="C164" s="19"/>
      <c r="D164" s="19"/>
      <c r="E164" s="6"/>
      <c r="F164" s="6"/>
      <c r="G164" s="6"/>
    </row>
    <row r="165" ht="15.75" customHeight="1">
      <c r="A165" s="6"/>
      <c r="B165" s="6"/>
      <c r="C165" s="19"/>
      <c r="D165" s="19"/>
      <c r="E165" s="6"/>
      <c r="F165" s="6"/>
      <c r="G165" s="6"/>
    </row>
    <row r="166" ht="15.75" customHeight="1">
      <c r="A166" s="6"/>
      <c r="B166" s="6"/>
      <c r="C166" s="19"/>
      <c r="D166" s="19"/>
      <c r="E166" s="6"/>
      <c r="F166" s="6"/>
      <c r="G166" s="6"/>
    </row>
    <row r="167" ht="15.75" customHeight="1">
      <c r="A167" s="6"/>
      <c r="B167" s="6"/>
      <c r="C167" s="19"/>
      <c r="D167" s="19"/>
      <c r="E167" s="6"/>
      <c r="F167" s="6"/>
      <c r="G167" s="6"/>
    </row>
    <row r="168" ht="15.75" customHeight="1">
      <c r="A168" s="6"/>
      <c r="B168" s="6"/>
      <c r="C168" s="19"/>
      <c r="D168" s="19"/>
      <c r="E168" s="6"/>
      <c r="F168" s="6"/>
      <c r="G168" s="6"/>
    </row>
    <row r="169" ht="15.75" customHeight="1">
      <c r="A169" s="6"/>
      <c r="B169" s="6"/>
      <c r="C169" s="19"/>
      <c r="D169" s="19"/>
      <c r="E169" s="6"/>
      <c r="F169" s="6"/>
      <c r="G169" s="6"/>
    </row>
    <row r="170" ht="15.75" customHeight="1">
      <c r="A170" s="6"/>
      <c r="B170" s="6"/>
      <c r="C170" s="19"/>
      <c r="D170" s="19"/>
      <c r="E170" s="6"/>
      <c r="F170" s="6"/>
      <c r="G170" s="6"/>
    </row>
    <row r="171" ht="15.75" customHeight="1">
      <c r="A171" s="6"/>
      <c r="B171" s="6"/>
      <c r="C171" s="19"/>
      <c r="D171" s="19"/>
      <c r="E171" s="6"/>
      <c r="F171" s="6"/>
      <c r="G171" s="6"/>
    </row>
    <row r="172" ht="15.75" customHeight="1">
      <c r="A172" s="6"/>
      <c r="B172" s="6"/>
      <c r="C172" s="19"/>
      <c r="D172" s="19"/>
      <c r="E172" s="6"/>
      <c r="F172" s="6"/>
      <c r="G172" s="6"/>
    </row>
    <row r="173" ht="15.75" customHeight="1">
      <c r="A173" s="6"/>
      <c r="B173" s="6"/>
      <c r="C173" s="19"/>
      <c r="D173" s="19"/>
      <c r="E173" s="6"/>
      <c r="F173" s="6"/>
      <c r="G173" s="6"/>
    </row>
    <row r="174" ht="15.75" customHeight="1">
      <c r="A174" s="6"/>
      <c r="B174" s="6"/>
      <c r="C174" s="19"/>
      <c r="D174" s="19"/>
      <c r="E174" s="6"/>
      <c r="F174" s="6"/>
      <c r="G174" s="6"/>
    </row>
    <row r="175" ht="15.75" customHeight="1">
      <c r="A175" s="6"/>
      <c r="B175" s="6"/>
      <c r="C175" s="19"/>
      <c r="D175" s="19"/>
      <c r="E175" s="6"/>
      <c r="F175" s="6"/>
      <c r="G175" s="6"/>
    </row>
    <row r="176" ht="15.75" customHeight="1">
      <c r="A176" s="6"/>
      <c r="B176" s="6"/>
      <c r="C176" s="19"/>
      <c r="D176" s="19"/>
      <c r="E176" s="6"/>
      <c r="F176" s="6"/>
      <c r="G176" s="6"/>
    </row>
    <row r="177" ht="15.75" customHeight="1">
      <c r="A177" s="6"/>
      <c r="B177" s="6"/>
      <c r="C177" s="19"/>
      <c r="D177" s="19"/>
      <c r="E177" s="6"/>
      <c r="F177" s="6"/>
      <c r="G177" s="6"/>
    </row>
    <row r="178" ht="15.75" customHeight="1">
      <c r="A178" s="6"/>
      <c r="B178" s="6"/>
      <c r="C178" s="19"/>
      <c r="D178" s="19"/>
      <c r="E178" s="6"/>
      <c r="F178" s="6"/>
      <c r="G178" s="6"/>
    </row>
    <row r="179" ht="15.75" customHeight="1">
      <c r="A179" s="6"/>
      <c r="B179" s="6"/>
      <c r="C179" s="19"/>
      <c r="D179" s="19"/>
      <c r="E179" s="6"/>
      <c r="F179" s="6"/>
      <c r="G179" s="6"/>
    </row>
    <row r="180" ht="15.75" customHeight="1">
      <c r="A180" s="6"/>
      <c r="B180" s="6"/>
      <c r="C180" s="19"/>
      <c r="D180" s="19"/>
      <c r="E180" s="6"/>
      <c r="F180" s="6"/>
      <c r="G180" s="6"/>
    </row>
    <row r="181" ht="15.75" customHeight="1">
      <c r="A181" s="6"/>
      <c r="B181" s="6"/>
      <c r="C181" s="19"/>
      <c r="D181" s="19"/>
      <c r="E181" s="6"/>
      <c r="F181" s="6"/>
      <c r="G181" s="6"/>
    </row>
    <row r="182" ht="15.75" customHeight="1">
      <c r="A182" s="6"/>
      <c r="B182" s="6"/>
      <c r="C182" s="19"/>
      <c r="D182" s="19"/>
      <c r="E182" s="6"/>
      <c r="F182" s="6"/>
      <c r="G182" s="6"/>
    </row>
    <row r="183" ht="15.75" customHeight="1">
      <c r="A183" s="6"/>
      <c r="B183" s="6"/>
      <c r="C183" s="19"/>
      <c r="D183" s="19"/>
      <c r="E183" s="6"/>
      <c r="F183" s="6"/>
      <c r="G183" s="6"/>
    </row>
    <row r="184" ht="15.75" customHeight="1">
      <c r="A184" s="6"/>
      <c r="B184" s="6"/>
      <c r="C184" s="19"/>
      <c r="D184" s="19"/>
      <c r="E184" s="6"/>
      <c r="F184" s="6"/>
      <c r="G184" s="6"/>
    </row>
    <row r="185" ht="15.75" customHeight="1">
      <c r="A185" s="6"/>
      <c r="B185" s="6"/>
      <c r="C185" s="19"/>
      <c r="D185" s="19"/>
      <c r="E185" s="6"/>
      <c r="F185" s="6"/>
      <c r="G185" s="6"/>
    </row>
    <row r="186" ht="15.75" customHeight="1">
      <c r="A186" s="6"/>
      <c r="B186" s="6"/>
      <c r="C186" s="19"/>
      <c r="D186" s="19"/>
      <c r="E186" s="6"/>
      <c r="F186" s="6"/>
      <c r="G186" s="6"/>
    </row>
    <row r="187" ht="15.75" customHeight="1">
      <c r="A187" s="6"/>
      <c r="B187" s="6"/>
      <c r="C187" s="19"/>
      <c r="D187" s="19"/>
      <c r="E187" s="6"/>
      <c r="F187" s="6"/>
      <c r="G187" s="6"/>
    </row>
    <row r="188" ht="15.75" customHeight="1">
      <c r="A188" s="6"/>
      <c r="B188" s="6"/>
      <c r="C188" s="19"/>
      <c r="D188" s="19"/>
      <c r="E188" s="6"/>
      <c r="F188" s="6"/>
      <c r="G188" s="6"/>
    </row>
    <row r="189" ht="15.75" customHeight="1">
      <c r="A189" s="6"/>
      <c r="B189" s="6"/>
      <c r="C189" s="19"/>
      <c r="D189" s="19"/>
      <c r="E189" s="6"/>
      <c r="F189" s="6"/>
      <c r="G189" s="6"/>
    </row>
    <row r="190" ht="15.75" customHeight="1">
      <c r="A190" s="6"/>
      <c r="B190" s="6"/>
      <c r="C190" s="19"/>
      <c r="D190" s="19"/>
      <c r="E190" s="6"/>
      <c r="F190" s="6"/>
      <c r="G190" s="6"/>
    </row>
    <row r="191" ht="15.75" customHeight="1">
      <c r="A191" s="6"/>
      <c r="B191" s="6"/>
      <c r="C191" s="19"/>
      <c r="D191" s="19"/>
      <c r="E191" s="6"/>
      <c r="F191" s="6"/>
      <c r="G191" s="6"/>
    </row>
    <row r="192" ht="15.75" customHeight="1">
      <c r="A192" s="6"/>
      <c r="B192" s="6"/>
      <c r="C192" s="19"/>
      <c r="D192" s="19"/>
      <c r="E192" s="6"/>
      <c r="F192" s="6"/>
      <c r="G192" s="6"/>
    </row>
    <row r="193" ht="15.75" customHeight="1">
      <c r="A193" s="6"/>
      <c r="B193" s="6"/>
      <c r="C193" s="19"/>
      <c r="D193" s="19"/>
      <c r="E193" s="6"/>
      <c r="F193" s="6"/>
      <c r="G193" s="6"/>
    </row>
    <row r="194" ht="15.75" customHeight="1">
      <c r="A194" s="6"/>
      <c r="B194" s="6"/>
      <c r="C194" s="19"/>
      <c r="D194" s="19"/>
      <c r="E194" s="6"/>
      <c r="F194" s="6"/>
      <c r="G194" s="6"/>
    </row>
    <row r="195" ht="15.75" customHeight="1">
      <c r="A195" s="6"/>
      <c r="B195" s="6"/>
      <c r="C195" s="19"/>
      <c r="D195" s="19"/>
      <c r="E195" s="6"/>
      <c r="F195" s="6"/>
      <c r="G195" s="6"/>
    </row>
    <row r="196" ht="15.75" customHeight="1">
      <c r="A196" s="6"/>
      <c r="B196" s="6"/>
      <c r="C196" s="19"/>
      <c r="D196" s="19"/>
      <c r="E196" s="6"/>
      <c r="F196" s="6"/>
      <c r="G196" s="6"/>
    </row>
    <row r="197" ht="15.75" customHeight="1">
      <c r="A197" s="6"/>
      <c r="B197" s="6"/>
      <c r="C197" s="19"/>
      <c r="D197" s="19"/>
      <c r="E197" s="6"/>
      <c r="F197" s="6"/>
      <c r="G197" s="6"/>
    </row>
    <row r="198" ht="15.75" customHeight="1">
      <c r="A198" s="6"/>
      <c r="B198" s="6"/>
      <c r="C198" s="19"/>
      <c r="D198" s="19"/>
      <c r="E198" s="6"/>
      <c r="F198" s="6"/>
      <c r="G198" s="6"/>
    </row>
    <row r="199" ht="15.75" customHeight="1">
      <c r="A199" s="6"/>
      <c r="B199" s="6"/>
      <c r="C199" s="19"/>
      <c r="D199" s="19"/>
      <c r="E199" s="6"/>
      <c r="F199" s="6"/>
      <c r="G199" s="6"/>
    </row>
    <row r="200" ht="15.75" customHeight="1">
      <c r="A200" s="6"/>
      <c r="B200" s="6"/>
      <c r="C200" s="19"/>
      <c r="D200" s="19"/>
      <c r="E200" s="6"/>
      <c r="F200" s="6"/>
      <c r="G200" s="6"/>
    </row>
    <row r="201" ht="15.75" customHeight="1">
      <c r="A201" s="6"/>
      <c r="B201" s="6"/>
      <c r="C201" s="19"/>
      <c r="D201" s="19"/>
      <c r="E201" s="6"/>
      <c r="F201" s="6"/>
      <c r="G201" s="6"/>
    </row>
    <row r="202" ht="15.75" customHeight="1">
      <c r="A202" s="6"/>
      <c r="B202" s="6"/>
      <c r="C202" s="19"/>
      <c r="D202" s="19"/>
      <c r="E202" s="6"/>
      <c r="F202" s="6"/>
      <c r="G202" s="6"/>
    </row>
    <row r="203" ht="15.75" customHeight="1">
      <c r="A203" s="6"/>
      <c r="B203" s="6"/>
      <c r="C203" s="19"/>
      <c r="D203" s="19"/>
      <c r="E203" s="6"/>
      <c r="F203" s="6"/>
      <c r="G203" s="6"/>
    </row>
    <row r="204" ht="15.75" customHeight="1">
      <c r="A204" s="6"/>
      <c r="B204" s="6"/>
      <c r="C204" s="19"/>
      <c r="D204" s="19"/>
      <c r="E204" s="6"/>
      <c r="F204" s="6"/>
      <c r="G204" s="6"/>
    </row>
    <row r="205" ht="15.75" customHeight="1">
      <c r="A205" s="6"/>
      <c r="B205" s="6"/>
      <c r="C205" s="19"/>
      <c r="D205" s="19"/>
      <c r="E205" s="6"/>
      <c r="F205" s="6"/>
      <c r="G205" s="6"/>
    </row>
    <row r="206" ht="15.75" customHeight="1">
      <c r="A206" s="6"/>
      <c r="B206" s="6"/>
      <c r="C206" s="19"/>
      <c r="D206" s="19"/>
      <c r="E206" s="6"/>
      <c r="F206" s="6"/>
      <c r="G206" s="6"/>
    </row>
    <row r="207" ht="15.75" customHeight="1">
      <c r="A207" s="6"/>
      <c r="B207" s="6"/>
      <c r="C207" s="19"/>
      <c r="D207" s="19"/>
      <c r="E207" s="6"/>
      <c r="F207" s="6"/>
      <c r="G207" s="6"/>
    </row>
    <row r="208" ht="15.75" customHeight="1">
      <c r="A208" s="6"/>
      <c r="B208" s="6"/>
      <c r="C208" s="19"/>
      <c r="D208" s="19"/>
      <c r="E208" s="6"/>
      <c r="F208" s="6"/>
      <c r="G208" s="6"/>
    </row>
    <row r="209" ht="15.75" customHeight="1">
      <c r="A209" s="6"/>
      <c r="B209" s="6"/>
      <c r="C209" s="19"/>
      <c r="D209" s="19"/>
      <c r="E209" s="6"/>
      <c r="F209" s="6"/>
      <c r="G209" s="6"/>
    </row>
    <row r="210" ht="15.75" customHeight="1">
      <c r="A210" s="6"/>
      <c r="B210" s="6"/>
      <c r="C210" s="19"/>
      <c r="D210" s="19"/>
      <c r="E210" s="6"/>
      <c r="F210" s="6"/>
      <c r="G210" s="6"/>
    </row>
    <row r="211" ht="15.75" customHeight="1">
      <c r="A211" s="6"/>
      <c r="B211" s="6"/>
      <c r="C211" s="19"/>
      <c r="D211" s="19"/>
      <c r="E211" s="6"/>
      <c r="F211" s="6"/>
      <c r="G211" s="6"/>
    </row>
    <row r="212" ht="15.75" customHeight="1">
      <c r="A212" s="6"/>
      <c r="B212" s="6"/>
      <c r="C212" s="19"/>
      <c r="D212" s="19"/>
      <c r="E212" s="6"/>
      <c r="F212" s="6"/>
      <c r="G212" s="6"/>
    </row>
    <row r="213" ht="15.75" customHeight="1">
      <c r="A213" s="6"/>
      <c r="B213" s="6"/>
      <c r="C213" s="19"/>
      <c r="D213" s="19"/>
      <c r="E213" s="6"/>
      <c r="F213" s="6"/>
      <c r="G213" s="6"/>
    </row>
    <row r="214" ht="15.75" customHeight="1">
      <c r="A214" s="6"/>
      <c r="B214" s="6"/>
      <c r="C214" s="19"/>
      <c r="D214" s="19"/>
      <c r="E214" s="6"/>
      <c r="F214" s="6"/>
      <c r="G214" s="6"/>
    </row>
    <row r="215" ht="15.75" customHeight="1">
      <c r="A215" s="6"/>
      <c r="B215" s="6"/>
      <c r="C215" s="19"/>
      <c r="D215" s="19"/>
      <c r="E215" s="6"/>
      <c r="F215" s="6"/>
      <c r="G215" s="6"/>
    </row>
    <row r="216" ht="15.75" customHeight="1">
      <c r="A216" s="6"/>
      <c r="B216" s="6"/>
      <c r="C216" s="19"/>
      <c r="D216" s="19"/>
      <c r="E216" s="6"/>
      <c r="F216" s="6"/>
      <c r="G216" s="6"/>
    </row>
    <row r="217" ht="15.75" customHeight="1">
      <c r="A217" s="6"/>
      <c r="B217" s="6"/>
      <c r="C217" s="19"/>
      <c r="D217" s="19"/>
      <c r="E217" s="6"/>
      <c r="F217" s="6"/>
      <c r="G217" s="6"/>
    </row>
    <row r="218" ht="15.75" customHeight="1">
      <c r="A218" s="6"/>
      <c r="B218" s="6"/>
      <c r="C218" s="19"/>
      <c r="D218" s="19"/>
      <c r="E218" s="6"/>
      <c r="F218" s="6"/>
      <c r="G218" s="6"/>
    </row>
    <row r="219" ht="15.75" customHeight="1">
      <c r="A219" s="6"/>
      <c r="B219" s="6"/>
      <c r="C219" s="19"/>
      <c r="D219" s="19"/>
      <c r="E219" s="6"/>
      <c r="F219" s="6"/>
      <c r="G219" s="6"/>
    </row>
    <row r="220" ht="15.75" customHeight="1">
      <c r="A220" s="6"/>
      <c r="B220" s="6"/>
      <c r="C220" s="19"/>
      <c r="D220" s="19"/>
      <c r="E220" s="6"/>
      <c r="F220" s="6"/>
      <c r="G220" s="6"/>
    </row>
    <row r="221" ht="15.75" customHeight="1">
      <c r="A221" s="6"/>
      <c r="B221" s="6"/>
      <c r="C221" s="19"/>
      <c r="D221" s="19"/>
      <c r="E221" s="6"/>
      <c r="F221" s="6"/>
      <c r="G221" s="6"/>
    </row>
    <row r="222" ht="15.75" customHeight="1">
      <c r="A222" s="6"/>
      <c r="B222" s="6"/>
      <c r="C222" s="19"/>
      <c r="D222" s="19"/>
      <c r="E222" s="6"/>
      <c r="F222" s="6"/>
      <c r="G222" s="6"/>
    </row>
    <row r="223" ht="15.75" customHeight="1">
      <c r="A223" s="6"/>
      <c r="B223" s="6"/>
      <c r="C223" s="19"/>
      <c r="D223" s="19"/>
      <c r="E223" s="6"/>
      <c r="F223" s="6"/>
      <c r="G223" s="6"/>
    </row>
    <row r="224" ht="15.75" customHeight="1">
      <c r="A224" s="6"/>
      <c r="B224" s="6"/>
      <c r="C224" s="19"/>
      <c r="D224" s="19"/>
      <c r="E224" s="6"/>
      <c r="F224" s="6"/>
      <c r="G224" s="6"/>
    </row>
    <row r="225" ht="15.75" customHeight="1">
      <c r="A225" s="6"/>
      <c r="B225" s="6"/>
      <c r="C225" s="19"/>
      <c r="D225" s="19"/>
      <c r="E225" s="6"/>
      <c r="F225" s="6"/>
      <c r="G225" s="6"/>
    </row>
    <row r="226" ht="15.75" customHeight="1">
      <c r="A226" s="6"/>
      <c r="B226" s="6"/>
      <c r="C226" s="19"/>
      <c r="D226" s="19"/>
      <c r="E226" s="6"/>
      <c r="F226" s="6"/>
      <c r="G226" s="6"/>
    </row>
    <row r="227" ht="15.75" customHeight="1">
      <c r="A227" s="6"/>
      <c r="B227" s="6"/>
      <c r="C227" s="19"/>
      <c r="D227" s="19"/>
      <c r="E227" s="6"/>
      <c r="F227" s="6"/>
      <c r="G227" s="6"/>
    </row>
    <row r="228" ht="15.75" customHeight="1">
      <c r="A228" s="6"/>
      <c r="B228" s="6"/>
      <c r="C228" s="19"/>
      <c r="D228" s="19"/>
      <c r="E228" s="6"/>
      <c r="F228" s="6"/>
      <c r="G228" s="6"/>
    </row>
    <row r="229" ht="15.75" customHeight="1">
      <c r="A229" s="6"/>
      <c r="B229" s="6"/>
      <c r="C229" s="19"/>
      <c r="D229" s="19"/>
      <c r="E229" s="6"/>
      <c r="F229" s="6"/>
      <c r="G229" s="6"/>
    </row>
    <row r="230" ht="15.75" customHeight="1">
      <c r="A230" s="6"/>
      <c r="B230" s="6"/>
      <c r="C230" s="19"/>
      <c r="D230" s="19"/>
      <c r="E230" s="6"/>
      <c r="F230" s="6"/>
      <c r="G230" s="6"/>
    </row>
    <row r="231" ht="15.75" customHeight="1">
      <c r="A231" s="6"/>
      <c r="B231" s="6"/>
      <c r="C231" s="19"/>
      <c r="D231" s="19"/>
      <c r="E231" s="6"/>
      <c r="F231" s="6"/>
      <c r="G231" s="6"/>
    </row>
    <row r="232" ht="15.75" customHeight="1">
      <c r="A232" s="6"/>
      <c r="B232" s="6"/>
      <c r="C232" s="19"/>
      <c r="D232" s="19"/>
      <c r="E232" s="6"/>
      <c r="F232" s="6"/>
      <c r="G232" s="6"/>
    </row>
    <row r="233" ht="15.75" customHeight="1">
      <c r="A233" s="6"/>
      <c r="B233" s="6"/>
      <c r="C233" s="19"/>
      <c r="D233" s="19"/>
      <c r="E233" s="6"/>
      <c r="F233" s="6"/>
      <c r="G233" s="6"/>
    </row>
    <row r="234" ht="15.75" customHeight="1">
      <c r="A234" s="6"/>
      <c r="B234" s="6"/>
      <c r="C234" s="19"/>
      <c r="D234" s="19"/>
      <c r="E234" s="6"/>
      <c r="F234" s="6"/>
      <c r="G234" s="6"/>
    </row>
    <row r="235" ht="15.75" customHeight="1">
      <c r="A235" s="6"/>
      <c r="B235" s="6"/>
      <c r="C235" s="19"/>
      <c r="D235" s="19"/>
      <c r="E235" s="6"/>
      <c r="F235" s="6"/>
      <c r="G235" s="6"/>
    </row>
    <row r="236" ht="15.75" customHeight="1">
      <c r="A236" s="6"/>
      <c r="B236" s="6"/>
      <c r="C236" s="19"/>
      <c r="D236" s="19"/>
      <c r="E236" s="6"/>
      <c r="F236" s="6"/>
      <c r="G236" s="6"/>
    </row>
    <row r="237" ht="15.75" customHeight="1">
      <c r="A237" s="6"/>
      <c r="B237" s="6"/>
      <c r="C237" s="19"/>
      <c r="D237" s="19"/>
      <c r="E237" s="6"/>
      <c r="F237" s="6"/>
      <c r="G237" s="6"/>
    </row>
    <row r="238" ht="15.75" customHeight="1">
      <c r="A238" s="6"/>
      <c r="B238" s="6"/>
      <c r="C238" s="19"/>
      <c r="D238" s="19"/>
      <c r="E238" s="6"/>
      <c r="F238" s="6"/>
      <c r="G238" s="6"/>
    </row>
    <row r="239" ht="15.75" customHeight="1">
      <c r="A239" s="6"/>
      <c r="B239" s="6"/>
      <c r="C239" s="19"/>
      <c r="D239" s="19"/>
      <c r="E239" s="6"/>
      <c r="F239" s="6"/>
      <c r="G239" s="6"/>
    </row>
    <row r="240" ht="15.75" customHeight="1">
      <c r="A240" s="6"/>
      <c r="B240" s="6"/>
      <c r="C240" s="19"/>
      <c r="D240" s="19"/>
      <c r="E240" s="6"/>
      <c r="F240" s="6"/>
      <c r="G240" s="6"/>
    </row>
    <row r="241" ht="15.75" customHeight="1">
      <c r="A241" s="6"/>
      <c r="B241" s="6"/>
      <c r="C241" s="19"/>
      <c r="D241" s="19"/>
      <c r="E241" s="6"/>
      <c r="F241" s="6"/>
      <c r="G241" s="6"/>
    </row>
    <row r="242" ht="15.75" customHeight="1">
      <c r="A242" s="6"/>
      <c r="B242" s="6"/>
      <c r="C242" s="19"/>
      <c r="D242" s="19"/>
      <c r="E242" s="6"/>
      <c r="F242" s="6"/>
      <c r="G242" s="6"/>
    </row>
    <row r="243" ht="15.75" customHeight="1">
      <c r="A243" s="6"/>
      <c r="B243" s="6"/>
      <c r="C243" s="19"/>
      <c r="D243" s="19"/>
      <c r="E243" s="6"/>
      <c r="F243" s="6"/>
      <c r="G243" s="6"/>
    </row>
    <row r="244" ht="15.75" customHeight="1">
      <c r="A244" s="6"/>
      <c r="B244" s="6"/>
      <c r="C244" s="19"/>
      <c r="D244" s="19"/>
      <c r="E244" s="6"/>
      <c r="F244" s="6"/>
      <c r="G244" s="6"/>
    </row>
    <row r="245" ht="15.75" customHeight="1">
      <c r="A245" s="6"/>
      <c r="B245" s="6"/>
      <c r="C245" s="19"/>
      <c r="D245" s="19"/>
      <c r="E245" s="6"/>
      <c r="F245" s="6"/>
      <c r="G245" s="6"/>
    </row>
    <row r="246" ht="15.75" customHeight="1">
      <c r="A246" s="6"/>
      <c r="B246" s="6"/>
      <c r="C246" s="19"/>
      <c r="D246" s="19"/>
      <c r="E246" s="6"/>
      <c r="F246" s="6"/>
      <c r="G246" s="6"/>
    </row>
    <row r="247" ht="15.75" customHeight="1">
      <c r="A247" s="6"/>
      <c r="B247" s="6"/>
      <c r="C247" s="19"/>
      <c r="D247" s="19"/>
      <c r="E247" s="6"/>
      <c r="F247" s="6"/>
      <c r="G247" s="6"/>
    </row>
    <row r="248" ht="15.75" customHeight="1">
      <c r="A248" s="6"/>
      <c r="B248" s="6"/>
      <c r="C248" s="19"/>
      <c r="D248" s="19"/>
      <c r="E248" s="6"/>
      <c r="F248" s="6"/>
      <c r="G248" s="6"/>
    </row>
    <row r="249" ht="15.75" customHeight="1">
      <c r="A249" s="6"/>
      <c r="B249" s="6"/>
      <c r="C249" s="19"/>
      <c r="D249" s="19"/>
      <c r="E249" s="6"/>
      <c r="F249" s="6"/>
      <c r="G249" s="6"/>
    </row>
    <row r="250" ht="15.75" customHeight="1">
      <c r="A250" s="6"/>
      <c r="B250" s="6"/>
      <c r="C250" s="19"/>
      <c r="D250" s="19"/>
      <c r="E250" s="6"/>
      <c r="F250" s="6"/>
      <c r="G250" s="6"/>
    </row>
    <row r="251" ht="15.75" customHeight="1">
      <c r="A251" s="6"/>
      <c r="B251" s="6"/>
      <c r="C251" s="19"/>
      <c r="D251" s="19"/>
      <c r="E251" s="6"/>
      <c r="F251" s="6"/>
      <c r="G251" s="6"/>
    </row>
    <row r="252" ht="15.75" customHeight="1">
      <c r="A252" s="6"/>
      <c r="B252" s="6"/>
      <c r="C252" s="19"/>
      <c r="D252" s="19"/>
      <c r="E252" s="6"/>
      <c r="F252" s="6"/>
      <c r="G252" s="6"/>
    </row>
    <row r="253" ht="15.75" customHeight="1">
      <c r="A253" s="6"/>
      <c r="B253" s="6"/>
      <c r="C253" s="19"/>
      <c r="D253" s="19"/>
      <c r="E253" s="6"/>
      <c r="F253" s="6"/>
      <c r="G253" s="6"/>
    </row>
    <row r="254" ht="15.75" customHeight="1">
      <c r="A254" s="6"/>
      <c r="B254" s="6"/>
      <c r="C254" s="19"/>
      <c r="D254" s="19"/>
      <c r="E254" s="6"/>
      <c r="F254" s="6"/>
      <c r="G254" s="6"/>
    </row>
    <row r="255" ht="15.75" customHeight="1">
      <c r="A255" s="6"/>
      <c r="B255" s="6"/>
      <c r="C255" s="19"/>
      <c r="D255" s="19"/>
      <c r="E255" s="6"/>
      <c r="F255" s="6"/>
      <c r="G255" s="6"/>
    </row>
    <row r="256" ht="15.75" customHeight="1">
      <c r="A256" s="6"/>
      <c r="B256" s="6"/>
      <c r="C256" s="19"/>
      <c r="D256" s="19"/>
      <c r="E256" s="6"/>
      <c r="F256" s="6"/>
      <c r="G256" s="6"/>
    </row>
    <row r="257" ht="15.75" customHeight="1">
      <c r="A257" s="6"/>
      <c r="B257" s="6"/>
      <c r="C257" s="19"/>
      <c r="D257" s="19"/>
      <c r="E257" s="6"/>
      <c r="F257" s="6"/>
      <c r="G257" s="6"/>
    </row>
    <row r="258" ht="15.75" customHeight="1">
      <c r="A258" s="6"/>
      <c r="B258" s="6"/>
      <c r="C258" s="19"/>
      <c r="D258" s="19"/>
      <c r="E258" s="6"/>
      <c r="F258" s="6"/>
      <c r="G258" s="6"/>
    </row>
    <row r="259" ht="15.75" customHeight="1">
      <c r="A259" s="6"/>
      <c r="B259" s="6"/>
      <c r="C259" s="19"/>
      <c r="D259" s="19"/>
      <c r="E259" s="6"/>
      <c r="F259" s="6"/>
      <c r="G259" s="6"/>
    </row>
    <row r="260" ht="15.75" customHeight="1">
      <c r="A260" s="6"/>
      <c r="B260" s="6"/>
      <c r="C260" s="19"/>
      <c r="D260" s="19"/>
      <c r="E260" s="6"/>
      <c r="F260" s="6"/>
      <c r="G260" s="6"/>
    </row>
    <row r="261" ht="15.75" customHeight="1">
      <c r="A261" s="6"/>
      <c r="B261" s="6"/>
      <c r="C261" s="19"/>
      <c r="D261" s="19"/>
      <c r="E261" s="6"/>
      <c r="F261" s="6"/>
      <c r="G261" s="6"/>
    </row>
    <row r="262" ht="15.75" customHeight="1">
      <c r="A262" s="6"/>
      <c r="B262" s="6"/>
      <c r="C262" s="19"/>
      <c r="D262" s="19"/>
      <c r="E262" s="6"/>
      <c r="F262" s="6"/>
      <c r="G262" s="6"/>
    </row>
    <row r="263" ht="15.75" customHeight="1">
      <c r="A263" s="6"/>
      <c r="B263" s="6"/>
      <c r="C263" s="19"/>
      <c r="D263" s="19"/>
      <c r="E263" s="6"/>
      <c r="F263" s="6"/>
      <c r="G263" s="6"/>
    </row>
    <row r="264" ht="15.75" customHeight="1">
      <c r="A264" s="6"/>
      <c r="B264" s="6"/>
      <c r="C264" s="19"/>
      <c r="D264" s="19"/>
      <c r="E264" s="6"/>
      <c r="F264" s="6"/>
      <c r="G264" s="6"/>
    </row>
    <row r="265" ht="15.75" customHeight="1">
      <c r="A265" s="6"/>
      <c r="B265" s="6"/>
      <c r="C265" s="19"/>
      <c r="D265" s="19"/>
      <c r="E265" s="6"/>
      <c r="F265" s="6"/>
      <c r="G265" s="6"/>
    </row>
    <row r="266" ht="15.75" customHeight="1">
      <c r="A266" s="6"/>
      <c r="B266" s="6"/>
      <c r="C266" s="19"/>
      <c r="D266" s="19"/>
      <c r="E266" s="6"/>
      <c r="F266" s="6"/>
      <c r="G266" s="6"/>
    </row>
    <row r="267" ht="15.75" customHeight="1">
      <c r="A267" s="6"/>
      <c r="B267" s="6"/>
      <c r="C267" s="19"/>
      <c r="D267" s="19"/>
      <c r="E267" s="6"/>
      <c r="F267" s="6"/>
      <c r="G267" s="6"/>
    </row>
    <row r="268" ht="15.75" customHeight="1">
      <c r="A268" s="6"/>
      <c r="B268" s="6"/>
      <c r="C268" s="19"/>
      <c r="D268" s="19"/>
      <c r="E268" s="6"/>
      <c r="F268" s="6"/>
      <c r="G268" s="6"/>
    </row>
    <row r="269" ht="15.75" customHeight="1">
      <c r="A269" s="6"/>
      <c r="B269" s="6"/>
      <c r="C269" s="19"/>
      <c r="D269" s="19"/>
      <c r="E269" s="6"/>
      <c r="F269" s="6"/>
      <c r="G269" s="6"/>
    </row>
    <row r="270" ht="15.75" customHeight="1">
      <c r="A270" s="6"/>
      <c r="B270" s="6"/>
      <c r="C270" s="19"/>
      <c r="D270" s="19"/>
      <c r="E270" s="6"/>
      <c r="F270" s="6"/>
      <c r="G270" s="6"/>
    </row>
    <row r="271" ht="15.75" customHeight="1">
      <c r="A271" s="6"/>
      <c r="B271" s="6"/>
      <c r="C271" s="19"/>
      <c r="D271" s="19"/>
      <c r="E271" s="6"/>
      <c r="F271" s="6"/>
      <c r="G271" s="6"/>
    </row>
    <row r="272" ht="15.75" customHeight="1">
      <c r="A272" s="6"/>
      <c r="B272" s="6"/>
      <c r="C272" s="19"/>
      <c r="D272" s="19"/>
      <c r="E272" s="6"/>
      <c r="F272" s="6"/>
      <c r="G272" s="6"/>
    </row>
    <row r="273" ht="15.75" customHeight="1">
      <c r="A273" s="6"/>
      <c r="B273" s="6"/>
      <c r="C273" s="19"/>
      <c r="D273" s="19"/>
      <c r="E273" s="6"/>
      <c r="F273" s="6"/>
      <c r="G273" s="6"/>
    </row>
    <row r="274" ht="15.75" customHeight="1">
      <c r="A274" s="6"/>
      <c r="B274" s="6"/>
      <c r="C274" s="19"/>
      <c r="D274" s="19"/>
      <c r="E274" s="6"/>
      <c r="F274" s="6"/>
      <c r="G274" s="6"/>
    </row>
    <row r="275" ht="15.75" customHeight="1">
      <c r="A275" s="6"/>
      <c r="B275" s="6"/>
      <c r="C275" s="19"/>
      <c r="D275" s="19"/>
      <c r="E275" s="6"/>
      <c r="F275" s="6"/>
      <c r="G275" s="6"/>
    </row>
    <row r="276" ht="15.75" customHeight="1">
      <c r="A276" s="6"/>
      <c r="B276" s="6"/>
      <c r="C276" s="19"/>
      <c r="D276" s="19"/>
      <c r="E276" s="6"/>
      <c r="F276" s="6"/>
      <c r="G276" s="6"/>
    </row>
    <row r="277" ht="15.75" customHeight="1">
      <c r="A277" s="6"/>
      <c r="B277" s="6"/>
      <c r="C277" s="19"/>
      <c r="D277" s="19"/>
      <c r="E277" s="6"/>
      <c r="F277" s="6"/>
      <c r="G277" s="6"/>
    </row>
    <row r="278" ht="15.75" customHeight="1">
      <c r="A278" s="6"/>
      <c r="B278" s="6"/>
      <c r="C278" s="19"/>
      <c r="D278" s="19"/>
      <c r="E278" s="6"/>
      <c r="F278" s="6"/>
      <c r="G278" s="6"/>
    </row>
    <row r="279" ht="15.75" customHeight="1">
      <c r="A279" s="6"/>
      <c r="B279" s="6"/>
      <c r="C279" s="19"/>
      <c r="D279" s="19"/>
      <c r="E279" s="6"/>
      <c r="F279" s="6"/>
      <c r="G279" s="6"/>
    </row>
    <row r="280" ht="15.75" customHeight="1">
      <c r="A280" s="6"/>
      <c r="B280" s="6"/>
      <c r="C280" s="19"/>
      <c r="D280" s="19"/>
      <c r="E280" s="6"/>
      <c r="F280" s="6"/>
      <c r="G280" s="6"/>
    </row>
    <row r="281" ht="15.75" customHeight="1">
      <c r="A281" s="6"/>
      <c r="B281" s="6"/>
      <c r="C281" s="19"/>
      <c r="D281" s="19"/>
      <c r="E281" s="6"/>
      <c r="F281" s="6"/>
      <c r="G281" s="6"/>
    </row>
    <row r="282" ht="15.75" customHeight="1">
      <c r="A282" s="6"/>
      <c r="B282" s="6"/>
      <c r="C282" s="19"/>
      <c r="D282" s="19"/>
      <c r="E282" s="6"/>
      <c r="F282" s="6"/>
      <c r="G282" s="6"/>
    </row>
    <row r="283" ht="15.75" customHeight="1">
      <c r="A283" s="6"/>
      <c r="B283" s="6"/>
      <c r="C283" s="19"/>
      <c r="D283" s="19"/>
      <c r="E283" s="6"/>
      <c r="F283" s="6"/>
      <c r="G283" s="6"/>
    </row>
    <row r="284" ht="15.75" customHeight="1">
      <c r="A284" s="6"/>
      <c r="B284" s="6"/>
      <c r="C284" s="19"/>
      <c r="D284" s="19"/>
      <c r="E284" s="6"/>
      <c r="F284" s="6"/>
      <c r="G284" s="6"/>
    </row>
    <row r="285" ht="15.75" customHeight="1">
      <c r="A285" s="6"/>
      <c r="B285" s="6"/>
      <c r="C285" s="19"/>
      <c r="D285" s="19"/>
      <c r="E285" s="6"/>
      <c r="F285" s="6"/>
      <c r="G285" s="6"/>
    </row>
    <row r="286" ht="15.75" customHeight="1">
      <c r="A286" s="6"/>
      <c r="B286" s="6"/>
      <c r="C286" s="19"/>
      <c r="D286" s="19"/>
      <c r="E286" s="6"/>
      <c r="F286" s="6"/>
      <c r="G286" s="6"/>
    </row>
    <row r="287" ht="15.75" customHeight="1">
      <c r="A287" s="6"/>
      <c r="B287" s="6"/>
      <c r="C287" s="19"/>
      <c r="D287" s="19"/>
      <c r="E287" s="6"/>
      <c r="F287" s="6"/>
      <c r="G287" s="6"/>
    </row>
    <row r="288" ht="15.75" customHeight="1">
      <c r="A288" s="6"/>
      <c r="B288" s="6"/>
      <c r="C288" s="19"/>
      <c r="D288" s="19"/>
      <c r="E288" s="6"/>
      <c r="F288" s="6"/>
      <c r="G288" s="6"/>
    </row>
    <row r="289" ht="15.75" customHeight="1">
      <c r="A289" s="6"/>
      <c r="B289" s="6"/>
      <c r="C289" s="19"/>
      <c r="D289" s="19"/>
      <c r="E289" s="6"/>
      <c r="F289" s="6"/>
      <c r="G289" s="6"/>
    </row>
    <row r="290" ht="15.75" customHeight="1">
      <c r="A290" s="6"/>
      <c r="B290" s="6"/>
      <c r="C290" s="19"/>
      <c r="D290" s="19"/>
      <c r="E290" s="6"/>
      <c r="F290" s="6"/>
      <c r="G290" s="6"/>
    </row>
    <row r="291" ht="15.75" customHeight="1">
      <c r="A291" s="6"/>
      <c r="B291" s="6"/>
      <c r="C291" s="19"/>
      <c r="D291" s="19"/>
      <c r="E291" s="6"/>
      <c r="F291" s="6"/>
      <c r="G291" s="6"/>
    </row>
    <row r="292" ht="15.75" customHeight="1">
      <c r="A292" s="6"/>
      <c r="B292" s="6"/>
      <c r="C292" s="19"/>
      <c r="D292" s="19"/>
      <c r="E292" s="6"/>
      <c r="F292" s="6"/>
      <c r="G292" s="6"/>
    </row>
    <row r="293" ht="15.75" customHeight="1">
      <c r="A293" s="6"/>
      <c r="B293" s="6"/>
      <c r="C293" s="19"/>
      <c r="D293" s="19"/>
      <c r="E293" s="6"/>
      <c r="F293" s="6"/>
      <c r="G293" s="6"/>
    </row>
    <row r="294" ht="15.75" customHeight="1">
      <c r="A294" s="6"/>
      <c r="B294" s="6"/>
      <c r="C294" s="19"/>
      <c r="D294" s="19"/>
      <c r="E294" s="6"/>
      <c r="F294" s="6"/>
      <c r="G294" s="6"/>
    </row>
    <row r="295" ht="15.75" customHeight="1">
      <c r="A295" s="6"/>
      <c r="B295" s="6"/>
      <c r="C295" s="19"/>
      <c r="D295" s="19"/>
      <c r="E295" s="6"/>
      <c r="F295" s="6"/>
      <c r="G295" s="6"/>
    </row>
    <row r="296" ht="15.75" customHeight="1">
      <c r="A296" s="6"/>
      <c r="B296" s="6"/>
      <c r="C296" s="19"/>
      <c r="D296" s="19"/>
      <c r="E296" s="6"/>
      <c r="F296" s="6"/>
      <c r="G296" s="6"/>
    </row>
    <row r="297" ht="15.75" customHeight="1">
      <c r="A297" s="6"/>
      <c r="B297" s="6"/>
      <c r="C297" s="19"/>
      <c r="D297" s="19"/>
      <c r="E297" s="6"/>
      <c r="F297" s="6"/>
      <c r="G297" s="6"/>
    </row>
    <row r="298" ht="15.75" customHeight="1">
      <c r="A298" s="6"/>
      <c r="B298" s="6"/>
      <c r="C298" s="19"/>
      <c r="D298" s="19"/>
      <c r="E298" s="6"/>
      <c r="F298" s="6"/>
      <c r="G298" s="6"/>
    </row>
    <row r="299" ht="15.75" customHeight="1">
      <c r="A299" s="6"/>
      <c r="B299" s="6"/>
      <c r="C299" s="19"/>
      <c r="D299" s="19"/>
      <c r="E299" s="6"/>
      <c r="F299" s="6"/>
      <c r="G299" s="6"/>
    </row>
    <row r="300" ht="15.75" customHeight="1">
      <c r="A300" s="6"/>
      <c r="B300" s="6"/>
      <c r="C300" s="19"/>
      <c r="D300" s="19"/>
      <c r="E300" s="6"/>
      <c r="F300" s="6"/>
      <c r="G300" s="6"/>
    </row>
    <row r="301" ht="15.75" customHeight="1">
      <c r="A301" s="6"/>
      <c r="B301" s="6"/>
      <c r="C301" s="19"/>
      <c r="D301" s="19"/>
      <c r="E301" s="6"/>
      <c r="F301" s="6"/>
      <c r="G301" s="6"/>
    </row>
    <row r="302" ht="15.75" customHeight="1">
      <c r="A302" s="6"/>
      <c r="B302" s="6"/>
      <c r="C302" s="19"/>
      <c r="D302" s="19"/>
      <c r="E302" s="6"/>
      <c r="F302" s="6"/>
      <c r="G302" s="6"/>
    </row>
    <row r="303" ht="15.75" customHeight="1">
      <c r="A303" s="6"/>
      <c r="B303" s="6"/>
      <c r="C303" s="19"/>
      <c r="D303" s="19"/>
      <c r="E303" s="6"/>
      <c r="F303" s="6"/>
      <c r="G303" s="6"/>
    </row>
    <row r="304" ht="15.75" customHeight="1">
      <c r="A304" s="6"/>
      <c r="B304" s="6"/>
      <c r="C304" s="19"/>
      <c r="D304" s="19"/>
      <c r="E304" s="6"/>
      <c r="F304" s="6"/>
      <c r="G304" s="6"/>
    </row>
    <row r="305" ht="15.75" customHeight="1">
      <c r="A305" s="6"/>
      <c r="B305" s="6"/>
      <c r="C305" s="19"/>
      <c r="D305" s="19"/>
      <c r="E305" s="6"/>
      <c r="F305" s="6"/>
      <c r="G305" s="6"/>
    </row>
    <row r="306" ht="15.75" customHeight="1">
      <c r="A306" s="6"/>
      <c r="B306" s="6"/>
      <c r="C306" s="19"/>
      <c r="D306" s="19"/>
      <c r="E306" s="6"/>
      <c r="F306" s="6"/>
      <c r="G306" s="6"/>
    </row>
    <row r="307" ht="15.75" customHeight="1">
      <c r="A307" s="6"/>
      <c r="B307" s="6"/>
      <c r="C307" s="19"/>
      <c r="D307" s="19"/>
      <c r="E307" s="6"/>
      <c r="F307" s="6"/>
      <c r="G307" s="6"/>
    </row>
    <row r="308" ht="15.75" customHeight="1">
      <c r="A308" s="6"/>
      <c r="B308" s="6"/>
      <c r="C308" s="19"/>
      <c r="D308" s="19"/>
      <c r="E308" s="6"/>
      <c r="F308" s="6"/>
      <c r="G308" s="6"/>
    </row>
    <row r="309" ht="15.75" customHeight="1">
      <c r="A309" s="6"/>
      <c r="B309" s="6"/>
      <c r="C309" s="19"/>
      <c r="D309" s="19"/>
      <c r="E309" s="6"/>
      <c r="F309" s="6"/>
      <c r="G309" s="6"/>
    </row>
    <row r="310" ht="15.75" customHeight="1">
      <c r="A310" s="6"/>
      <c r="B310" s="6"/>
      <c r="C310" s="19"/>
      <c r="D310" s="19"/>
      <c r="E310" s="6"/>
      <c r="F310" s="6"/>
      <c r="G310" s="6"/>
    </row>
    <row r="311" ht="15.75" customHeight="1">
      <c r="A311" s="6"/>
      <c r="B311" s="6"/>
      <c r="C311" s="19"/>
      <c r="D311" s="19"/>
      <c r="E311" s="6"/>
      <c r="F311" s="6"/>
      <c r="G311" s="6"/>
    </row>
    <row r="312" ht="15.75" customHeight="1">
      <c r="B312" s="21"/>
      <c r="C312" s="24"/>
      <c r="D312" s="24"/>
      <c r="E312" s="25"/>
      <c r="F312" s="25"/>
      <c r="G312" s="25"/>
    </row>
    <row r="313" ht="15.75" customHeight="1">
      <c r="B313" s="21"/>
      <c r="C313" s="24"/>
      <c r="D313" s="24"/>
      <c r="E313" s="25"/>
      <c r="F313" s="25"/>
      <c r="G313" s="25"/>
    </row>
    <row r="314" ht="15.75" customHeight="1">
      <c r="C314" s="24"/>
      <c r="D314" s="24"/>
      <c r="E314" s="25"/>
      <c r="F314" s="25"/>
      <c r="G314" s="25"/>
    </row>
    <row r="315" ht="15.75" customHeight="1">
      <c r="C315" s="24"/>
      <c r="D315" s="24"/>
      <c r="E315" s="25"/>
      <c r="F315" s="25"/>
      <c r="G315" s="25"/>
    </row>
    <row r="316" ht="15.75" customHeight="1">
      <c r="C316" s="24"/>
      <c r="D316" s="24"/>
      <c r="E316" s="25"/>
      <c r="F316" s="25"/>
      <c r="G316" s="25"/>
    </row>
    <row r="317" ht="15.75" customHeight="1">
      <c r="C317" s="24"/>
      <c r="D317" s="24"/>
      <c r="E317" s="25"/>
      <c r="F317" s="25"/>
      <c r="G317" s="25"/>
    </row>
    <row r="318" ht="15.75" customHeight="1">
      <c r="C318" s="24"/>
      <c r="D318" s="24"/>
      <c r="E318" s="25"/>
      <c r="F318" s="25"/>
      <c r="G318" s="25"/>
    </row>
    <row r="319" ht="15.75" customHeight="1">
      <c r="C319" s="24"/>
      <c r="D319" s="24"/>
      <c r="E319" s="25"/>
      <c r="F319" s="25"/>
      <c r="G319" s="25"/>
    </row>
    <row r="320" ht="15.75" customHeight="1">
      <c r="C320" s="24"/>
      <c r="D320" s="24"/>
      <c r="E320" s="25"/>
      <c r="F320" s="25"/>
      <c r="G320" s="25"/>
    </row>
    <row r="321" ht="15.75" customHeight="1">
      <c r="C321" s="24"/>
      <c r="D321" s="24"/>
      <c r="E321" s="25"/>
      <c r="F321" s="25"/>
      <c r="G321" s="25"/>
    </row>
    <row r="322" ht="15.75" customHeight="1">
      <c r="C322" s="24"/>
      <c r="D322" s="24"/>
      <c r="E322" s="25"/>
      <c r="F322" s="25"/>
      <c r="G322" s="25"/>
    </row>
    <row r="323" ht="15.75" customHeight="1">
      <c r="C323" s="24"/>
      <c r="D323" s="24"/>
      <c r="E323" s="25"/>
      <c r="F323" s="25"/>
      <c r="G323" s="25"/>
    </row>
    <row r="324" ht="15.75" customHeight="1">
      <c r="C324" s="24"/>
      <c r="D324" s="24"/>
      <c r="E324" s="25"/>
      <c r="F324" s="25"/>
      <c r="G324" s="25"/>
    </row>
    <row r="325" ht="15.75" customHeight="1">
      <c r="C325" s="24"/>
      <c r="D325" s="24"/>
      <c r="E325" s="25"/>
      <c r="F325" s="25"/>
      <c r="G325" s="25"/>
    </row>
    <row r="326" ht="15.75" customHeight="1">
      <c r="C326" s="24"/>
      <c r="D326" s="24"/>
      <c r="E326" s="25"/>
      <c r="F326" s="25"/>
      <c r="G326" s="25"/>
    </row>
    <row r="327" ht="15.75" customHeight="1">
      <c r="C327" s="24"/>
      <c r="D327" s="24"/>
      <c r="E327" s="25"/>
      <c r="F327" s="25"/>
      <c r="G327" s="25"/>
    </row>
    <row r="328" ht="15.75" customHeight="1">
      <c r="C328" s="24"/>
      <c r="D328" s="24"/>
      <c r="E328" s="25"/>
      <c r="F328" s="25"/>
      <c r="G328" s="25"/>
    </row>
    <row r="329" ht="15.75" customHeight="1">
      <c r="C329" s="24"/>
      <c r="D329" s="24"/>
      <c r="E329" s="25"/>
      <c r="F329" s="25"/>
      <c r="G329" s="25"/>
    </row>
    <row r="330" ht="15.75" customHeight="1">
      <c r="C330" s="24"/>
      <c r="D330" s="24"/>
      <c r="E330" s="25"/>
      <c r="F330" s="25"/>
      <c r="G330" s="25"/>
    </row>
    <row r="331" ht="15.75" customHeight="1">
      <c r="C331" s="24"/>
      <c r="D331" s="24"/>
      <c r="E331" s="25"/>
      <c r="F331" s="25"/>
      <c r="G331" s="25"/>
    </row>
    <row r="332" ht="15.75" customHeight="1">
      <c r="C332" s="24"/>
      <c r="D332" s="24"/>
      <c r="E332" s="25"/>
      <c r="F332" s="25"/>
      <c r="G332" s="25"/>
    </row>
    <row r="333" ht="15.75" customHeight="1">
      <c r="C333" s="24"/>
      <c r="D333" s="24"/>
      <c r="E333" s="25"/>
      <c r="F333" s="25"/>
      <c r="G333" s="25"/>
    </row>
    <row r="334" ht="15.75" customHeight="1">
      <c r="C334" s="24"/>
      <c r="D334" s="24"/>
      <c r="E334" s="25"/>
      <c r="F334" s="25"/>
      <c r="G334" s="25"/>
    </row>
    <row r="335" ht="15.75" customHeight="1">
      <c r="C335" s="24"/>
      <c r="D335" s="24"/>
      <c r="E335" s="25"/>
      <c r="F335" s="25"/>
      <c r="G335" s="25"/>
    </row>
    <row r="336" ht="15.75" customHeight="1">
      <c r="C336" s="24"/>
      <c r="D336" s="24"/>
      <c r="E336" s="25"/>
      <c r="F336" s="25"/>
      <c r="G336" s="25"/>
    </row>
    <row r="337" ht="15.75" customHeight="1">
      <c r="C337" s="24"/>
      <c r="D337" s="24"/>
      <c r="E337" s="25"/>
      <c r="F337" s="25"/>
      <c r="G337" s="25"/>
    </row>
    <row r="338" ht="15.75" customHeight="1">
      <c r="C338" s="24"/>
      <c r="D338" s="24"/>
      <c r="E338" s="25"/>
      <c r="F338" s="25"/>
      <c r="G338" s="25"/>
    </row>
    <row r="339" ht="15.75" customHeight="1">
      <c r="C339" s="24"/>
      <c r="D339" s="24"/>
      <c r="E339" s="25"/>
      <c r="F339" s="25"/>
      <c r="G339" s="25"/>
    </row>
    <row r="340" ht="15.75" customHeight="1">
      <c r="C340" s="24"/>
      <c r="D340" s="24"/>
      <c r="E340" s="25"/>
      <c r="F340" s="25"/>
      <c r="G340" s="25"/>
    </row>
    <row r="341" ht="15.75" customHeight="1">
      <c r="C341" s="24"/>
      <c r="D341" s="24"/>
      <c r="E341" s="25"/>
      <c r="F341" s="25"/>
      <c r="G341" s="25"/>
    </row>
    <row r="342" ht="15.75" customHeight="1">
      <c r="C342" s="24"/>
      <c r="D342" s="24"/>
      <c r="E342" s="25"/>
      <c r="F342" s="25"/>
      <c r="G342" s="25"/>
    </row>
    <row r="343" ht="15.75" customHeight="1">
      <c r="C343" s="24"/>
      <c r="D343" s="24"/>
      <c r="E343" s="25"/>
      <c r="F343" s="25"/>
      <c r="G343" s="25"/>
    </row>
    <row r="344" ht="15.75" customHeight="1">
      <c r="C344" s="24"/>
      <c r="D344" s="24"/>
      <c r="E344" s="25"/>
      <c r="F344" s="25"/>
      <c r="G344" s="25"/>
    </row>
    <row r="345" ht="15.75" customHeight="1">
      <c r="C345" s="24"/>
      <c r="D345" s="24"/>
      <c r="E345" s="25"/>
      <c r="F345" s="25"/>
      <c r="G345" s="25"/>
    </row>
    <row r="346" ht="15.75" customHeight="1">
      <c r="C346" s="24"/>
      <c r="D346" s="24"/>
      <c r="E346" s="25"/>
      <c r="F346" s="25"/>
      <c r="G346" s="25"/>
    </row>
    <row r="347" ht="15.75" customHeight="1">
      <c r="C347" s="24"/>
      <c r="D347" s="24"/>
      <c r="E347" s="25"/>
      <c r="F347" s="25"/>
      <c r="G347" s="25"/>
    </row>
    <row r="348" ht="15.75" customHeight="1">
      <c r="C348" s="24"/>
      <c r="D348" s="24"/>
      <c r="E348" s="25"/>
      <c r="F348" s="25"/>
      <c r="G348" s="25"/>
    </row>
    <row r="349" ht="15.75" customHeight="1">
      <c r="C349" s="24"/>
      <c r="D349" s="24"/>
      <c r="E349" s="25"/>
      <c r="F349" s="25"/>
      <c r="G349" s="25"/>
    </row>
    <row r="350" ht="15.75" customHeight="1">
      <c r="C350" s="24"/>
      <c r="D350" s="24"/>
      <c r="E350" s="25"/>
      <c r="F350" s="25"/>
      <c r="G350" s="25"/>
    </row>
    <row r="351" ht="15.75" customHeight="1">
      <c r="C351" s="24"/>
      <c r="D351" s="24"/>
      <c r="E351" s="25"/>
      <c r="F351" s="25"/>
      <c r="G351" s="25"/>
    </row>
    <row r="352" ht="15.75" customHeight="1">
      <c r="C352" s="24"/>
      <c r="D352" s="24"/>
      <c r="E352" s="25"/>
      <c r="F352" s="25"/>
      <c r="G352" s="25"/>
    </row>
    <row r="353" ht="15.75" customHeight="1">
      <c r="C353" s="24"/>
      <c r="D353" s="24"/>
      <c r="E353" s="25"/>
      <c r="F353" s="25"/>
      <c r="G353" s="25"/>
    </row>
    <row r="354" ht="15.75" customHeight="1">
      <c r="C354" s="24"/>
      <c r="D354" s="24"/>
      <c r="E354" s="25"/>
      <c r="F354" s="25"/>
      <c r="G354" s="25"/>
    </row>
    <row r="355" ht="15.75" customHeight="1">
      <c r="C355" s="24"/>
      <c r="D355" s="24"/>
      <c r="E355" s="25"/>
      <c r="F355" s="25"/>
      <c r="G355" s="25"/>
    </row>
    <row r="356" ht="15.75" customHeight="1">
      <c r="C356" s="24"/>
      <c r="D356" s="24"/>
      <c r="E356" s="25"/>
      <c r="F356" s="25"/>
      <c r="G356" s="25"/>
    </row>
    <row r="357" ht="15.75" customHeight="1">
      <c r="C357" s="24"/>
      <c r="D357" s="24"/>
      <c r="E357" s="25"/>
      <c r="F357" s="25"/>
      <c r="G357" s="25"/>
    </row>
    <row r="358" ht="15.75" customHeight="1">
      <c r="C358" s="24"/>
      <c r="D358" s="24"/>
      <c r="E358" s="25"/>
      <c r="F358" s="25"/>
      <c r="G358" s="25"/>
    </row>
    <row r="359" ht="15.75" customHeight="1">
      <c r="C359" s="24"/>
      <c r="D359" s="24"/>
      <c r="E359" s="25"/>
      <c r="F359" s="25"/>
      <c r="G359" s="25"/>
    </row>
    <row r="360" ht="15.75" customHeight="1">
      <c r="C360" s="24"/>
      <c r="D360" s="24"/>
      <c r="E360" s="25"/>
      <c r="F360" s="25"/>
      <c r="G360" s="25"/>
    </row>
    <row r="361" ht="15.75" customHeight="1">
      <c r="C361" s="24"/>
      <c r="D361" s="24"/>
      <c r="E361" s="25"/>
      <c r="F361" s="25"/>
      <c r="G361" s="25"/>
    </row>
    <row r="362" ht="15.75" customHeight="1">
      <c r="C362" s="24"/>
      <c r="D362" s="24"/>
      <c r="E362" s="25"/>
      <c r="F362" s="25"/>
      <c r="G362" s="25"/>
    </row>
    <row r="363" ht="15.75" customHeight="1">
      <c r="C363" s="24"/>
      <c r="D363" s="24"/>
      <c r="E363" s="25"/>
      <c r="F363" s="25"/>
      <c r="G363" s="25"/>
    </row>
    <row r="364" ht="15.75" customHeight="1">
      <c r="C364" s="24"/>
      <c r="D364" s="24"/>
      <c r="E364" s="25"/>
      <c r="F364" s="25"/>
      <c r="G364" s="25"/>
    </row>
    <row r="365" ht="15.75" customHeight="1">
      <c r="C365" s="24"/>
      <c r="D365" s="24"/>
      <c r="E365" s="25"/>
      <c r="F365" s="25"/>
      <c r="G365" s="25"/>
    </row>
    <row r="366" ht="15.75" customHeight="1">
      <c r="C366" s="24"/>
      <c r="D366" s="24"/>
      <c r="E366" s="25"/>
      <c r="F366" s="25"/>
      <c r="G366" s="25"/>
    </row>
    <row r="367" ht="15.75" customHeight="1">
      <c r="C367" s="24"/>
      <c r="D367" s="24"/>
      <c r="E367" s="25"/>
      <c r="F367" s="25"/>
      <c r="G367" s="25"/>
    </row>
    <row r="368" ht="15.75" customHeight="1">
      <c r="C368" s="24"/>
      <c r="D368" s="24"/>
      <c r="E368" s="25"/>
      <c r="F368" s="25"/>
      <c r="G368" s="25"/>
    </row>
    <row r="369" ht="15.75" customHeight="1">
      <c r="C369" s="24"/>
      <c r="D369" s="24"/>
      <c r="E369" s="25"/>
      <c r="F369" s="25"/>
      <c r="G369" s="25"/>
    </row>
    <row r="370" ht="15.75" customHeight="1">
      <c r="C370" s="24"/>
      <c r="D370" s="24"/>
      <c r="E370" s="25"/>
      <c r="F370" s="25"/>
      <c r="G370" s="25"/>
    </row>
    <row r="371" ht="15.75" customHeight="1">
      <c r="C371" s="24"/>
      <c r="D371" s="24"/>
      <c r="E371" s="25"/>
      <c r="F371" s="25"/>
      <c r="G371" s="25"/>
    </row>
    <row r="372" ht="15.75" customHeight="1">
      <c r="C372" s="24"/>
      <c r="D372" s="24"/>
      <c r="E372" s="25"/>
      <c r="F372" s="25"/>
      <c r="G372" s="25"/>
    </row>
    <row r="373" ht="15.75" customHeight="1">
      <c r="C373" s="24"/>
      <c r="D373" s="24"/>
      <c r="E373" s="25"/>
      <c r="F373" s="25"/>
      <c r="G373" s="25"/>
    </row>
    <row r="374" ht="15.75" customHeight="1">
      <c r="C374" s="24"/>
      <c r="D374" s="24"/>
      <c r="E374" s="25"/>
      <c r="F374" s="25"/>
      <c r="G374" s="25"/>
    </row>
    <row r="375" ht="15.75" customHeight="1">
      <c r="C375" s="24"/>
      <c r="D375" s="24"/>
      <c r="E375" s="25"/>
      <c r="F375" s="25"/>
      <c r="G375" s="25"/>
    </row>
    <row r="376" ht="15.75" customHeight="1">
      <c r="C376" s="24"/>
      <c r="D376" s="24"/>
      <c r="E376" s="25"/>
      <c r="F376" s="25"/>
      <c r="G376" s="25"/>
    </row>
    <row r="377" ht="15.75" customHeight="1">
      <c r="C377" s="24"/>
      <c r="D377" s="24"/>
      <c r="E377" s="25"/>
      <c r="F377" s="25"/>
      <c r="G377" s="25"/>
    </row>
    <row r="378" ht="15.75" customHeight="1">
      <c r="C378" s="24"/>
      <c r="D378" s="24"/>
      <c r="E378" s="25"/>
      <c r="F378" s="25"/>
      <c r="G378" s="25"/>
    </row>
    <row r="379" ht="15.75" customHeight="1">
      <c r="C379" s="24"/>
      <c r="D379" s="24"/>
      <c r="E379" s="25"/>
      <c r="F379" s="25"/>
      <c r="G379" s="25"/>
    </row>
    <row r="380" ht="15.75" customHeight="1">
      <c r="C380" s="24"/>
      <c r="D380" s="24"/>
      <c r="E380" s="25"/>
      <c r="F380" s="25"/>
      <c r="G380" s="25"/>
    </row>
    <row r="381" ht="15.75" customHeight="1">
      <c r="C381" s="24"/>
      <c r="D381" s="24"/>
      <c r="E381" s="25"/>
      <c r="F381" s="25"/>
      <c r="G381" s="25"/>
    </row>
    <row r="382" ht="15.75" customHeight="1">
      <c r="C382" s="24"/>
      <c r="D382" s="24"/>
      <c r="E382" s="25"/>
      <c r="F382" s="25"/>
      <c r="G382" s="25"/>
    </row>
    <row r="383" ht="15.75" customHeight="1">
      <c r="C383" s="24"/>
      <c r="D383" s="24"/>
      <c r="E383" s="25"/>
      <c r="F383" s="25"/>
      <c r="G383" s="25"/>
    </row>
    <row r="384" ht="15.75" customHeight="1">
      <c r="C384" s="24"/>
      <c r="D384" s="24"/>
      <c r="E384" s="25"/>
      <c r="F384" s="25"/>
      <c r="G384" s="25"/>
    </row>
    <row r="385" ht="15.75" customHeight="1">
      <c r="C385" s="24"/>
      <c r="D385" s="24"/>
      <c r="E385" s="25"/>
      <c r="F385" s="25"/>
      <c r="G385" s="25"/>
    </row>
    <row r="386" ht="15.75" customHeight="1">
      <c r="C386" s="24"/>
      <c r="D386" s="24"/>
      <c r="E386" s="25"/>
      <c r="F386" s="25"/>
      <c r="G386" s="25"/>
    </row>
    <row r="387" ht="15.75" customHeight="1">
      <c r="C387" s="24"/>
      <c r="D387" s="24"/>
      <c r="E387" s="25"/>
      <c r="F387" s="25"/>
      <c r="G387" s="25"/>
    </row>
    <row r="388" ht="15.75" customHeight="1">
      <c r="C388" s="24"/>
      <c r="D388" s="24"/>
      <c r="E388" s="25"/>
      <c r="F388" s="25"/>
      <c r="G388" s="25"/>
    </row>
    <row r="389" ht="15.75" customHeight="1">
      <c r="C389" s="24"/>
      <c r="D389" s="24"/>
      <c r="E389" s="25"/>
      <c r="F389" s="25"/>
      <c r="G389" s="25"/>
    </row>
    <row r="390" ht="15.75" customHeight="1">
      <c r="C390" s="24"/>
      <c r="D390" s="24"/>
      <c r="E390" s="25"/>
      <c r="F390" s="25"/>
      <c r="G390" s="25"/>
    </row>
    <row r="391" ht="15.75" customHeight="1">
      <c r="C391" s="24"/>
      <c r="D391" s="24"/>
      <c r="E391" s="25"/>
      <c r="F391" s="25"/>
      <c r="G391" s="25"/>
    </row>
    <row r="392" ht="15.75" customHeight="1">
      <c r="C392" s="24"/>
      <c r="D392" s="24"/>
      <c r="E392" s="25"/>
      <c r="F392" s="25"/>
      <c r="G392" s="25"/>
    </row>
    <row r="393" ht="15.75" customHeight="1">
      <c r="C393" s="24"/>
      <c r="D393" s="24"/>
      <c r="E393" s="25"/>
      <c r="F393" s="25"/>
      <c r="G393" s="25"/>
    </row>
    <row r="394" ht="15.75" customHeight="1">
      <c r="C394" s="24"/>
      <c r="D394" s="24"/>
      <c r="E394" s="25"/>
      <c r="F394" s="25"/>
      <c r="G394" s="25"/>
    </row>
    <row r="395" ht="15.75" customHeight="1">
      <c r="C395" s="24"/>
      <c r="D395" s="24"/>
      <c r="E395" s="25"/>
      <c r="F395" s="25"/>
      <c r="G395" s="25"/>
    </row>
    <row r="396" ht="15.75" customHeight="1">
      <c r="C396" s="24"/>
      <c r="D396" s="24"/>
      <c r="E396" s="25"/>
      <c r="F396" s="25"/>
      <c r="G396" s="25"/>
    </row>
    <row r="397" ht="15.75" customHeight="1">
      <c r="C397" s="24"/>
      <c r="D397" s="24"/>
      <c r="E397" s="25"/>
      <c r="F397" s="25"/>
      <c r="G397" s="25"/>
    </row>
    <row r="398" ht="15.75" customHeight="1">
      <c r="C398" s="24"/>
      <c r="D398" s="24"/>
      <c r="E398" s="25"/>
      <c r="F398" s="25"/>
      <c r="G398" s="25"/>
    </row>
    <row r="399" ht="15.75" customHeight="1">
      <c r="C399" s="24"/>
      <c r="D399" s="24"/>
      <c r="E399" s="25"/>
      <c r="F399" s="25"/>
      <c r="G399" s="25"/>
    </row>
    <row r="400" ht="15.75" customHeight="1">
      <c r="C400" s="24"/>
      <c r="D400" s="24"/>
      <c r="E400" s="25"/>
      <c r="F400" s="25"/>
      <c r="G400" s="25"/>
    </row>
    <row r="401" ht="15.75" customHeight="1">
      <c r="C401" s="24"/>
      <c r="D401" s="24"/>
      <c r="E401" s="25"/>
      <c r="F401" s="25"/>
      <c r="G401" s="25"/>
    </row>
    <row r="402" ht="15.75" customHeight="1">
      <c r="C402" s="24"/>
      <c r="D402" s="24"/>
      <c r="E402" s="25"/>
      <c r="F402" s="25"/>
      <c r="G402" s="25"/>
    </row>
    <row r="403" ht="15.75" customHeight="1">
      <c r="C403" s="24"/>
      <c r="D403" s="24"/>
      <c r="E403" s="25"/>
      <c r="F403" s="25"/>
      <c r="G403" s="25"/>
    </row>
    <row r="404" ht="15.75" customHeight="1">
      <c r="C404" s="24"/>
      <c r="D404" s="24"/>
      <c r="E404" s="25"/>
      <c r="F404" s="25"/>
      <c r="G404" s="25"/>
    </row>
    <row r="405" ht="15.75" customHeight="1">
      <c r="C405" s="24"/>
      <c r="D405" s="24"/>
      <c r="E405" s="25"/>
      <c r="F405" s="25"/>
      <c r="G405" s="25"/>
    </row>
    <row r="406" ht="15.75" customHeight="1">
      <c r="C406" s="24"/>
      <c r="D406" s="24"/>
      <c r="E406" s="25"/>
      <c r="F406" s="25"/>
      <c r="G406" s="25"/>
    </row>
    <row r="407" ht="15.75" customHeight="1">
      <c r="C407" s="24"/>
      <c r="D407" s="24"/>
      <c r="E407" s="25"/>
      <c r="F407" s="25"/>
      <c r="G407" s="25"/>
    </row>
    <row r="408" ht="15.75" customHeight="1">
      <c r="C408" s="24"/>
      <c r="D408" s="24"/>
      <c r="E408" s="25"/>
      <c r="F408" s="25"/>
      <c r="G408" s="25"/>
    </row>
    <row r="409" ht="15.75" customHeight="1">
      <c r="C409" s="24"/>
      <c r="D409" s="24"/>
      <c r="E409" s="25"/>
      <c r="F409" s="25"/>
      <c r="G409" s="25"/>
    </row>
    <row r="410" ht="15.75" customHeight="1">
      <c r="C410" s="24"/>
      <c r="D410" s="24"/>
      <c r="E410" s="25"/>
      <c r="F410" s="25"/>
      <c r="G410" s="25"/>
    </row>
    <row r="411" ht="15.75" customHeight="1">
      <c r="C411" s="24"/>
      <c r="D411" s="24"/>
      <c r="E411" s="25"/>
      <c r="F411" s="25"/>
      <c r="G411" s="25"/>
    </row>
    <row r="412" ht="15.75" customHeight="1">
      <c r="C412" s="24"/>
      <c r="D412" s="24"/>
      <c r="E412" s="25"/>
      <c r="F412" s="25"/>
      <c r="G412" s="25"/>
    </row>
    <row r="413" ht="15.75" customHeight="1">
      <c r="C413" s="24"/>
      <c r="D413" s="24"/>
      <c r="E413" s="25"/>
      <c r="F413" s="25"/>
      <c r="G413" s="25"/>
    </row>
    <row r="414" ht="15.75" customHeight="1">
      <c r="C414" s="24"/>
      <c r="D414" s="24"/>
      <c r="E414" s="25"/>
      <c r="F414" s="25"/>
      <c r="G414" s="25"/>
    </row>
    <row r="415" ht="15.75" customHeight="1">
      <c r="C415" s="24"/>
      <c r="D415" s="24"/>
      <c r="E415" s="25"/>
      <c r="F415" s="25"/>
      <c r="G415" s="25"/>
    </row>
    <row r="416" ht="15.75" customHeight="1">
      <c r="C416" s="24"/>
      <c r="D416" s="24"/>
      <c r="E416" s="25"/>
      <c r="F416" s="25"/>
      <c r="G416" s="25"/>
    </row>
    <row r="417" ht="15.75" customHeight="1">
      <c r="C417" s="24"/>
      <c r="D417" s="24"/>
      <c r="E417" s="25"/>
      <c r="F417" s="25"/>
      <c r="G417" s="25"/>
    </row>
    <row r="418" ht="15.75" customHeight="1">
      <c r="C418" s="24"/>
      <c r="D418" s="24"/>
      <c r="E418" s="25"/>
      <c r="F418" s="25"/>
      <c r="G418" s="25"/>
    </row>
    <row r="419" ht="15.75" customHeight="1">
      <c r="C419" s="24"/>
      <c r="D419" s="24"/>
      <c r="E419" s="25"/>
      <c r="F419" s="25"/>
      <c r="G419" s="25"/>
    </row>
    <row r="420" ht="15.75" customHeight="1">
      <c r="C420" s="24"/>
      <c r="D420" s="24"/>
      <c r="E420" s="25"/>
      <c r="F420" s="25"/>
      <c r="G420" s="25"/>
    </row>
    <row r="421" ht="15.75" customHeight="1">
      <c r="C421" s="24"/>
      <c r="D421" s="24"/>
      <c r="E421" s="25"/>
      <c r="F421" s="25"/>
      <c r="G421" s="25"/>
    </row>
    <row r="422" ht="15.75" customHeight="1">
      <c r="C422" s="24"/>
      <c r="D422" s="24"/>
      <c r="E422" s="25"/>
      <c r="F422" s="25"/>
      <c r="G422" s="25"/>
    </row>
    <row r="423" ht="15.75" customHeight="1">
      <c r="C423" s="24"/>
      <c r="D423" s="24"/>
      <c r="E423" s="25"/>
      <c r="F423" s="25"/>
      <c r="G423" s="25"/>
    </row>
    <row r="424" ht="15.75" customHeight="1">
      <c r="C424" s="24"/>
      <c r="D424" s="24"/>
      <c r="E424" s="25"/>
      <c r="F424" s="25"/>
      <c r="G424" s="25"/>
    </row>
    <row r="425" ht="15.75" customHeight="1">
      <c r="C425" s="24"/>
      <c r="D425" s="24"/>
      <c r="E425" s="25"/>
      <c r="F425" s="25"/>
      <c r="G425" s="25"/>
    </row>
    <row r="426" ht="15.75" customHeight="1">
      <c r="C426" s="24"/>
      <c r="D426" s="24"/>
      <c r="E426" s="25"/>
      <c r="F426" s="25"/>
      <c r="G426" s="25"/>
    </row>
    <row r="427" ht="15.75" customHeight="1">
      <c r="C427" s="24"/>
      <c r="D427" s="24"/>
      <c r="E427" s="25"/>
      <c r="F427" s="25"/>
      <c r="G427" s="25"/>
    </row>
    <row r="428" ht="15.75" customHeight="1">
      <c r="C428" s="24"/>
      <c r="D428" s="24"/>
      <c r="E428" s="25"/>
      <c r="F428" s="25"/>
      <c r="G428" s="25"/>
    </row>
    <row r="429" ht="15.75" customHeight="1">
      <c r="C429" s="24"/>
      <c r="D429" s="24"/>
      <c r="E429" s="25"/>
      <c r="F429" s="25"/>
      <c r="G429" s="25"/>
    </row>
    <row r="430" ht="15.75" customHeight="1">
      <c r="C430" s="24"/>
      <c r="D430" s="24"/>
      <c r="E430" s="25"/>
      <c r="F430" s="25"/>
      <c r="G430" s="25"/>
    </row>
    <row r="431" ht="15.75" customHeight="1">
      <c r="C431" s="24"/>
      <c r="D431" s="24"/>
      <c r="E431" s="25"/>
      <c r="F431" s="25"/>
      <c r="G431" s="25"/>
    </row>
    <row r="432" ht="15.75" customHeight="1">
      <c r="C432" s="24"/>
      <c r="D432" s="24"/>
      <c r="E432" s="25"/>
      <c r="F432" s="25"/>
      <c r="G432" s="25"/>
    </row>
    <row r="433" ht="15.75" customHeight="1">
      <c r="C433" s="24"/>
      <c r="D433" s="24"/>
      <c r="E433" s="25"/>
      <c r="F433" s="25"/>
      <c r="G433" s="25"/>
    </row>
    <row r="434" ht="15.75" customHeight="1">
      <c r="C434" s="24"/>
      <c r="D434" s="24"/>
      <c r="E434" s="25"/>
      <c r="F434" s="25"/>
      <c r="G434" s="25"/>
    </row>
    <row r="435" ht="15.75" customHeight="1">
      <c r="C435" s="24"/>
      <c r="D435" s="24"/>
      <c r="E435" s="25"/>
      <c r="F435" s="25"/>
      <c r="G435" s="25"/>
    </row>
    <row r="436" ht="15.75" customHeight="1">
      <c r="C436" s="24"/>
      <c r="D436" s="24"/>
      <c r="E436" s="25"/>
      <c r="F436" s="25"/>
      <c r="G436" s="25"/>
    </row>
    <row r="437" ht="15.75" customHeight="1">
      <c r="C437" s="24"/>
      <c r="D437" s="24"/>
      <c r="E437" s="25"/>
      <c r="F437" s="25"/>
      <c r="G437" s="25"/>
    </row>
    <row r="438" ht="15.75" customHeight="1">
      <c r="C438" s="24"/>
      <c r="D438" s="24"/>
      <c r="E438" s="25"/>
      <c r="F438" s="25"/>
      <c r="G438" s="25"/>
    </row>
    <row r="439" ht="15.75" customHeight="1">
      <c r="C439" s="24"/>
      <c r="D439" s="24"/>
      <c r="E439" s="25"/>
      <c r="F439" s="25"/>
      <c r="G439" s="25"/>
    </row>
    <row r="440" ht="15.75" customHeight="1">
      <c r="C440" s="24"/>
      <c r="D440" s="24"/>
      <c r="E440" s="25"/>
      <c r="F440" s="25"/>
      <c r="G440" s="25"/>
    </row>
    <row r="441" ht="15.75" customHeight="1">
      <c r="C441" s="24"/>
      <c r="D441" s="24"/>
      <c r="E441" s="25"/>
      <c r="F441" s="25"/>
      <c r="G441" s="25"/>
    </row>
    <row r="442" ht="15.75" customHeight="1">
      <c r="C442" s="24"/>
      <c r="D442" s="24"/>
      <c r="E442" s="25"/>
      <c r="F442" s="25"/>
      <c r="G442" s="25"/>
    </row>
    <row r="443" ht="15.75" customHeight="1">
      <c r="C443" s="24"/>
      <c r="D443" s="24"/>
      <c r="E443" s="25"/>
      <c r="F443" s="25"/>
      <c r="G443" s="25"/>
    </row>
    <row r="444" ht="15.75" customHeight="1">
      <c r="C444" s="24"/>
      <c r="D444" s="24"/>
      <c r="E444" s="25"/>
      <c r="F444" s="25"/>
      <c r="G444" s="25"/>
    </row>
    <row r="445" ht="15.75" customHeight="1">
      <c r="C445" s="24"/>
      <c r="D445" s="24"/>
      <c r="E445" s="25"/>
      <c r="F445" s="25"/>
      <c r="G445" s="25"/>
    </row>
    <row r="446" ht="15.75" customHeight="1">
      <c r="C446" s="24"/>
      <c r="D446" s="24"/>
      <c r="E446" s="25"/>
      <c r="F446" s="25"/>
      <c r="G446" s="25"/>
    </row>
    <row r="447" ht="15.75" customHeight="1">
      <c r="C447" s="24"/>
      <c r="D447" s="24"/>
      <c r="E447" s="25"/>
      <c r="F447" s="25"/>
      <c r="G447" s="25"/>
    </row>
    <row r="448" ht="15.75" customHeight="1">
      <c r="C448" s="24"/>
      <c r="D448" s="24"/>
      <c r="E448" s="25"/>
      <c r="F448" s="25"/>
      <c r="G448" s="25"/>
    </row>
    <row r="449" ht="15.75" customHeight="1">
      <c r="C449" s="24"/>
      <c r="D449" s="24"/>
      <c r="E449" s="25"/>
      <c r="F449" s="25"/>
      <c r="G449" s="25"/>
    </row>
    <row r="450" ht="15.75" customHeight="1">
      <c r="C450" s="24"/>
      <c r="D450" s="24"/>
      <c r="E450" s="25"/>
      <c r="F450" s="25"/>
      <c r="G450" s="25"/>
    </row>
    <row r="451" ht="15.75" customHeight="1">
      <c r="C451" s="24"/>
      <c r="D451" s="24"/>
      <c r="E451" s="25"/>
      <c r="F451" s="25"/>
      <c r="G451" s="25"/>
    </row>
    <row r="452" ht="15.75" customHeight="1">
      <c r="C452" s="24"/>
      <c r="D452" s="24"/>
      <c r="E452" s="25"/>
      <c r="F452" s="25"/>
      <c r="G452" s="25"/>
    </row>
    <row r="453" ht="15.75" customHeight="1">
      <c r="C453" s="24"/>
      <c r="D453" s="24"/>
      <c r="E453" s="25"/>
      <c r="F453" s="25"/>
      <c r="G453" s="25"/>
    </row>
    <row r="454" ht="15.75" customHeight="1">
      <c r="C454" s="24"/>
      <c r="D454" s="24"/>
      <c r="E454" s="25"/>
      <c r="F454" s="25"/>
      <c r="G454" s="25"/>
    </row>
    <row r="455" ht="15.75" customHeight="1">
      <c r="C455" s="24"/>
      <c r="D455" s="24"/>
      <c r="E455" s="25"/>
      <c r="F455" s="25"/>
      <c r="G455" s="25"/>
    </row>
    <row r="456" ht="15.75" customHeight="1">
      <c r="C456" s="24"/>
      <c r="D456" s="24"/>
      <c r="E456" s="25"/>
      <c r="F456" s="25"/>
      <c r="G456" s="25"/>
    </row>
    <row r="457" ht="15.75" customHeight="1">
      <c r="C457" s="24"/>
      <c r="D457" s="24"/>
      <c r="E457" s="25"/>
      <c r="F457" s="25"/>
      <c r="G457" s="25"/>
    </row>
    <row r="458" ht="15.75" customHeight="1">
      <c r="C458" s="24"/>
      <c r="D458" s="24"/>
      <c r="E458" s="25"/>
      <c r="F458" s="25"/>
      <c r="G458" s="25"/>
    </row>
    <row r="459" ht="15.75" customHeight="1">
      <c r="C459" s="24"/>
      <c r="D459" s="24"/>
      <c r="E459" s="25"/>
      <c r="F459" s="25"/>
      <c r="G459" s="25"/>
    </row>
    <row r="460" ht="15.75" customHeight="1">
      <c r="C460" s="24"/>
      <c r="D460" s="24"/>
      <c r="E460" s="25"/>
      <c r="F460" s="25"/>
      <c r="G460" s="25"/>
    </row>
    <row r="461" ht="15.75" customHeight="1">
      <c r="C461" s="24"/>
      <c r="D461" s="24"/>
      <c r="E461" s="25"/>
      <c r="F461" s="25"/>
      <c r="G461" s="25"/>
    </row>
    <row r="462" ht="15.75" customHeight="1">
      <c r="C462" s="24"/>
      <c r="D462" s="24"/>
      <c r="E462" s="25"/>
      <c r="F462" s="25"/>
      <c r="G462" s="25"/>
    </row>
    <row r="463" ht="15.75" customHeight="1">
      <c r="C463" s="24"/>
      <c r="D463" s="24"/>
      <c r="E463" s="25"/>
      <c r="F463" s="25"/>
      <c r="G463" s="25"/>
    </row>
    <row r="464" ht="15.75" customHeight="1">
      <c r="C464" s="24"/>
      <c r="D464" s="24"/>
      <c r="E464" s="25"/>
      <c r="F464" s="25"/>
      <c r="G464" s="25"/>
    </row>
    <row r="465" ht="15.75" customHeight="1">
      <c r="C465" s="24"/>
      <c r="D465" s="24"/>
      <c r="E465" s="25"/>
      <c r="F465" s="25"/>
      <c r="G465" s="25"/>
    </row>
    <row r="466" ht="15.75" customHeight="1">
      <c r="C466" s="24"/>
      <c r="D466" s="24"/>
      <c r="E466" s="25"/>
      <c r="F466" s="25"/>
      <c r="G466" s="25"/>
    </row>
    <row r="467" ht="15.75" customHeight="1">
      <c r="C467" s="24"/>
      <c r="D467" s="24"/>
      <c r="E467" s="25"/>
      <c r="F467" s="25"/>
      <c r="G467" s="25"/>
    </row>
    <row r="468" ht="15.75" customHeight="1">
      <c r="C468" s="24"/>
      <c r="D468" s="24"/>
      <c r="E468" s="25"/>
      <c r="F468" s="25"/>
      <c r="G468" s="25"/>
    </row>
    <row r="469" ht="15.75" customHeight="1">
      <c r="C469" s="24"/>
      <c r="D469" s="24"/>
      <c r="E469" s="25"/>
      <c r="F469" s="25"/>
      <c r="G469" s="25"/>
    </row>
    <row r="470" ht="15.75" customHeight="1">
      <c r="C470" s="24"/>
      <c r="D470" s="24"/>
      <c r="E470" s="25"/>
      <c r="F470" s="25"/>
      <c r="G470" s="25"/>
    </row>
    <row r="471" ht="15.75" customHeight="1">
      <c r="C471" s="24"/>
      <c r="D471" s="24"/>
      <c r="E471" s="25"/>
      <c r="F471" s="25"/>
      <c r="G471" s="25"/>
    </row>
    <row r="472" ht="15.75" customHeight="1">
      <c r="C472" s="24"/>
      <c r="D472" s="24"/>
      <c r="E472" s="25"/>
      <c r="F472" s="25"/>
      <c r="G472" s="25"/>
    </row>
    <row r="473" ht="15.75" customHeight="1">
      <c r="C473" s="24"/>
      <c r="D473" s="24"/>
      <c r="E473" s="25"/>
      <c r="F473" s="25"/>
      <c r="G473" s="25"/>
    </row>
    <row r="474" ht="15.75" customHeight="1">
      <c r="C474" s="24"/>
      <c r="D474" s="24"/>
      <c r="E474" s="25"/>
      <c r="F474" s="25"/>
      <c r="G474" s="25"/>
    </row>
    <row r="475" ht="15.75" customHeight="1">
      <c r="C475" s="24"/>
      <c r="D475" s="24"/>
      <c r="E475" s="25"/>
      <c r="F475" s="25"/>
      <c r="G475" s="25"/>
    </row>
    <row r="476" ht="15.75" customHeight="1">
      <c r="C476" s="24"/>
      <c r="D476" s="24"/>
      <c r="E476" s="25"/>
      <c r="F476" s="25"/>
      <c r="G476" s="25"/>
    </row>
    <row r="477" ht="15.75" customHeight="1">
      <c r="C477" s="24"/>
      <c r="D477" s="24"/>
      <c r="E477" s="25"/>
      <c r="F477" s="25"/>
      <c r="G477" s="25"/>
    </row>
    <row r="478" ht="15.75" customHeight="1">
      <c r="C478" s="24"/>
      <c r="D478" s="24"/>
      <c r="E478" s="25"/>
      <c r="F478" s="25"/>
      <c r="G478" s="25"/>
    </row>
    <row r="479" ht="15.75" customHeight="1">
      <c r="C479" s="24"/>
      <c r="D479" s="24"/>
      <c r="E479" s="25"/>
      <c r="F479" s="25"/>
      <c r="G479" s="25"/>
    </row>
    <row r="480" ht="15.75" customHeight="1">
      <c r="C480" s="24"/>
      <c r="D480" s="24"/>
      <c r="E480" s="25"/>
      <c r="F480" s="25"/>
      <c r="G480" s="25"/>
    </row>
    <row r="481" ht="15.75" customHeight="1">
      <c r="C481" s="24"/>
      <c r="D481" s="24"/>
      <c r="E481" s="25"/>
      <c r="F481" s="25"/>
      <c r="G481" s="25"/>
    </row>
    <row r="482" ht="15.75" customHeight="1">
      <c r="C482" s="24"/>
      <c r="D482" s="24"/>
      <c r="E482" s="25"/>
      <c r="F482" s="25"/>
      <c r="G482" s="25"/>
    </row>
    <row r="483" ht="15.75" customHeight="1">
      <c r="C483" s="24"/>
      <c r="D483" s="24"/>
      <c r="E483" s="25"/>
      <c r="F483" s="25"/>
      <c r="G483" s="25"/>
    </row>
    <row r="484" ht="15.75" customHeight="1">
      <c r="C484" s="24"/>
      <c r="D484" s="24"/>
      <c r="E484" s="25"/>
      <c r="F484" s="25"/>
      <c r="G484" s="25"/>
    </row>
    <row r="485" ht="15.75" customHeight="1">
      <c r="C485" s="24"/>
      <c r="D485" s="24"/>
      <c r="E485" s="25"/>
      <c r="F485" s="25"/>
      <c r="G485" s="25"/>
    </row>
    <row r="486" ht="15.75" customHeight="1">
      <c r="C486" s="24"/>
      <c r="D486" s="24"/>
      <c r="E486" s="25"/>
      <c r="F486" s="25"/>
      <c r="G486" s="25"/>
    </row>
    <row r="487" ht="15.75" customHeight="1">
      <c r="C487" s="24"/>
      <c r="D487" s="24"/>
      <c r="E487" s="25"/>
      <c r="F487" s="25"/>
      <c r="G487" s="25"/>
    </row>
    <row r="488" ht="15.75" customHeight="1">
      <c r="C488" s="24"/>
      <c r="D488" s="24"/>
      <c r="E488" s="25"/>
      <c r="F488" s="25"/>
      <c r="G488" s="25"/>
    </row>
    <row r="489" ht="15.75" customHeight="1">
      <c r="C489" s="24"/>
      <c r="D489" s="24"/>
      <c r="E489" s="25"/>
      <c r="F489" s="25"/>
      <c r="G489" s="25"/>
    </row>
    <row r="490" ht="15.75" customHeight="1">
      <c r="C490" s="24"/>
      <c r="D490" s="24"/>
      <c r="E490" s="25"/>
      <c r="F490" s="25"/>
      <c r="G490" s="25"/>
    </row>
    <row r="491" ht="15.75" customHeight="1">
      <c r="C491" s="24"/>
      <c r="D491" s="24"/>
      <c r="E491" s="25"/>
      <c r="F491" s="25"/>
      <c r="G491" s="25"/>
    </row>
    <row r="492" ht="15.75" customHeight="1">
      <c r="C492" s="24"/>
      <c r="D492" s="24"/>
      <c r="E492" s="25"/>
      <c r="F492" s="25"/>
      <c r="G492" s="25"/>
    </row>
    <row r="493" ht="15.75" customHeight="1">
      <c r="C493" s="24"/>
      <c r="D493" s="24"/>
      <c r="E493" s="25"/>
      <c r="F493" s="25"/>
      <c r="G493" s="25"/>
    </row>
    <row r="494" ht="15.75" customHeight="1">
      <c r="C494" s="24"/>
      <c r="D494" s="24"/>
      <c r="E494" s="25"/>
      <c r="F494" s="25"/>
      <c r="G494" s="25"/>
    </row>
    <row r="495" ht="15.75" customHeight="1">
      <c r="C495" s="24"/>
      <c r="D495" s="24"/>
      <c r="E495" s="25"/>
      <c r="F495" s="25"/>
      <c r="G495" s="25"/>
    </row>
    <row r="496" ht="15.75" customHeight="1">
      <c r="C496" s="24"/>
      <c r="D496" s="24"/>
      <c r="E496" s="25"/>
      <c r="F496" s="25"/>
      <c r="G496" s="25"/>
    </row>
    <row r="497" ht="15.75" customHeight="1">
      <c r="C497" s="24"/>
      <c r="D497" s="24"/>
      <c r="E497" s="25"/>
      <c r="F497" s="25"/>
      <c r="G497" s="25"/>
    </row>
    <row r="498" ht="15.75" customHeight="1">
      <c r="C498" s="24"/>
      <c r="D498" s="24"/>
      <c r="E498" s="25"/>
      <c r="F498" s="25"/>
      <c r="G498" s="25"/>
    </row>
    <row r="499" ht="15.75" customHeight="1">
      <c r="C499" s="24"/>
      <c r="D499" s="24"/>
      <c r="E499" s="25"/>
      <c r="F499" s="25"/>
      <c r="G499" s="25"/>
    </row>
    <row r="500" ht="15.75" customHeight="1">
      <c r="C500" s="24"/>
      <c r="D500" s="24"/>
      <c r="E500" s="25"/>
      <c r="F500" s="25"/>
      <c r="G500" s="25"/>
    </row>
    <row r="501" ht="15.75" customHeight="1">
      <c r="C501" s="24"/>
      <c r="D501" s="24"/>
      <c r="E501" s="25"/>
      <c r="F501" s="25"/>
      <c r="G501" s="25"/>
    </row>
    <row r="502" ht="15.75" customHeight="1">
      <c r="C502" s="24"/>
      <c r="D502" s="24"/>
      <c r="E502" s="25"/>
      <c r="F502" s="25"/>
      <c r="G502" s="25"/>
    </row>
    <row r="503" ht="15.75" customHeight="1">
      <c r="C503" s="24"/>
      <c r="D503" s="24"/>
      <c r="E503" s="25"/>
      <c r="F503" s="25"/>
      <c r="G503" s="25"/>
    </row>
    <row r="504" ht="15.75" customHeight="1">
      <c r="C504" s="24"/>
      <c r="D504" s="24"/>
      <c r="E504" s="25"/>
      <c r="F504" s="25"/>
      <c r="G504" s="25"/>
    </row>
    <row r="505" ht="15.75" customHeight="1">
      <c r="C505" s="24"/>
      <c r="D505" s="24"/>
      <c r="E505" s="25"/>
      <c r="F505" s="25"/>
      <c r="G505" s="25"/>
    </row>
    <row r="506" ht="15.75" customHeight="1">
      <c r="C506" s="24"/>
      <c r="D506" s="24"/>
      <c r="E506" s="25"/>
      <c r="F506" s="25"/>
      <c r="G506" s="25"/>
    </row>
    <row r="507" ht="15.75" customHeight="1">
      <c r="C507" s="24"/>
      <c r="D507" s="24"/>
      <c r="E507" s="25"/>
      <c r="F507" s="25"/>
      <c r="G507" s="25"/>
    </row>
    <row r="508" ht="15.75" customHeight="1">
      <c r="C508" s="24"/>
      <c r="D508" s="24"/>
      <c r="E508" s="25"/>
      <c r="F508" s="25"/>
      <c r="G508" s="25"/>
    </row>
    <row r="509" ht="15.75" customHeight="1">
      <c r="C509" s="24"/>
      <c r="D509" s="24"/>
      <c r="E509" s="25"/>
      <c r="F509" s="25"/>
      <c r="G509" s="25"/>
    </row>
    <row r="510" ht="15.75" customHeight="1">
      <c r="C510" s="24"/>
      <c r="D510" s="24"/>
      <c r="E510" s="25"/>
      <c r="F510" s="25"/>
      <c r="G510" s="25"/>
    </row>
    <row r="511" ht="15.75" customHeight="1">
      <c r="C511" s="24"/>
      <c r="D511" s="24"/>
      <c r="E511" s="25"/>
      <c r="F511" s="25"/>
      <c r="G511" s="25"/>
    </row>
    <row r="512" ht="15.75" customHeight="1">
      <c r="C512" s="24"/>
      <c r="D512" s="24"/>
      <c r="E512" s="25"/>
      <c r="F512" s="25"/>
      <c r="G512" s="25"/>
    </row>
    <row r="513" ht="15.75" customHeight="1">
      <c r="C513" s="24"/>
      <c r="D513" s="24"/>
      <c r="E513" s="25"/>
      <c r="F513" s="25"/>
      <c r="G513" s="25"/>
    </row>
    <row r="514" ht="15.75" customHeight="1">
      <c r="C514" s="24"/>
      <c r="D514" s="24"/>
      <c r="E514" s="25"/>
      <c r="F514" s="25"/>
      <c r="G514" s="25"/>
    </row>
    <row r="515" ht="15.75" customHeight="1">
      <c r="C515" s="24"/>
      <c r="D515" s="24"/>
      <c r="E515" s="25"/>
      <c r="F515" s="25"/>
      <c r="G515" s="25"/>
    </row>
    <row r="516" ht="15.75" customHeight="1">
      <c r="C516" s="24"/>
      <c r="D516" s="24"/>
      <c r="E516" s="25"/>
      <c r="F516" s="25"/>
      <c r="G516" s="25"/>
    </row>
    <row r="517" ht="15.75" customHeight="1">
      <c r="C517" s="24"/>
      <c r="D517" s="24"/>
      <c r="E517" s="25"/>
      <c r="F517" s="25"/>
      <c r="G517" s="25"/>
    </row>
    <row r="518" ht="15.75" customHeight="1">
      <c r="C518" s="24"/>
      <c r="D518" s="24"/>
      <c r="E518" s="25"/>
      <c r="F518" s="25"/>
      <c r="G518" s="25"/>
    </row>
    <row r="519" ht="15.75" customHeight="1">
      <c r="C519" s="24"/>
      <c r="D519" s="24"/>
      <c r="E519" s="25"/>
      <c r="F519" s="25"/>
      <c r="G519" s="25"/>
    </row>
    <row r="520" ht="15.75" customHeight="1">
      <c r="C520" s="24"/>
      <c r="D520" s="24"/>
      <c r="E520" s="25"/>
      <c r="F520" s="25"/>
      <c r="G520" s="25"/>
    </row>
    <row r="521" ht="15.75" customHeight="1">
      <c r="C521" s="24"/>
      <c r="D521" s="24"/>
      <c r="E521" s="25"/>
      <c r="F521" s="25"/>
      <c r="G521" s="25"/>
    </row>
    <row r="522" ht="15.75" customHeight="1">
      <c r="C522" s="24"/>
      <c r="D522" s="24"/>
      <c r="E522" s="25"/>
      <c r="F522" s="25"/>
      <c r="G522" s="25"/>
    </row>
    <row r="523" ht="15.75" customHeight="1">
      <c r="C523" s="24"/>
      <c r="D523" s="24"/>
      <c r="E523" s="25"/>
      <c r="F523" s="25"/>
      <c r="G523" s="25"/>
    </row>
    <row r="524" ht="15.75" customHeight="1">
      <c r="C524" s="24"/>
      <c r="D524" s="24"/>
      <c r="E524" s="25"/>
      <c r="F524" s="25"/>
      <c r="G524" s="25"/>
    </row>
    <row r="525" ht="15.75" customHeight="1">
      <c r="C525" s="24"/>
      <c r="D525" s="24"/>
      <c r="E525" s="25"/>
      <c r="F525" s="25"/>
      <c r="G525" s="25"/>
    </row>
    <row r="526" ht="15.75" customHeight="1">
      <c r="C526" s="24"/>
      <c r="D526" s="24"/>
      <c r="E526" s="25"/>
      <c r="F526" s="25"/>
      <c r="G526" s="25"/>
    </row>
    <row r="527" ht="15.75" customHeight="1">
      <c r="C527" s="24"/>
      <c r="D527" s="24"/>
      <c r="E527" s="25"/>
      <c r="F527" s="25"/>
      <c r="G527" s="25"/>
    </row>
    <row r="528" ht="15.75" customHeight="1">
      <c r="C528" s="24"/>
      <c r="D528" s="24"/>
      <c r="E528" s="25"/>
      <c r="F528" s="25"/>
      <c r="G528" s="25"/>
    </row>
    <row r="529" ht="15.75" customHeight="1">
      <c r="C529" s="24"/>
      <c r="D529" s="24"/>
      <c r="E529" s="25"/>
      <c r="F529" s="25"/>
      <c r="G529" s="25"/>
    </row>
    <row r="530" ht="15.75" customHeight="1">
      <c r="C530" s="24"/>
      <c r="D530" s="24"/>
      <c r="E530" s="25"/>
      <c r="F530" s="25"/>
      <c r="G530" s="25"/>
    </row>
    <row r="531" ht="15.75" customHeight="1">
      <c r="C531" s="24"/>
      <c r="D531" s="24"/>
      <c r="E531" s="25"/>
      <c r="F531" s="25"/>
      <c r="G531" s="25"/>
    </row>
    <row r="532" ht="15.75" customHeight="1">
      <c r="C532" s="24"/>
      <c r="D532" s="24"/>
      <c r="E532" s="25"/>
      <c r="F532" s="25"/>
      <c r="G532" s="25"/>
    </row>
    <row r="533" ht="15.75" customHeight="1">
      <c r="C533" s="24"/>
      <c r="D533" s="24"/>
      <c r="E533" s="25"/>
      <c r="F533" s="25"/>
      <c r="G533" s="25"/>
    </row>
    <row r="534" ht="15.75" customHeight="1">
      <c r="C534" s="24"/>
      <c r="D534" s="24"/>
      <c r="E534" s="25"/>
      <c r="F534" s="25"/>
      <c r="G534" s="25"/>
    </row>
    <row r="535" ht="15.75" customHeight="1">
      <c r="C535" s="24"/>
      <c r="D535" s="24"/>
      <c r="E535" s="25"/>
      <c r="F535" s="25"/>
      <c r="G535" s="25"/>
    </row>
    <row r="536" ht="15.75" customHeight="1">
      <c r="C536" s="24"/>
      <c r="D536" s="24"/>
      <c r="E536" s="25"/>
      <c r="F536" s="25"/>
      <c r="G536" s="25"/>
    </row>
    <row r="537" ht="15.75" customHeight="1">
      <c r="C537" s="24"/>
      <c r="D537" s="24"/>
      <c r="E537" s="25"/>
      <c r="F537" s="25"/>
      <c r="G537" s="25"/>
    </row>
    <row r="538" ht="15.75" customHeight="1">
      <c r="C538" s="24"/>
      <c r="D538" s="24"/>
      <c r="E538" s="25"/>
      <c r="F538" s="25"/>
      <c r="G538" s="25"/>
    </row>
    <row r="539" ht="15.75" customHeight="1">
      <c r="C539" s="24"/>
      <c r="D539" s="24"/>
      <c r="E539" s="25"/>
      <c r="F539" s="25"/>
      <c r="G539" s="25"/>
    </row>
    <row r="540" ht="15.75" customHeight="1">
      <c r="C540" s="24"/>
      <c r="D540" s="24"/>
      <c r="E540" s="25"/>
      <c r="F540" s="25"/>
      <c r="G540" s="25"/>
    </row>
    <row r="541" ht="15.75" customHeight="1">
      <c r="C541" s="24"/>
      <c r="D541" s="24"/>
      <c r="E541" s="25"/>
      <c r="F541" s="25"/>
      <c r="G541" s="25"/>
    </row>
    <row r="542" ht="15.75" customHeight="1">
      <c r="C542" s="24"/>
      <c r="D542" s="24"/>
      <c r="E542" s="25"/>
      <c r="F542" s="25"/>
      <c r="G542" s="25"/>
    </row>
    <row r="543" ht="15.75" customHeight="1">
      <c r="C543" s="24"/>
      <c r="D543" s="24"/>
      <c r="E543" s="25"/>
      <c r="F543" s="25"/>
      <c r="G543" s="25"/>
    </row>
    <row r="544" ht="15.75" customHeight="1">
      <c r="C544" s="24"/>
      <c r="D544" s="24"/>
      <c r="E544" s="25"/>
      <c r="F544" s="25"/>
      <c r="G544" s="25"/>
    </row>
    <row r="545" ht="15.75" customHeight="1">
      <c r="C545" s="24"/>
      <c r="D545" s="24"/>
      <c r="E545" s="25"/>
      <c r="F545" s="25"/>
      <c r="G545" s="25"/>
    </row>
    <row r="546" ht="15.75" customHeight="1">
      <c r="C546" s="24"/>
      <c r="D546" s="24"/>
      <c r="E546" s="25"/>
      <c r="F546" s="25"/>
      <c r="G546" s="25"/>
    </row>
    <row r="547" ht="15.75" customHeight="1">
      <c r="C547" s="24"/>
      <c r="D547" s="24"/>
      <c r="E547" s="25"/>
      <c r="F547" s="25"/>
      <c r="G547" s="25"/>
    </row>
    <row r="548" ht="15.75" customHeight="1">
      <c r="C548" s="24"/>
      <c r="D548" s="24"/>
      <c r="E548" s="25"/>
      <c r="F548" s="25"/>
      <c r="G548" s="25"/>
    </row>
    <row r="549" ht="15.75" customHeight="1">
      <c r="C549" s="24"/>
      <c r="D549" s="24"/>
      <c r="E549" s="25"/>
      <c r="F549" s="25"/>
      <c r="G549" s="25"/>
    </row>
    <row r="550" ht="15.75" customHeight="1">
      <c r="C550" s="24"/>
      <c r="D550" s="24"/>
      <c r="E550" s="25"/>
      <c r="F550" s="25"/>
      <c r="G550" s="25"/>
    </row>
    <row r="551" ht="15.75" customHeight="1">
      <c r="C551" s="24"/>
      <c r="D551" s="24"/>
      <c r="E551" s="25"/>
      <c r="F551" s="25"/>
      <c r="G551" s="25"/>
    </row>
    <row r="552" ht="15.75" customHeight="1">
      <c r="C552" s="24"/>
      <c r="D552" s="24"/>
      <c r="E552" s="25"/>
      <c r="F552" s="25"/>
      <c r="G552" s="25"/>
    </row>
    <row r="553" ht="15.75" customHeight="1">
      <c r="C553" s="24"/>
      <c r="D553" s="24"/>
      <c r="E553" s="25"/>
      <c r="F553" s="25"/>
      <c r="G553" s="25"/>
    </row>
    <row r="554" ht="15.75" customHeight="1">
      <c r="C554" s="24"/>
      <c r="D554" s="24"/>
      <c r="E554" s="25"/>
      <c r="F554" s="25"/>
      <c r="G554" s="25"/>
    </row>
    <row r="555" ht="15.75" customHeight="1">
      <c r="C555" s="24"/>
      <c r="D555" s="24"/>
      <c r="E555" s="25"/>
      <c r="F555" s="25"/>
      <c r="G555" s="25"/>
    </row>
    <row r="556" ht="15.75" customHeight="1">
      <c r="C556" s="24"/>
      <c r="D556" s="24"/>
      <c r="E556" s="25"/>
      <c r="F556" s="25"/>
      <c r="G556" s="25"/>
    </row>
    <row r="557" ht="15.75" customHeight="1">
      <c r="C557" s="24"/>
      <c r="D557" s="24"/>
      <c r="E557" s="25"/>
      <c r="F557" s="25"/>
      <c r="G557" s="25"/>
    </row>
    <row r="558" ht="15.75" customHeight="1">
      <c r="C558" s="24"/>
      <c r="D558" s="24"/>
      <c r="E558" s="25"/>
      <c r="F558" s="25"/>
      <c r="G558" s="25"/>
    </row>
    <row r="559" ht="15.75" customHeight="1">
      <c r="C559" s="24"/>
      <c r="D559" s="24"/>
      <c r="E559" s="25"/>
      <c r="F559" s="25"/>
      <c r="G559" s="25"/>
    </row>
    <row r="560" ht="15.75" customHeight="1">
      <c r="C560" s="24"/>
      <c r="D560" s="24"/>
      <c r="E560" s="25"/>
      <c r="F560" s="25"/>
      <c r="G560" s="25"/>
    </row>
    <row r="561" ht="15.75" customHeight="1">
      <c r="C561" s="24"/>
      <c r="D561" s="24"/>
      <c r="E561" s="25"/>
      <c r="F561" s="25"/>
      <c r="G561" s="25"/>
    </row>
    <row r="562" ht="15.75" customHeight="1">
      <c r="C562" s="24"/>
      <c r="D562" s="24"/>
      <c r="E562" s="25"/>
      <c r="F562" s="25"/>
      <c r="G562" s="25"/>
    </row>
    <row r="563" ht="15.75" customHeight="1">
      <c r="C563" s="24"/>
      <c r="D563" s="24"/>
      <c r="E563" s="25"/>
      <c r="F563" s="25"/>
      <c r="G563" s="25"/>
    </row>
    <row r="564" ht="15.75" customHeight="1">
      <c r="C564" s="24"/>
      <c r="D564" s="24"/>
      <c r="E564" s="25"/>
      <c r="F564" s="25"/>
      <c r="G564" s="25"/>
    </row>
    <row r="565" ht="15.75" customHeight="1">
      <c r="C565" s="24"/>
      <c r="D565" s="24"/>
      <c r="E565" s="25"/>
      <c r="F565" s="25"/>
      <c r="G565" s="25"/>
    </row>
    <row r="566" ht="15.75" customHeight="1">
      <c r="C566" s="24"/>
      <c r="D566" s="24"/>
      <c r="E566" s="25"/>
      <c r="F566" s="25"/>
      <c r="G566" s="25"/>
    </row>
    <row r="567" ht="15.75" customHeight="1">
      <c r="C567" s="24"/>
      <c r="D567" s="24"/>
      <c r="E567" s="25"/>
      <c r="F567" s="25"/>
      <c r="G567" s="25"/>
    </row>
    <row r="568" ht="15.75" customHeight="1">
      <c r="C568" s="24"/>
      <c r="D568" s="24"/>
      <c r="E568" s="25"/>
      <c r="F568" s="25"/>
      <c r="G568" s="25"/>
    </row>
    <row r="569" ht="15.75" customHeight="1">
      <c r="C569" s="24"/>
      <c r="D569" s="24"/>
      <c r="E569" s="25"/>
      <c r="F569" s="25"/>
      <c r="G569" s="25"/>
    </row>
    <row r="570" ht="15.75" customHeight="1">
      <c r="C570" s="24"/>
      <c r="D570" s="24"/>
      <c r="E570" s="25"/>
      <c r="F570" s="25"/>
      <c r="G570" s="25"/>
    </row>
    <row r="571" ht="15.75" customHeight="1">
      <c r="C571" s="24"/>
      <c r="D571" s="24"/>
      <c r="E571" s="25"/>
      <c r="F571" s="25"/>
      <c r="G571" s="25"/>
    </row>
    <row r="572" ht="15.75" customHeight="1">
      <c r="C572" s="24"/>
      <c r="D572" s="24"/>
      <c r="E572" s="25"/>
      <c r="F572" s="25"/>
      <c r="G572" s="25"/>
    </row>
    <row r="573" ht="15.75" customHeight="1">
      <c r="C573" s="24"/>
      <c r="D573" s="24"/>
      <c r="E573" s="25"/>
      <c r="F573" s="25"/>
      <c r="G573" s="25"/>
    </row>
    <row r="574" ht="15.75" customHeight="1">
      <c r="C574" s="24"/>
      <c r="D574" s="24"/>
      <c r="E574" s="25"/>
      <c r="F574" s="25"/>
      <c r="G574" s="25"/>
    </row>
    <row r="575" ht="15.75" customHeight="1">
      <c r="C575" s="24"/>
      <c r="D575" s="24"/>
      <c r="E575" s="25"/>
      <c r="F575" s="25"/>
      <c r="G575" s="25"/>
    </row>
    <row r="576" ht="15.75" customHeight="1">
      <c r="C576" s="24"/>
      <c r="D576" s="24"/>
      <c r="E576" s="25"/>
      <c r="F576" s="25"/>
      <c r="G576" s="25"/>
    </row>
    <row r="577" ht="15.75" customHeight="1">
      <c r="C577" s="24"/>
      <c r="D577" s="24"/>
      <c r="E577" s="25"/>
      <c r="F577" s="25"/>
      <c r="G577" s="25"/>
    </row>
    <row r="578" ht="15.75" customHeight="1">
      <c r="C578" s="24"/>
      <c r="D578" s="24"/>
      <c r="E578" s="25"/>
      <c r="F578" s="25"/>
      <c r="G578" s="25"/>
    </row>
    <row r="579" ht="15.75" customHeight="1">
      <c r="C579" s="24"/>
      <c r="D579" s="24"/>
      <c r="E579" s="25"/>
      <c r="F579" s="25"/>
      <c r="G579" s="25"/>
    </row>
    <row r="580" ht="15.75" customHeight="1">
      <c r="C580" s="24"/>
      <c r="D580" s="24"/>
      <c r="E580" s="25"/>
      <c r="F580" s="25"/>
      <c r="G580" s="25"/>
    </row>
    <row r="581" ht="15.75" customHeight="1">
      <c r="C581" s="24"/>
      <c r="D581" s="24"/>
      <c r="E581" s="25"/>
      <c r="F581" s="25"/>
      <c r="G581" s="25"/>
    </row>
    <row r="582" ht="15.75" customHeight="1">
      <c r="C582" s="24"/>
      <c r="D582" s="24"/>
      <c r="E582" s="25"/>
      <c r="F582" s="25"/>
      <c r="G582" s="25"/>
    </row>
    <row r="583" ht="15.75" customHeight="1">
      <c r="C583" s="24"/>
      <c r="D583" s="24"/>
      <c r="E583" s="25"/>
      <c r="F583" s="25"/>
      <c r="G583" s="25"/>
    </row>
    <row r="584" ht="15.75" customHeight="1">
      <c r="C584" s="24"/>
      <c r="D584" s="24"/>
      <c r="E584" s="25"/>
      <c r="F584" s="25"/>
      <c r="G584" s="25"/>
    </row>
    <row r="585" ht="15.75" customHeight="1">
      <c r="C585" s="24"/>
      <c r="D585" s="24"/>
      <c r="E585" s="25"/>
      <c r="F585" s="25"/>
      <c r="G585" s="25"/>
    </row>
    <row r="586" ht="15.75" customHeight="1">
      <c r="C586" s="24"/>
      <c r="D586" s="24"/>
      <c r="E586" s="25"/>
      <c r="F586" s="25"/>
      <c r="G586" s="25"/>
    </row>
    <row r="587" ht="15.75" customHeight="1">
      <c r="C587" s="24"/>
      <c r="D587" s="24"/>
      <c r="E587" s="25"/>
      <c r="F587" s="25"/>
      <c r="G587" s="25"/>
    </row>
    <row r="588" ht="15.75" customHeight="1">
      <c r="C588" s="24"/>
      <c r="D588" s="24"/>
      <c r="E588" s="25"/>
      <c r="F588" s="25"/>
      <c r="G588" s="25"/>
    </row>
    <row r="589" ht="15.75" customHeight="1">
      <c r="C589" s="24"/>
      <c r="D589" s="24"/>
      <c r="E589" s="25"/>
      <c r="F589" s="25"/>
      <c r="G589" s="25"/>
    </row>
    <row r="590" ht="15.75" customHeight="1">
      <c r="C590" s="24"/>
      <c r="D590" s="24"/>
      <c r="E590" s="25"/>
      <c r="F590" s="25"/>
      <c r="G590" s="25"/>
    </row>
    <row r="591" ht="15.75" customHeight="1">
      <c r="C591" s="24"/>
      <c r="D591" s="24"/>
      <c r="E591" s="25"/>
      <c r="F591" s="25"/>
      <c r="G591" s="25"/>
    </row>
    <row r="592" ht="15.75" customHeight="1">
      <c r="C592" s="24"/>
      <c r="D592" s="24"/>
      <c r="E592" s="25"/>
      <c r="F592" s="25"/>
      <c r="G592" s="25"/>
    </row>
    <row r="593" ht="15.75" customHeight="1">
      <c r="C593" s="24"/>
      <c r="D593" s="24"/>
      <c r="E593" s="25"/>
      <c r="F593" s="25"/>
      <c r="G593" s="25"/>
    </row>
    <row r="594" ht="15.75" customHeight="1">
      <c r="C594" s="24"/>
      <c r="D594" s="24"/>
      <c r="E594" s="25"/>
      <c r="F594" s="25"/>
      <c r="G594" s="25"/>
    </row>
    <row r="595" ht="15.75" customHeight="1">
      <c r="C595" s="24"/>
      <c r="D595" s="24"/>
      <c r="E595" s="25"/>
      <c r="F595" s="25"/>
      <c r="G595" s="25"/>
    </row>
    <row r="596" ht="15.75" customHeight="1">
      <c r="C596" s="24"/>
      <c r="D596" s="24"/>
      <c r="E596" s="25"/>
      <c r="F596" s="25"/>
      <c r="G596" s="25"/>
    </row>
    <row r="597" ht="15.75" customHeight="1">
      <c r="C597" s="24"/>
      <c r="D597" s="24"/>
      <c r="E597" s="25"/>
      <c r="F597" s="25"/>
      <c r="G597" s="25"/>
    </row>
    <row r="598" ht="15.75" customHeight="1">
      <c r="C598" s="24"/>
      <c r="D598" s="24"/>
      <c r="E598" s="25"/>
      <c r="F598" s="25"/>
      <c r="G598" s="25"/>
    </row>
    <row r="599" ht="15.75" customHeight="1">
      <c r="C599" s="24"/>
      <c r="D599" s="24"/>
      <c r="E599" s="25"/>
      <c r="F599" s="25"/>
      <c r="G599" s="25"/>
    </row>
    <row r="600" ht="15.75" customHeight="1">
      <c r="C600" s="24"/>
      <c r="D600" s="24"/>
      <c r="E600" s="25"/>
      <c r="F600" s="25"/>
      <c r="G600" s="25"/>
    </row>
    <row r="601" ht="15.75" customHeight="1">
      <c r="C601" s="24"/>
      <c r="D601" s="24"/>
      <c r="E601" s="25"/>
      <c r="F601" s="25"/>
      <c r="G601" s="25"/>
    </row>
    <row r="602" ht="15.75" customHeight="1">
      <c r="C602" s="24"/>
      <c r="D602" s="24"/>
      <c r="E602" s="25"/>
      <c r="F602" s="25"/>
      <c r="G602" s="25"/>
    </row>
    <row r="603" ht="15.75" customHeight="1">
      <c r="C603" s="24"/>
      <c r="D603" s="24"/>
      <c r="E603" s="25"/>
      <c r="F603" s="25"/>
      <c r="G603" s="25"/>
    </row>
    <row r="604" ht="15.75" customHeight="1">
      <c r="C604" s="24"/>
      <c r="D604" s="24"/>
      <c r="E604" s="25"/>
      <c r="F604" s="25"/>
      <c r="G604" s="25"/>
    </row>
    <row r="605" ht="15.75" customHeight="1">
      <c r="C605" s="24"/>
      <c r="D605" s="24"/>
      <c r="E605" s="25"/>
      <c r="F605" s="25"/>
      <c r="G605" s="25"/>
    </row>
    <row r="606" ht="15.75" customHeight="1">
      <c r="C606" s="24"/>
      <c r="D606" s="24"/>
      <c r="E606" s="25"/>
      <c r="F606" s="25"/>
      <c r="G606" s="25"/>
    </row>
    <row r="607" ht="15.75" customHeight="1">
      <c r="C607" s="24"/>
      <c r="D607" s="24"/>
      <c r="E607" s="25"/>
      <c r="F607" s="25"/>
      <c r="G607" s="25"/>
    </row>
    <row r="608" ht="15.75" customHeight="1">
      <c r="C608" s="24"/>
      <c r="D608" s="24"/>
      <c r="E608" s="25"/>
      <c r="F608" s="25"/>
      <c r="G608" s="25"/>
    </row>
    <row r="609" ht="15.75" customHeight="1">
      <c r="C609" s="24"/>
      <c r="D609" s="24"/>
      <c r="E609" s="25"/>
      <c r="F609" s="25"/>
      <c r="G609" s="25"/>
    </row>
    <row r="610" ht="15.75" customHeight="1">
      <c r="C610" s="24"/>
      <c r="D610" s="24"/>
      <c r="E610" s="25"/>
      <c r="F610" s="25"/>
      <c r="G610" s="25"/>
    </row>
    <row r="611" ht="15.75" customHeight="1">
      <c r="C611" s="24"/>
      <c r="D611" s="24"/>
      <c r="E611" s="25"/>
      <c r="F611" s="25"/>
      <c r="G611" s="25"/>
    </row>
    <row r="612" ht="15.75" customHeight="1">
      <c r="C612" s="24"/>
      <c r="D612" s="24"/>
      <c r="E612" s="25"/>
      <c r="F612" s="25"/>
      <c r="G612" s="25"/>
    </row>
    <row r="613" ht="15.75" customHeight="1">
      <c r="C613" s="24"/>
      <c r="D613" s="24"/>
      <c r="E613" s="25"/>
      <c r="F613" s="25"/>
      <c r="G613" s="25"/>
    </row>
    <row r="614" ht="15.75" customHeight="1">
      <c r="C614" s="24"/>
      <c r="D614" s="24"/>
      <c r="E614" s="25"/>
      <c r="F614" s="25"/>
      <c r="G614" s="25"/>
    </row>
    <row r="615" ht="15.75" customHeight="1">
      <c r="C615" s="24"/>
      <c r="D615" s="24"/>
      <c r="E615" s="25"/>
      <c r="F615" s="25"/>
      <c r="G615" s="25"/>
    </row>
    <row r="616" ht="15.75" customHeight="1">
      <c r="C616" s="24"/>
      <c r="D616" s="24"/>
      <c r="E616" s="25"/>
      <c r="F616" s="25"/>
      <c r="G616" s="25"/>
    </row>
    <row r="617" ht="15.75" customHeight="1">
      <c r="C617" s="24"/>
      <c r="D617" s="24"/>
      <c r="E617" s="25"/>
      <c r="F617" s="25"/>
      <c r="G617" s="25"/>
    </row>
    <row r="618" ht="15.75" customHeight="1">
      <c r="C618" s="24"/>
      <c r="D618" s="24"/>
      <c r="E618" s="25"/>
      <c r="F618" s="25"/>
      <c r="G618" s="25"/>
    </row>
    <row r="619" ht="15.75" customHeight="1">
      <c r="C619" s="24"/>
      <c r="D619" s="24"/>
      <c r="E619" s="25"/>
      <c r="F619" s="25"/>
      <c r="G619" s="25"/>
    </row>
    <row r="620" ht="15.75" customHeight="1">
      <c r="C620" s="24"/>
      <c r="D620" s="24"/>
      <c r="E620" s="25"/>
      <c r="F620" s="25"/>
      <c r="G620" s="25"/>
    </row>
    <row r="621" ht="15.75" customHeight="1">
      <c r="C621" s="24"/>
      <c r="D621" s="24"/>
      <c r="E621" s="25"/>
      <c r="F621" s="25"/>
      <c r="G621" s="25"/>
    </row>
    <row r="622" ht="15.75" customHeight="1">
      <c r="C622" s="24"/>
      <c r="D622" s="24"/>
      <c r="E622" s="25"/>
      <c r="F622" s="25"/>
      <c r="G622" s="25"/>
    </row>
    <row r="623" ht="15.75" customHeight="1">
      <c r="C623" s="24"/>
      <c r="D623" s="24"/>
      <c r="E623" s="25"/>
      <c r="F623" s="25"/>
      <c r="G623" s="25"/>
    </row>
    <row r="624" ht="15.75" customHeight="1">
      <c r="C624" s="24"/>
      <c r="D624" s="24"/>
      <c r="E624" s="25"/>
      <c r="F624" s="25"/>
      <c r="G624" s="25"/>
    </row>
    <row r="625" ht="15.75" customHeight="1">
      <c r="C625" s="24"/>
      <c r="D625" s="24"/>
      <c r="E625" s="25"/>
      <c r="F625" s="25"/>
      <c r="G625" s="25"/>
    </row>
    <row r="626" ht="15.75" customHeight="1">
      <c r="C626" s="24"/>
      <c r="D626" s="24"/>
      <c r="E626" s="25"/>
      <c r="F626" s="25"/>
      <c r="G626" s="25"/>
    </row>
    <row r="627" ht="15.75" customHeight="1">
      <c r="C627" s="24"/>
      <c r="D627" s="24"/>
      <c r="E627" s="25"/>
      <c r="F627" s="25"/>
      <c r="G627" s="25"/>
    </row>
    <row r="628" ht="15.75" customHeight="1">
      <c r="C628" s="24"/>
      <c r="D628" s="24"/>
      <c r="E628" s="25"/>
      <c r="F628" s="25"/>
      <c r="G628" s="25"/>
    </row>
    <row r="629" ht="15.75" customHeight="1">
      <c r="C629" s="24"/>
      <c r="D629" s="24"/>
      <c r="E629" s="25"/>
      <c r="F629" s="25"/>
      <c r="G629" s="25"/>
    </row>
    <row r="630" ht="15.75" customHeight="1">
      <c r="C630" s="24"/>
      <c r="D630" s="24"/>
      <c r="E630" s="25"/>
      <c r="F630" s="25"/>
      <c r="G630" s="25"/>
    </row>
    <row r="631" ht="15.75" customHeight="1">
      <c r="C631" s="24"/>
      <c r="D631" s="24"/>
      <c r="E631" s="25"/>
      <c r="F631" s="25"/>
      <c r="G631" s="25"/>
    </row>
    <row r="632" ht="15.75" customHeight="1">
      <c r="C632" s="24"/>
      <c r="D632" s="24"/>
      <c r="E632" s="25"/>
      <c r="F632" s="25"/>
      <c r="G632" s="25"/>
    </row>
    <row r="633" ht="15.75" customHeight="1">
      <c r="C633" s="24"/>
      <c r="D633" s="24"/>
      <c r="E633" s="25"/>
      <c r="F633" s="25"/>
      <c r="G633" s="25"/>
    </row>
    <row r="634" ht="15.75" customHeight="1">
      <c r="C634" s="24"/>
      <c r="D634" s="24"/>
      <c r="E634" s="25"/>
      <c r="F634" s="25"/>
      <c r="G634" s="25"/>
    </row>
    <row r="635" ht="15.75" customHeight="1">
      <c r="C635" s="24"/>
      <c r="D635" s="24"/>
      <c r="E635" s="25"/>
      <c r="F635" s="25"/>
      <c r="G635" s="25"/>
    </row>
    <row r="636" ht="15.75" customHeight="1">
      <c r="C636" s="24"/>
      <c r="D636" s="24"/>
      <c r="E636" s="25"/>
      <c r="F636" s="25"/>
      <c r="G636" s="25"/>
    </row>
    <row r="637" ht="15.75" customHeight="1">
      <c r="C637" s="24"/>
      <c r="D637" s="24"/>
      <c r="E637" s="25"/>
      <c r="F637" s="25"/>
      <c r="G637" s="25"/>
    </row>
    <row r="638" ht="15.75" customHeight="1">
      <c r="C638" s="24"/>
      <c r="D638" s="24"/>
      <c r="E638" s="25"/>
      <c r="F638" s="25"/>
      <c r="G638" s="25"/>
    </row>
    <row r="639" ht="15.75" customHeight="1">
      <c r="C639" s="24"/>
      <c r="D639" s="24"/>
      <c r="E639" s="25"/>
      <c r="F639" s="25"/>
      <c r="G639" s="25"/>
    </row>
    <row r="640" ht="15.75" customHeight="1">
      <c r="C640" s="24"/>
      <c r="D640" s="24"/>
      <c r="E640" s="25"/>
      <c r="F640" s="25"/>
      <c r="G640" s="25"/>
    </row>
    <row r="641" ht="15.75" customHeight="1">
      <c r="C641" s="24"/>
      <c r="D641" s="24"/>
      <c r="E641" s="25"/>
      <c r="F641" s="25"/>
      <c r="G641" s="25"/>
    </row>
    <row r="642" ht="15.75" customHeight="1">
      <c r="C642" s="24"/>
      <c r="D642" s="24"/>
      <c r="E642" s="25"/>
      <c r="F642" s="25"/>
      <c r="G642" s="25"/>
    </row>
    <row r="643" ht="15.75" customHeight="1">
      <c r="C643" s="24"/>
      <c r="D643" s="24"/>
      <c r="E643" s="25"/>
      <c r="F643" s="25"/>
      <c r="G643" s="25"/>
    </row>
    <row r="644" ht="15.75" customHeight="1">
      <c r="C644" s="24"/>
      <c r="D644" s="24"/>
      <c r="E644" s="25"/>
      <c r="F644" s="25"/>
      <c r="G644" s="25"/>
    </row>
    <row r="645" ht="15.75" customHeight="1">
      <c r="C645" s="24"/>
      <c r="D645" s="24"/>
      <c r="E645" s="25"/>
      <c r="F645" s="25"/>
      <c r="G645" s="25"/>
    </row>
    <row r="646" ht="15.75" customHeight="1">
      <c r="C646" s="24"/>
      <c r="D646" s="24"/>
      <c r="E646" s="25"/>
      <c r="F646" s="25"/>
      <c r="G646" s="25"/>
    </row>
    <row r="647" ht="15.75" customHeight="1">
      <c r="C647" s="24"/>
      <c r="D647" s="24"/>
      <c r="E647" s="25"/>
      <c r="F647" s="25"/>
      <c r="G647" s="25"/>
    </row>
    <row r="648" ht="15.75" customHeight="1">
      <c r="C648" s="24"/>
      <c r="D648" s="24"/>
      <c r="E648" s="25"/>
      <c r="F648" s="25"/>
      <c r="G648" s="25"/>
    </row>
    <row r="649" ht="15.75" customHeight="1">
      <c r="C649" s="24"/>
      <c r="D649" s="24"/>
      <c r="E649" s="25"/>
      <c r="F649" s="25"/>
      <c r="G649" s="25"/>
    </row>
    <row r="650" ht="15.75" customHeight="1">
      <c r="C650" s="24"/>
      <c r="D650" s="24"/>
      <c r="E650" s="25"/>
      <c r="F650" s="25"/>
      <c r="G650" s="25"/>
    </row>
    <row r="651" ht="15.75" customHeight="1">
      <c r="C651" s="24"/>
      <c r="D651" s="24"/>
      <c r="E651" s="25"/>
      <c r="F651" s="25"/>
      <c r="G651" s="25"/>
    </row>
    <row r="652" ht="15.75" customHeight="1">
      <c r="C652" s="24"/>
      <c r="D652" s="24"/>
      <c r="E652" s="25"/>
      <c r="F652" s="25"/>
      <c r="G652" s="25"/>
    </row>
    <row r="653" ht="15.75" customHeight="1">
      <c r="C653" s="24"/>
      <c r="D653" s="24"/>
      <c r="E653" s="25"/>
      <c r="F653" s="25"/>
      <c r="G653" s="25"/>
    </row>
    <row r="654" ht="15.75" customHeight="1">
      <c r="C654" s="24"/>
      <c r="D654" s="24"/>
      <c r="E654" s="25"/>
      <c r="F654" s="25"/>
      <c r="G654" s="25"/>
    </row>
    <row r="655" ht="15.75" customHeight="1">
      <c r="C655" s="24"/>
      <c r="D655" s="24"/>
      <c r="E655" s="25"/>
      <c r="F655" s="25"/>
      <c r="G655" s="25"/>
    </row>
    <row r="656" ht="15.75" customHeight="1">
      <c r="C656" s="24"/>
      <c r="D656" s="24"/>
      <c r="E656" s="25"/>
      <c r="F656" s="25"/>
      <c r="G656" s="25"/>
    </row>
    <row r="657" ht="15.75" customHeight="1">
      <c r="C657" s="24"/>
      <c r="D657" s="24"/>
      <c r="E657" s="25"/>
      <c r="F657" s="25"/>
      <c r="G657" s="25"/>
    </row>
    <row r="658" ht="15.75" customHeight="1">
      <c r="C658" s="24"/>
      <c r="D658" s="24"/>
      <c r="E658" s="25"/>
      <c r="F658" s="25"/>
      <c r="G658" s="25"/>
    </row>
    <row r="659" ht="15.75" customHeight="1">
      <c r="C659" s="24"/>
      <c r="D659" s="24"/>
      <c r="E659" s="25"/>
      <c r="F659" s="25"/>
      <c r="G659" s="25"/>
    </row>
    <row r="660" ht="15.75" customHeight="1">
      <c r="C660" s="24"/>
      <c r="D660" s="24"/>
      <c r="E660" s="25"/>
      <c r="F660" s="25"/>
      <c r="G660" s="25"/>
    </row>
    <row r="661" ht="15.75" customHeight="1">
      <c r="C661" s="24"/>
      <c r="D661" s="24"/>
      <c r="E661" s="25"/>
      <c r="F661" s="25"/>
      <c r="G661" s="25"/>
    </row>
    <row r="662" ht="15.75" customHeight="1">
      <c r="C662" s="24"/>
      <c r="D662" s="24"/>
      <c r="E662" s="25"/>
      <c r="F662" s="25"/>
      <c r="G662" s="25"/>
    </row>
    <row r="663" ht="15.75" customHeight="1">
      <c r="C663" s="24"/>
      <c r="D663" s="24"/>
      <c r="E663" s="25"/>
      <c r="F663" s="25"/>
      <c r="G663" s="25"/>
    </row>
    <row r="664" ht="15.75" customHeight="1">
      <c r="C664" s="24"/>
      <c r="D664" s="24"/>
      <c r="E664" s="25"/>
      <c r="F664" s="25"/>
      <c r="G664" s="25"/>
    </row>
    <row r="665" ht="15.75" customHeight="1">
      <c r="C665" s="24"/>
      <c r="D665" s="24"/>
      <c r="E665" s="25"/>
      <c r="F665" s="25"/>
      <c r="G665" s="25"/>
    </row>
    <row r="666" ht="15.75" customHeight="1">
      <c r="C666" s="24"/>
      <c r="D666" s="24"/>
      <c r="E666" s="25"/>
      <c r="F666" s="25"/>
      <c r="G666" s="25"/>
    </row>
    <row r="667" ht="15.75" customHeight="1">
      <c r="C667" s="24"/>
      <c r="D667" s="24"/>
      <c r="E667" s="25"/>
      <c r="F667" s="25"/>
      <c r="G667" s="25"/>
    </row>
    <row r="668" ht="15.75" customHeight="1">
      <c r="C668" s="24"/>
      <c r="D668" s="24"/>
      <c r="E668" s="25"/>
      <c r="F668" s="25"/>
      <c r="G668" s="25"/>
    </row>
    <row r="669" ht="15.75" customHeight="1">
      <c r="C669" s="24"/>
      <c r="D669" s="24"/>
      <c r="E669" s="25"/>
      <c r="F669" s="25"/>
      <c r="G669" s="25"/>
    </row>
    <row r="670" ht="15.75" customHeight="1">
      <c r="C670" s="24"/>
      <c r="D670" s="24"/>
      <c r="E670" s="25"/>
      <c r="F670" s="25"/>
      <c r="G670" s="25"/>
    </row>
    <row r="671" ht="15.75" customHeight="1">
      <c r="C671" s="24"/>
      <c r="D671" s="24"/>
      <c r="E671" s="25"/>
      <c r="F671" s="25"/>
      <c r="G671" s="25"/>
    </row>
    <row r="672" ht="15.75" customHeight="1">
      <c r="C672" s="24"/>
      <c r="D672" s="24"/>
      <c r="E672" s="25"/>
      <c r="F672" s="25"/>
      <c r="G672" s="25"/>
    </row>
    <row r="673" ht="15.75" customHeight="1">
      <c r="C673" s="24"/>
      <c r="D673" s="24"/>
      <c r="E673" s="25"/>
      <c r="F673" s="25"/>
      <c r="G673" s="25"/>
    </row>
    <row r="674" ht="15.75" customHeight="1">
      <c r="C674" s="24"/>
      <c r="D674" s="24"/>
      <c r="E674" s="25"/>
      <c r="F674" s="25"/>
      <c r="G674" s="25"/>
    </row>
    <row r="675" ht="15.75" customHeight="1">
      <c r="C675" s="24"/>
      <c r="D675" s="24"/>
      <c r="E675" s="25"/>
      <c r="F675" s="25"/>
      <c r="G675" s="25"/>
    </row>
    <row r="676" ht="15.75" customHeight="1">
      <c r="C676" s="24"/>
      <c r="D676" s="24"/>
      <c r="E676" s="25"/>
      <c r="F676" s="25"/>
      <c r="G676" s="25"/>
    </row>
    <row r="677" ht="15.75" customHeight="1">
      <c r="C677" s="24"/>
      <c r="D677" s="24"/>
      <c r="E677" s="25"/>
      <c r="F677" s="25"/>
      <c r="G677" s="25"/>
    </row>
    <row r="678" ht="15.75" customHeight="1">
      <c r="C678" s="24"/>
      <c r="D678" s="24"/>
      <c r="E678" s="25"/>
      <c r="F678" s="25"/>
      <c r="G678" s="25"/>
    </row>
    <row r="679" ht="15.75" customHeight="1">
      <c r="C679" s="24"/>
      <c r="D679" s="24"/>
      <c r="E679" s="25"/>
      <c r="F679" s="25"/>
      <c r="G679" s="25"/>
    </row>
    <row r="680" ht="15.75" customHeight="1">
      <c r="C680" s="24"/>
      <c r="D680" s="24"/>
      <c r="E680" s="25"/>
      <c r="F680" s="25"/>
      <c r="G680" s="25"/>
    </row>
    <row r="681" ht="15.75" customHeight="1">
      <c r="C681" s="24"/>
      <c r="D681" s="24"/>
      <c r="E681" s="25"/>
      <c r="F681" s="25"/>
      <c r="G681" s="25"/>
    </row>
    <row r="682" ht="15.75" customHeight="1">
      <c r="C682" s="24"/>
      <c r="D682" s="24"/>
      <c r="E682" s="25"/>
      <c r="F682" s="25"/>
      <c r="G682" s="25"/>
    </row>
    <row r="683" ht="15.75" customHeight="1">
      <c r="C683" s="24"/>
      <c r="D683" s="24"/>
      <c r="E683" s="25"/>
      <c r="F683" s="25"/>
      <c r="G683" s="25"/>
    </row>
    <row r="684" ht="15.75" customHeight="1">
      <c r="C684" s="24"/>
      <c r="D684" s="24"/>
      <c r="E684" s="25"/>
      <c r="F684" s="25"/>
      <c r="G684" s="25"/>
    </row>
    <row r="685" ht="15.75" customHeight="1">
      <c r="C685" s="24"/>
      <c r="D685" s="24"/>
      <c r="E685" s="25"/>
      <c r="F685" s="25"/>
      <c r="G685" s="25"/>
    </row>
    <row r="686" ht="15.75" customHeight="1">
      <c r="C686" s="24"/>
      <c r="D686" s="24"/>
      <c r="E686" s="25"/>
      <c r="F686" s="25"/>
      <c r="G686" s="25"/>
    </row>
    <row r="687" ht="15.75" customHeight="1">
      <c r="C687" s="24"/>
      <c r="D687" s="24"/>
      <c r="E687" s="25"/>
      <c r="F687" s="25"/>
      <c r="G687" s="25"/>
    </row>
    <row r="688" ht="15.75" customHeight="1">
      <c r="C688" s="24"/>
      <c r="D688" s="24"/>
      <c r="E688" s="25"/>
      <c r="F688" s="25"/>
      <c r="G688" s="25"/>
    </row>
    <row r="689" ht="15.75" customHeight="1">
      <c r="C689" s="24"/>
      <c r="D689" s="24"/>
      <c r="E689" s="25"/>
      <c r="F689" s="25"/>
      <c r="G689" s="25"/>
    </row>
    <row r="690" ht="15.75" customHeight="1">
      <c r="C690" s="24"/>
      <c r="D690" s="24"/>
      <c r="E690" s="25"/>
      <c r="F690" s="25"/>
      <c r="G690" s="25"/>
    </row>
    <row r="691" ht="15.75" customHeight="1">
      <c r="C691" s="24"/>
      <c r="D691" s="24"/>
      <c r="E691" s="25"/>
      <c r="F691" s="25"/>
      <c r="G691" s="25"/>
    </row>
    <row r="692" ht="15.75" customHeight="1">
      <c r="C692" s="24"/>
      <c r="D692" s="24"/>
      <c r="E692" s="25"/>
      <c r="F692" s="25"/>
      <c r="G692" s="25"/>
    </row>
    <row r="693" ht="15.75" customHeight="1">
      <c r="C693" s="24"/>
      <c r="D693" s="24"/>
      <c r="E693" s="25"/>
      <c r="F693" s="25"/>
      <c r="G693" s="25"/>
    </row>
    <row r="694" ht="15.75" customHeight="1">
      <c r="C694" s="24"/>
      <c r="D694" s="24"/>
      <c r="E694" s="25"/>
      <c r="F694" s="25"/>
      <c r="G694" s="25"/>
    </row>
    <row r="695" ht="15.75" customHeight="1">
      <c r="C695" s="24"/>
      <c r="D695" s="24"/>
      <c r="E695" s="25"/>
      <c r="F695" s="25"/>
      <c r="G695" s="25"/>
    </row>
    <row r="696" ht="15.75" customHeight="1">
      <c r="C696" s="24"/>
      <c r="D696" s="24"/>
      <c r="E696" s="25"/>
      <c r="F696" s="25"/>
      <c r="G696" s="25"/>
    </row>
    <row r="697" ht="15.75" customHeight="1">
      <c r="C697" s="24"/>
      <c r="D697" s="24"/>
      <c r="E697" s="25"/>
      <c r="F697" s="25"/>
      <c r="G697" s="25"/>
    </row>
    <row r="698" ht="15.75" customHeight="1">
      <c r="C698" s="24"/>
      <c r="D698" s="24"/>
      <c r="E698" s="25"/>
      <c r="F698" s="25"/>
      <c r="G698" s="25"/>
    </row>
    <row r="699" ht="15.75" customHeight="1">
      <c r="C699" s="24"/>
      <c r="D699" s="24"/>
      <c r="E699" s="25"/>
      <c r="F699" s="25"/>
      <c r="G699" s="25"/>
    </row>
    <row r="700" ht="15.75" customHeight="1">
      <c r="C700" s="24"/>
      <c r="D700" s="24"/>
      <c r="E700" s="25"/>
      <c r="F700" s="25"/>
      <c r="G700" s="25"/>
    </row>
    <row r="701" ht="15.75" customHeight="1">
      <c r="C701" s="24"/>
      <c r="D701" s="24"/>
      <c r="E701" s="25"/>
      <c r="F701" s="25"/>
      <c r="G701" s="25"/>
    </row>
    <row r="702" ht="15.75" customHeight="1">
      <c r="C702" s="24"/>
      <c r="D702" s="24"/>
      <c r="E702" s="25"/>
      <c r="F702" s="25"/>
      <c r="G702" s="25"/>
    </row>
    <row r="703" ht="15.75" customHeight="1">
      <c r="C703" s="24"/>
      <c r="D703" s="24"/>
      <c r="E703" s="25"/>
      <c r="F703" s="25"/>
      <c r="G703" s="25"/>
    </row>
    <row r="704" ht="15.75" customHeight="1">
      <c r="C704" s="24"/>
      <c r="D704" s="24"/>
      <c r="E704" s="25"/>
      <c r="F704" s="25"/>
      <c r="G704" s="25"/>
    </row>
    <row r="705" ht="15.75" customHeight="1">
      <c r="C705" s="24"/>
      <c r="D705" s="24"/>
      <c r="E705" s="25"/>
      <c r="F705" s="25"/>
      <c r="G705" s="25"/>
    </row>
    <row r="706" ht="15.75" customHeight="1">
      <c r="C706" s="24"/>
      <c r="D706" s="24"/>
      <c r="E706" s="25"/>
      <c r="F706" s="25"/>
      <c r="G706" s="25"/>
    </row>
    <row r="707" ht="15.75" customHeight="1">
      <c r="C707" s="24"/>
      <c r="D707" s="24"/>
      <c r="E707" s="25"/>
      <c r="F707" s="25"/>
      <c r="G707" s="25"/>
    </row>
    <row r="708" ht="15.75" customHeight="1">
      <c r="C708" s="24"/>
      <c r="D708" s="24"/>
      <c r="E708" s="25"/>
      <c r="F708" s="25"/>
      <c r="G708" s="25"/>
    </row>
    <row r="709" ht="15.75" customHeight="1">
      <c r="C709" s="24"/>
      <c r="D709" s="24"/>
      <c r="E709" s="25"/>
      <c r="F709" s="25"/>
      <c r="G709" s="25"/>
    </row>
    <row r="710" ht="15.75" customHeight="1">
      <c r="C710" s="24"/>
      <c r="D710" s="24"/>
      <c r="E710" s="25"/>
      <c r="F710" s="25"/>
      <c r="G710" s="25"/>
    </row>
    <row r="711" ht="15.75" customHeight="1">
      <c r="C711" s="24"/>
      <c r="D711" s="24"/>
      <c r="E711" s="25"/>
      <c r="F711" s="25"/>
      <c r="G711" s="25"/>
    </row>
    <row r="712" ht="15.75" customHeight="1">
      <c r="C712" s="24"/>
      <c r="D712" s="24"/>
      <c r="E712" s="25"/>
      <c r="F712" s="25"/>
      <c r="G712" s="25"/>
    </row>
    <row r="713" ht="15.75" customHeight="1">
      <c r="C713" s="24"/>
      <c r="D713" s="24"/>
      <c r="E713" s="25"/>
      <c r="F713" s="25"/>
      <c r="G713" s="25"/>
    </row>
    <row r="714" ht="15.75" customHeight="1">
      <c r="C714" s="24"/>
      <c r="D714" s="24"/>
      <c r="E714" s="25"/>
      <c r="F714" s="25"/>
      <c r="G714" s="25"/>
    </row>
    <row r="715" ht="15.75" customHeight="1">
      <c r="C715" s="24"/>
      <c r="D715" s="24"/>
      <c r="E715" s="25"/>
      <c r="F715" s="25"/>
      <c r="G715" s="25"/>
    </row>
    <row r="716" ht="15.75" customHeight="1">
      <c r="C716" s="24"/>
      <c r="D716" s="24"/>
      <c r="E716" s="25"/>
      <c r="F716" s="25"/>
      <c r="G716" s="25"/>
    </row>
    <row r="717" ht="15.75" customHeight="1">
      <c r="C717" s="24"/>
      <c r="D717" s="24"/>
      <c r="E717" s="25"/>
      <c r="F717" s="25"/>
      <c r="G717" s="25"/>
    </row>
    <row r="718" ht="15.75" customHeight="1">
      <c r="C718" s="24"/>
      <c r="D718" s="24"/>
      <c r="E718" s="25"/>
      <c r="F718" s="25"/>
      <c r="G718" s="25"/>
    </row>
    <row r="719" ht="15.75" customHeight="1">
      <c r="C719" s="24"/>
      <c r="D719" s="24"/>
      <c r="E719" s="25"/>
      <c r="F719" s="25"/>
      <c r="G719" s="25"/>
    </row>
    <row r="720" ht="15.75" customHeight="1">
      <c r="C720" s="24"/>
      <c r="D720" s="24"/>
      <c r="E720" s="25"/>
      <c r="F720" s="25"/>
      <c r="G720" s="25"/>
    </row>
    <row r="721" ht="15.75" customHeight="1">
      <c r="C721" s="24"/>
      <c r="D721" s="24"/>
      <c r="E721" s="25"/>
      <c r="F721" s="25"/>
      <c r="G721" s="25"/>
    </row>
    <row r="722" ht="15.75" customHeight="1">
      <c r="C722" s="24"/>
      <c r="D722" s="24"/>
      <c r="E722" s="25"/>
      <c r="F722" s="25"/>
      <c r="G722" s="25"/>
    </row>
    <row r="723" ht="15.75" customHeight="1">
      <c r="C723" s="24"/>
      <c r="D723" s="24"/>
      <c r="E723" s="25"/>
      <c r="F723" s="25"/>
      <c r="G723" s="25"/>
    </row>
    <row r="724" ht="15.75" customHeight="1">
      <c r="C724" s="24"/>
      <c r="D724" s="24"/>
      <c r="E724" s="25"/>
      <c r="F724" s="25"/>
      <c r="G724" s="25"/>
    </row>
    <row r="725" ht="15.75" customHeight="1">
      <c r="C725" s="24"/>
      <c r="D725" s="24"/>
      <c r="E725" s="25"/>
      <c r="F725" s="25"/>
      <c r="G725" s="25"/>
    </row>
    <row r="726" ht="15.75" customHeight="1">
      <c r="C726" s="24"/>
      <c r="D726" s="24"/>
      <c r="E726" s="25"/>
      <c r="F726" s="25"/>
      <c r="G726" s="25"/>
    </row>
    <row r="727" ht="15.75" customHeight="1">
      <c r="C727" s="24"/>
      <c r="D727" s="24"/>
      <c r="E727" s="25"/>
      <c r="F727" s="25"/>
      <c r="G727" s="25"/>
    </row>
    <row r="728" ht="15.75" customHeight="1">
      <c r="C728" s="24"/>
      <c r="D728" s="24"/>
      <c r="E728" s="25"/>
      <c r="F728" s="25"/>
      <c r="G728" s="25"/>
    </row>
    <row r="729" ht="15.75" customHeight="1">
      <c r="C729" s="24"/>
      <c r="D729" s="24"/>
      <c r="E729" s="25"/>
      <c r="F729" s="25"/>
      <c r="G729" s="25"/>
    </row>
    <row r="730" ht="15.75" customHeight="1">
      <c r="C730" s="24"/>
      <c r="D730" s="24"/>
      <c r="E730" s="25"/>
      <c r="F730" s="25"/>
      <c r="G730" s="25"/>
    </row>
    <row r="731" ht="15.75" customHeight="1">
      <c r="C731" s="24"/>
      <c r="D731" s="24"/>
      <c r="E731" s="25"/>
      <c r="F731" s="25"/>
      <c r="G731" s="25"/>
    </row>
    <row r="732" ht="15.75" customHeight="1">
      <c r="C732" s="24"/>
      <c r="D732" s="24"/>
      <c r="E732" s="25"/>
      <c r="F732" s="25"/>
      <c r="G732" s="25"/>
    </row>
    <row r="733" ht="15.75" customHeight="1">
      <c r="C733" s="24"/>
      <c r="D733" s="24"/>
      <c r="E733" s="25"/>
      <c r="F733" s="25"/>
      <c r="G733" s="25"/>
    </row>
    <row r="734" ht="15.75" customHeight="1">
      <c r="C734" s="24"/>
      <c r="D734" s="24"/>
      <c r="E734" s="25"/>
      <c r="F734" s="25"/>
      <c r="G734" s="25"/>
    </row>
    <row r="735" ht="15.75" customHeight="1">
      <c r="C735" s="24"/>
      <c r="D735" s="24"/>
      <c r="E735" s="25"/>
      <c r="F735" s="25"/>
      <c r="G735" s="25"/>
    </row>
    <row r="736" ht="15.75" customHeight="1">
      <c r="C736" s="24"/>
      <c r="D736" s="24"/>
      <c r="E736" s="25"/>
      <c r="F736" s="25"/>
      <c r="G736" s="25"/>
    </row>
    <row r="737" ht="15.75" customHeight="1">
      <c r="C737" s="24"/>
      <c r="D737" s="24"/>
      <c r="E737" s="25"/>
      <c r="F737" s="25"/>
      <c r="G737" s="25"/>
    </row>
    <row r="738" ht="15.75" customHeight="1">
      <c r="C738" s="24"/>
      <c r="D738" s="24"/>
      <c r="E738" s="25"/>
      <c r="F738" s="25"/>
      <c r="G738" s="25"/>
    </row>
    <row r="739" ht="15.75" customHeight="1">
      <c r="C739" s="24"/>
      <c r="D739" s="24"/>
      <c r="E739" s="25"/>
      <c r="F739" s="25"/>
      <c r="G739" s="25"/>
    </row>
    <row r="740" ht="15.75" customHeight="1">
      <c r="C740" s="24"/>
      <c r="D740" s="24"/>
      <c r="E740" s="25"/>
      <c r="F740" s="25"/>
      <c r="G740" s="25"/>
    </row>
    <row r="741" ht="15.75" customHeight="1">
      <c r="C741" s="24"/>
      <c r="D741" s="24"/>
      <c r="E741" s="25"/>
      <c r="F741" s="25"/>
      <c r="G741" s="25"/>
    </row>
    <row r="742" ht="15.75" customHeight="1">
      <c r="C742" s="24"/>
      <c r="D742" s="24"/>
      <c r="E742" s="25"/>
      <c r="F742" s="25"/>
      <c r="G742" s="25"/>
    </row>
    <row r="743" ht="15.75" customHeight="1">
      <c r="C743" s="24"/>
      <c r="D743" s="24"/>
      <c r="E743" s="25"/>
      <c r="F743" s="25"/>
      <c r="G743" s="25"/>
    </row>
    <row r="744" ht="15.75" customHeight="1">
      <c r="C744" s="24"/>
      <c r="D744" s="24"/>
      <c r="E744" s="25"/>
      <c r="F744" s="25"/>
      <c r="G744" s="25"/>
    </row>
    <row r="745" ht="15.75" customHeight="1">
      <c r="C745" s="24"/>
      <c r="D745" s="24"/>
      <c r="E745" s="25"/>
      <c r="F745" s="25"/>
      <c r="G745" s="25"/>
    </row>
    <row r="746" ht="15.75" customHeight="1">
      <c r="C746" s="24"/>
      <c r="D746" s="24"/>
      <c r="E746" s="25"/>
      <c r="F746" s="25"/>
      <c r="G746" s="25"/>
    </row>
    <row r="747" ht="15.75" customHeight="1">
      <c r="C747" s="24"/>
      <c r="D747" s="24"/>
      <c r="E747" s="25"/>
      <c r="F747" s="25"/>
      <c r="G747" s="25"/>
    </row>
    <row r="748" ht="15.75" customHeight="1">
      <c r="C748" s="24"/>
      <c r="D748" s="24"/>
      <c r="E748" s="25"/>
      <c r="F748" s="25"/>
      <c r="G748" s="25"/>
    </row>
    <row r="749" ht="15.75" customHeight="1">
      <c r="C749" s="24"/>
      <c r="D749" s="24"/>
      <c r="E749" s="25"/>
      <c r="F749" s="25"/>
      <c r="G749" s="25"/>
    </row>
    <row r="750" ht="15.75" customHeight="1">
      <c r="C750" s="24"/>
      <c r="D750" s="24"/>
      <c r="E750" s="25"/>
      <c r="F750" s="25"/>
      <c r="G750" s="25"/>
    </row>
    <row r="751" ht="15.75" customHeight="1">
      <c r="C751" s="24"/>
      <c r="D751" s="24"/>
      <c r="E751" s="25"/>
      <c r="F751" s="25"/>
      <c r="G751" s="25"/>
    </row>
    <row r="752" ht="15.75" customHeight="1">
      <c r="C752" s="24"/>
      <c r="D752" s="24"/>
      <c r="E752" s="25"/>
      <c r="F752" s="25"/>
      <c r="G752" s="25"/>
    </row>
    <row r="753" ht="15.75" customHeight="1">
      <c r="C753" s="24"/>
      <c r="D753" s="24"/>
      <c r="E753" s="25"/>
      <c r="F753" s="25"/>
      <c r="G753" s="25"/>
    </row>
    <row r="754" ht="15.75" customHeight="1">
      <c r="C754" s="24"/>
      <c r="D754" s="24"/>
      <c r="E754" s="25"/>
      <c r="F754" s="25"/>
      <c r="G754" s="25"/>
    </row>
    <row r="755" ht="15.75" customHeight="1">
      <c r="C755" s="24"/>
      <c r="D755" s="24"/>
      <c r="E755" s="25"/>
      <c r="F755" s="25"/>
      <c r="G755" s="25"/>
    </row>
    <row r="756" ht="15.75" customHeight="1">
      <c r="C756" s="24"/>
      <c r="D756" s="24"/>
      <c r="E756" s="25"/>
      <c r="F756" s="25"/>
      <c r="G756" s="25"/>
    </row>
    <row r="757" ht="15.75" customHeight="1">
      <c r="C757" s="24"/>
      <c r="D757" s="24"/>
      <c r="E757" s="25"/>
      <c r="F757" s="25"/>
      <c r="G757" s="25"/>
    </row>
    <row r="758" ht="15.75" customHeight="1">
      <c r="C758" s="24"/>
      <c r="D758" s="24"/>
      <c r="E758" s="25"/>
      <c r="F758" s="25"/>
      <c r="G758" s="25"/>
    </row>
    <row r="759" ht="15.75" customHeight="1">
      <c r="C759" s="24"/>
      <c r="D759" s="24"/>
      <c r="E759" s="25"/>
      <c r="F759" s="25"/>
      <c r="G759" s="25"/>
    </row>
    <row r="760" ht="15.75" customHeight="1">
      <c r="C760" s="24"/>
      <c r="D760" s="24"/>
      <c r="E760" s="25"/>
      <c r="F760" s="25"/>
      <c r="G760" s="25"/>
    </row>
    <row r="761" ht="15.75" customHeight="1">
      <c r="C761" s="24"/>
      <c r="D761" s="24"/>
      <c r="E761" s="25"/>
      <c r="F761" s="25"/>
      <c r="G761" s="25"/>
    </row>
    <row r="762" ht="15.75" customHeight="1">
      <c r="C762" s="24"/>
      <c r="D762" s="24"/>
      <c r="E762" s="25"/>
      <c r="F762" s="25"/>
      <c r="G762" s="25"/>
    </row>
    <row r="763" ht="15.75" customHeight="1">
      <c r="C763" s="24"/>
      <c r="D763" s="24"/>
      <c r="E763" s="25"/>
      <c r="F763" s="25"/>
      <c r="G763" s="25"/>
    </row>
    <row r="764" ht="15.75" customHeight="1">
      <c r="C764" s="24"/>
      <c r="D764" s="24"/>
      <c r="E764" s="25"/>
      <c r="F764" s="25"/>
      <c r="G764" s="25"/>
    </row>
    <row r="765" ht="15.75" customHeight="1">
      <c r="C765" s="24"/>
      <c r="D765" s="24"/>
      <c r="E765" s="25"/>
      <c r="F765" s="25"/>
      <c r="G765" s="25"/>
    </row>
    <row r="766" ht="15.75" customHeight="1">
      <c r="C766" s="24"/>
      <c r="D766" s="24"/>
      <c r="E766" s="25"/>
      <c r="F766" s="25"/>
      <c r="G766" s="25"/>
    </row>
    <row r="767" ht="15.75" customHeight="1">
      <c r="C767" s="24"/>
      <c r="D767" s="24"/>
      <c r="E767" s="25"/>
      <c r="F767" s="25"/>
      <c r="G767" s="25"/>
    </row>
    <row r="768" ht="15.75" customHeight="1">
      <c r="C768" s="24"/>
      <c r="D768" s="24"/>
      <c r="E768" s="25"/>
      <c r="F768" s="25"/>
      <c r="G768" s="25"/>
    </row>
    <row r="769" ht="15.75" customHeight="1">
      <c r="C769" s="24"/>
      <c r="D769" s="24"/>
      <c r="E769" s="25"/>
      <c r="F769" s="25"/>
      <c r="G769" s="25"/>
    </row>
    <row r="770" ht="15.75" customHeight="1">
      <c r="C770" s="24"/>
      <c r="D770" s="24"/>
      <c r="E770" s="25"/>
      <c r="F770" s="25"/>
      <c r="G770" s="25"/>
    </row>
    <row r="771" ht="15.75" customHeight="1">
      <c r="C771" s="24"/>
      <c r="D771" s="24"/>
      <c r="E771" s="25"/>
      <c r="F771" s="25"/>
      <c r="G771" s="25"/>
    </row>
    <row r="772" ht="15.75" customHeight="1">
      <c r="C772" s="24"/>
      <c r="D772" s="24"/>
      <c r="E772" s="25"/>
      <c r="F772" s="25"/>
      <c r="G772" s="25"/>
    </row>
    <row r="773" ht="15.75" customHeight="1">
      <c r="C773" s="24"/>
      <c r="D773" s="24"/>
      <c r="E773" s="25"/>
      <c r="F773" s="25"/>
      <c r="G773" s="25"/>
    </row>
    <row r="774" ht="15.75" customHeight="1">
      <c r="C774" s="24"/>
      <c r="D774" s="24"/>
      <c r="E774" s="25"/>
      <c r="F774" s="25"/>
      <c r="G774" s="25"/>
    </row>
    <row r="775" ht="15.75" customHeight="1">
      <c r="C775" s="24"/>
      <c r="D775" s="24"/>
      <c r="E775" s="25"/>
      <c r="F775" s="25"/>
      <c r="G775" s="25"/>
    </row>
    <row r="776" ht="15.75" customHeight="1">
      <c r="C776" s="24"/>
      <c r="D776" s="24"/>
      <c r="E776" s="25"/>
      <c r="F776" s="25"/>
      <c r="G776" s="25"/>
    </row>
    <row r="777" ht="15.75" customHeight="1">
      <c r="C777" s="24"/>
      <c r="D777" s="24"/>
      <c r="E777" s="25"/>
      <c r="F777" s="25"/>
      <c r="G777" s="25"/>
    </row>
    <row r="778" ht="15.75" customHeight="1">
      <c r="C778" s="24"/>
      <c r="D778" s="24"/>
      <c r="E778" s="25"/>
      <c r="F778" s="25"/>
      <c r="G778" s="25"/>
    </row>
    <row r="779" ht="15.75" customHeight="1">
      <c r="C779" s="24"/>
      <c r="D779" s="24"/>
      <c r="E779" s="25"/>
      <c r="F779" s="25"/>
      <c r="G779" s="25"/>
    </row>
    <row r="780" ht="15.75" customHeight="1">
      <c r="C780" s="24"/>
      <c r="D780" s="24"/>
      <c r="E780" s="25"/>
      <c r="F780" s="25"/>
      <c r="G780" s="25"/>
    </row>
    <row r="781" ht="15.75" customHeight="1">
      <c r="C781" s="24"/>
      <c r="D781" s="24"/>
      <c r="E781" s="25"/>
      <c r="F781" s="25"/>
      <c r="G781" s="25"/>
    </row>
    <row r="782" ht="15.75" customHeight="1">
      <c r="C782" s="24"/>
      <c r="D782" s="24"/>
      <c r="E782" s="25"/>
      <c r="F782" s="25"/>
      <c r="G782" s="25"/>
    </row>
    <row r="783" ht="15.75" customHeight="1">
      <c r="C783" s="24"/>
      <c r="D783" s="24"/>
      <c r="E783" s="25"/>
      <c r="F783" s="25"/>
      <c r="G783" s="25"/>
    </row>
    <row r="784" ht="15.75" customHeight="1">
      <c r="C784" s="24"/>
      <c r="D784" s="24"/>
      <c r="E784" s="25"/>
      <c r="F784" s="25"/>
      <c r="G784" s="25"/>
    </row>
    <row r="785" ht="15.75" customHeight="1">
      <c r="C785" s="24"/>
      <c r="D785" s="24"/>
      <c r="E785" s="25"/>
      <c r="F785" s="25"/>
      <c r="G785" s="25"/>
    </row>
    <row r="786" ht="15.75" customHeight="1">
      <c r="C786" s="24"/>
      <c r="D786" s="24"/>
      <c r="E786" s="25"/>
      <c r="F786" s="25"/>
      <c r="G786" s="25"/>
    </row>
    <row r="787" ht="15.75" customHeight="1">
      <c r="C787" s="24"/>
      <c r="D787" s="24"/>
      <c r="E787" s="25"/>
      <c r="F787" s="25"/>
      <c r="G787" s="25"/>
    </row>
    <row r="788" ht="15.75" customHeight="1">
      <c r="C788" s="24"/>
      <c r="D788" s="24"/>
      <c r="E788" s="25"/>
      <c r="F788" s="25"/>
      <c r="G788" s="25"/>
    </row>
    <row r="789" ht="15.75" customHeight="1">
      <c r="C789" s="24"/>
      <c r="D789" s="24"/>
      <c r="E789" s="25"/>
      <c r="F789" s="25"/>
      <c r="G789" s="25"/>
    </row>
    <row r="790" ht="15.75" customHeight="1">
      <c r="C790" s="24"/>
      <c r="D790" s="24"/>
      <c r="E790" s="25"/>
      <c r="F790" s="25"/>
      <c r="G790" s="25"/>
    </row>
    <row r="791" ht="15.75" customHeight="1">
      <c r="C791" s="24"/>
      <c r="D791" s="24"/>
      <c r="E791" s="25"/>
      <c r="F791" s="25"/>
      <c r="G791" s="25"/>
    </row>
    <row r="792" ht="15.75" customHeight="1">
      <c r="C792" s="24"/>
      <c r="D792" s="24"/>
      <c r="E792" s="25"/>
      <c r="F792" s="25"/>
      <c r="G792" s="25"/>
    </row>
    <row r="793" ht="15.75" customHeight="1">
      <c r="C793" s="24"/>
      <c r="D793" s="24"/>
      <c r="E793" s="25"/>
      <c r="F793" s="25"/>
      <c r="G793" s="25"/>
    </row>
    <row r="794" ht="15.75" customHeight="1">
      <c r="C794" s="24"/>
      <c r="D794" s="24"/>
      <c r="E794" s="25"/>
      <c r="F794" s="25"/>
      <c r="G794" s="25"/>
    </row>
    <row r="795" ht="15.75" customHeight="1">
      <c r="C795" s="24"/>
      <c r="D795" s="24"/>
      <c r="E795" s="25"/>
      <c r="F795" s="25"/>
      <c r="G795" s="25"/>
    </row>
    <row r="796" ht="15.75" customHeight="1">
      <c r="C796" s="24"/>
      <c r="D796" s="24"/>
      <c r="E796" s="25"/>
      <c r="F796" s="25"/>
      <c r="G796" s="25"/>
    </row>
    <row r="797" ht="15.75" customHeight="1">
      <c r="C797" s="24"/>
      <c r="D797" s="24"/>
      <c r="E797" s="25"/>
      <c r="F797" s="25"/>
      <c r="G797" s="25"/>
    </row>
    <row r="798" ht="15.75" customHeight="1">
      <c r="C798" s="24"/>
      <c r="D798" s="24"/>
      <c r="E798" s="25"/>
      <c r="F798" s="25"/>
      <c r="G798" s="25"/>
    </row>
    <row r="799" ht="15.75" customHeight="1">
      <c r="C799" s="24"/>
      <c r="D799" s="24"/>
      <c r="E799" s="25"/>
      <c r="F799" s="25"/>
      <c r="G799" s="25"/>
    </row>
    <row r="800" ht="15.75" customHeight="1">
      <c r="C800" s="24"/>
      <c r="D800" s="24"/>
      <c r="E800" s="25"/>
      <c r="F800" s="25"/>
      <c r="G800" s="25"/>
    </row>
    <row r="801" ht="15.75" customHeight="1">
      <c r="C801" s="24"/>
      <c r="D801" s="24"/>
      <c r="E801" s="25"/>
      <c r="F801" s="25"/>
      <c r="G801" s="25"/>
    </row>
    <row r="802" ht="15.75" customHeight="1">
      <c r="C802" s="24"/>
      <c r="D802" s="24"/>
      <c r="E802" s="25"/>
      <c r="F802" s="25"/>
      <c r="G802" s="25"/>
    </row>
    <row r="803" ht="15.75" customHeight="1">
      <c r="C803" s="24"/>
      <c r="D803" s="24"/>
      <c r="E803" s="25"/>
      <c r="F803" s="25"/>
      <c r="G803" s="25"/>
    </row>
    <row r="804" ht="15.75" customHeight="1">
      <c r="C804" s="24"/>
      <c r="D804" s="24"/>
      <c r="E804" s="25"/>
      <c r="F804" s="25"/>
      <c r="G804" s="25"/>
    </row>
    <row r="805" ht="15.75" customHeight="1">
      <c r="C805" s="24"/>
      <c r="D805" s="24"/>
      <c r="E805" s="25"/>
      <c r="F805" s="25"/>
      <c r="G805" s="25"/>
    </row>
    <row r="806" ht="15.75" customHeight="1">
      <c r="C806" s="24"/>
      <c r="D806" s="24"/>
      <c r="E806" s="25"/>
      <c r="F806" s="25"/>
      <c r="G806" s="25"/>
    </row>
    <row r="807" ht="15.75" customHeight="1">
      <c r="C807" s="24"/>
      <c r="D807" s="24"/>
      <c r="E807" s="25"/>
      <c r="F807" s="25"/>
      <c r="G807" s="25"/>
    </row>
    <row r="808" ht="15.75" customHeight="1">
      <c r="C808" s="24"/>
      <c r="D808" s="24"/>
      <c r="E808" s="25"/>
      <c r="F808" s="25"/>
      <c r="G808" s="25"/>
    </row>
    <row r="809" ht="15.75" customHeight="1">
      <c r="C809" s="24"/>
      <c r="D809" s="24"/>
      <c r="E809" s="25"/>
      <c r="F809" s="25"/>
      <c r="G809" s="25"/>
    </row>
    <row r="810" ht="15.75" customHeight="1">
      <c r="C810" s="24"/>
      <c r="D810" s="24"/>
      <c r="E810" s="25"/>
      <c r="F810" s="25"/>
      <c r="G810" s="25"/>
    </row>
    <row r="811" ht="15.75" customHeight="1">
      <c r="C811" s="24"/>
      <c r="D811" s="24"/>
      <c r="E811" s="25"/>
      <c r="F811" s="25"/>
      <c r="G811" s="25"/>
    </row>
    <row r="812" ht="15.75" customHeight="1">
      <c r="C812" s="24"/>
      <c r="D812" s="24"/>
      <c r="E812" s="25"/>
      <c r="F812" s="25"/>
      <c r="G812" s="25"/>
    </row>
    <row r="813" ht="15.75" customHeight="1">
      <c r="C813" s="24"/>
      <c r="D813" s="24"/>
      <c r="E813" s="25"/>
      <c r="F813" s="25"/>
      <c r="G813" s="25"/>
    </row>
    <row r="814" ht="15.75" customHeight="1">
      <c r="C814" s="24"/>
      <c r="D814" s="24"/>
      <c r="E814" s="25"/>
      <c r="F814" s="25"/>
      <c r="G814" s="25"/>
    </row>
    <row r="815" ht="15.75" customHeight="1">
      <c r="C815" s="24"/>
      <c r="D815" s="24"/>
      <c r="E815" s="25"/>
      <c r="F815" s="25"/>
      <c r="G815" s="25"/>
    </row>
    <row r="816" ht="15.75" customHeight="1">
      <c r="C816" s="24"/>
      <c r="D816" s="24"/>
      <c r="E816" s="25"/>
      <c r="F816" s="25"/>
      <c r="G816" s="25"/>
    </row>
    <row r="817" ht="15.75" customHeight="1">
      <c r="C817" s="24"/>
      <c r="D817" s="24"/>
      <c r="E817" s="25"/>
      <c r="F817" s="25"/>
      <c r="G817" s="25"/>
    </row>
    <row r="818" ht="15.75" customHeight="1">
      <c r="C818" s="24"/>
      <c r="D818" s="24"/>
      <c r="E818" s="25"/>
      <c r="F818" s="25"/>
      <c r="G818" s="25"/>
    </row>
    <row r="819" ht="15.75" customHeight="1">
      <c r="C819" s="24"/>
      <c r="D819" s="24"/>
      <c r="E819" s="25"/>
      <c r="F819" s="25"/>
      <c r="G819" s="25"/>
    </row>
    <row r="820" ht="15.75" customHeight="1">
      <c r="C820" s="24"/>
      <c r="D820" s="24"/>
      <c r="E820" s="25"/>
      <c r="F820" s="25"/>
      <c r="G820" s="25"/>
    </row>
    <row r="821" ht="15.75" customHeight="1">
      <c r="C821" s="24"/>
      <c r="D821" s="24"/>
      <c r="E821" s="25"/>
      <c r="F821" s="25"/>
      <c r="G821" s="25"/>
    </row>
    <row r="822" ht="15.75" customHeight="1">
      <c r="C822" s="24"/>
      <c r="D822" s="24"/>
      <c r="E822" s="25"/>
      <c r="F822" s="25"/>
      <c r="G822" s="25"/>
    </row>
    <row r="823" ht="15.75" customHeight="1">
      <c r="C823" s="24"/>
      <c r="D823" s="24"/>
      <c r="E823" s="25"/>
      <c r="F823" s="25"/>
      <c r="G823" s="25"/>
    </row>
    <row r="824" ht="15.75" customHeight="1">
      <c r="C824" s="24"/>
      <c r="D824" s="24"/>
      <c r="E824" s="25"/>
      <c r="F824" s="25"/>
      <c r="G824" s="25"/>
    </row>
    <row r="825" ht="15.75" customHeight="1">
      <c r="C825" s="24"/>
      <c r="D825" s="24"/>
      <c r="E825" s="25"/>
      <c r="F825" s="25"/>
      <c r="G825" s="25"/>
    </row>
    <row r="826" ht="15.75" customHeight="1">
      <c r="C826" s="24"/>
      <c r="D826" s="24"/>
      <c r="E826" s="25"/>
      <c r="F826" s="25"/>
      <c r="G826" s="25"/>
    </row>
    <row r="827" ht="15.75" customHeight="1">
      <c r="C827" s="24"/>
      <c r="D827" s="24"/>
      <c r="E827" s="25"/>
      <c r="F827" s="25"/>
      <c r="G827" s="25"/>
    </row>
    <row r="828" ht="15.75" customHeight="1">
      <c r="C828" s="24"/>
      <c r="D828" s="24"/>
      <c r="E828" s="25"/>
      <c r="F828" s="25"/>
      <c r="G828" s="25"/>
    </row>
    <row r="829" ht="15.75" customHeight="1">
      <c r="C829" s="24"/>
      <c r="D829" s="24"/>
      <c r="E829" s="25"/>
      <c r="F829" s="25"/>
      <c r="G829" s="25"/>
    </row>
    <row r="830" ht="15.75" customHeight="1">
      <c r="C830" s="24"/>
      <c r="D830" s="24"/>
      <c r="E830" s="25"/>
      <c r="F830" s="25"/>
      <c r="G830" s="25"/>
    </row>
    <row r="831" ht="15.75" customHeight="1">
      <c r="C831" s="24"/>
      <c r="D831" s="24"/>
      <c r="E831" s="25"/>
      <c r="F831" s="25"/>
      <c r="G831" s="25"/>
    </row>
    <row r="832" ht="15.75" customHeight="1">
      <c r="C832" s="24"/>
      <c r="D832" s="24"/>
      <c r="E832" s="25"/>
      <c r="F832" s="25"/>
      <c r="G832" s="25"/>
    </row>
    <row r="833" ht="15.75" customHeight="1">
      <c r="C833" s="24"/>
      <c r="D833" s="24"/>
      <c r="E833" s="25"/>
      <c r="F833" s="25"/>
      <c r="G833" s="25"/>
    </row>
    <row r="834" ht="15.75" customHeight="1">
      <c r="C834" s="24"/>
      <c r="D834" s="24"/>
      <c r="E834" s="25"/>
      <c r="F834" s="25"/>
      <c r="G834" s="25"/>
    </row>
    <row r="835" ht="15.75" customHeight="1">
      <c r="C835" s="24"/>
      <c r="D835" s="24"/>
      <c r="E835" s="25"/>
      <c r="F835" s="25"/>
      <c r="G835" s="25"/>
    </row>
    <row r="836" ht="15.75" customHeight="1">
      <c r="C836" s="24"/>
      <c r="D836" s="24"/>
      <c r="E836" s="25"/>
      <c r="F836" s="25"/>
      <c r="G836" s="25"/>
    </row>
    <row r="837" ht="15.75" customHeight="1">
      <c r="C837" s="24"/>
      <c r="D837" s="24"/>
      <c r="E837" s="25"/>
      <c r="F837" s="25"/>
      <c r="G837" s="25"/>
    </row>
    <row r="838" ht="15.75" customHeight="1">
      <c r="C838" s="24"/>
      <c r="D838" s="24"/>
      <c r="E838" s="25"/>
      <c r="F838" s="25"/>
      <c r="G838" s="25"/>
    </row>
    <row r="839" ht="15.75" customHeight="1">
      <c r="C839" s="24"/>
      <c r="D839" s="24"/>
      <c r="E839" s="25"/>
      <c r="F839" s="25"/>
      <c r="G839" s="25"/>
    </row>
    <row r="840" ht="15.75" customHeight="1">
      <c r="C840" s="24"/>
      <c r="D840" s="24"/>
      <c r="E840" s="25"/>
      <c r="F840" s="25"/>
      <c r="G840" s="25"/>
    </row>
    <row r="841" ht="15.75" customHeight="1">
      <c r="C841" s="24"/>
      <c r="D841" s="24"/>
      <c r="E841" s="25"/>
      <c r="F841" s="25"/>
      <c r="G841" s="25"/>
    </row>
    <row r="842" ht="15.75" customHeight="1">
      <c r="C842" s="24"/>
      <c r="D842" s="24"/>
      <c r="E842" s="25"/>
      <c r="F842" s="25"/>
      <c r="G842" s="25"/>
    </row>
    <row r="843" ht="15.75" customHeight="1">
      <c r="C843" s="24"/>
      <c r="D843" s="24"/>
      <c r="E843" s="25"/>
      <c r="F843" s="25"/>
      <c r="G843" s="25"/>
    </row>
    <row r="844" ht="15.75" customHeight="1">
      <c r="C844" s="24"/>
      <c r="D844" s="24"/>
      <c r="E844" s="25"/>
      <c r="F844" s="25"/>
      <c r="G844" s="25"/>
    </row>
    <row r="845" ht="15.75" customHeight="1">
      <c r="C845" s="24"/>
      <c r="D845" s="24"/>
      <c r="E845" s="25"/>
      <c r="F845" s="25"/>
      <c r="G845" s="25"/>
    </row>
    <row r="846" ht="15.75" customHeight="1">
      <c r="C846" s="24"/>
      <c r="D846" s="24"/>
      <c r="E846" s="25"/>
      <c r="F846" s="25"/>
      <c r="G846" s="25"/>
    </row>
    <row r="847" ht="15.75" customHeight="1">
      <c r="C847" s="24"/>
      <c r="D847" s="24"/>
      <c r="E847" s="25"/>
      <c r="F847" s="25"/>
      <c r="G847" s="25"/>
    </row>
    <row r="848" ht="15.75" customHeight="1">
      <c r="C848" s="24"/>
      <c r="D848" s="24"/>
      <c r="E848" s="25"/>
      <c r="F848" s="25"/>
      <c r="G848" s="25"/>
    </row>
    <row r="849" ht="15.75" customHeight="1">
      <c r="C849" s="24"/>
      <c r="D849" s="24"/>
      <c r="E849" s="25"/>
      <c r="F849" s="25"/>
      <c r="G849" s="25"/>
    </row>
    <row r="850" ht="15.75" customHeight="1">
      <c r="C850" s="24"/>
      <c r="D850" s="24"/>
      <c r="E850" s="25"/>
      <c r="F850" s="25"/>
      <c r="G850" s="25"/>
    </row>
    <row r="851" ht="15.75" customHeight="1">
      <c r="C851" s="24"/>
      <c r="D851" s="24"/>
      <c r="E851" s="25"/>
      <c r="F851" s="25"/>
      <c r="G851" s="25"/>
    </row>
    <row r="852" ht="15.75" customHeight="1">
      <c r="C852" s="24"/>
      <c r="D852" s="24"/>
      <c r="E852" s="25"/>
      <c r="F852" s="25"/>
      <c r="G852" s="25"/>
    </row>
    <row r="853" ht="15.75" customHeight="1">
      <c r="C853" s="24"/>
      <c r="D853" s="24"/>
      <c r="E853" s="25"/>
      <c r="F853" s="25"/>
      <c r="G853" s="25"/>
    </row>
    <row r="854" ht="15.75" customHeight="1">
      <c r="C854" s="24"/>
      <c r="D854" s="24"/>
      <c r="E854" s="25"/>
      <c r="F854" s="25"/>
      <c r="G854" s="25"/>
    </row>
    <row r="855" ht="15.75" customHeight="1">
      <c r="C855" s="24"/>
      <c r="D855" s="24"/>
      <c r="E855" s="25"/>
      <c r="F855" s="25"/>
      <c r="G855" s="25"/>
    </row>
    <row r="856" ht="15.75" customHeight="1">
      <c r="C856" s="24"/>
      <c r="D856" s="24"/>
      <c r="E856" s="25"/>
      <c r="F856" s="25"/>
      <c r="G856" s="25"/>
    </row>
    <row r="857" ht="15.75" customHeight="1">
      <c r="C857" s="24"/>
      <c r="D857" s="24"/>
      <c r="E857" s="25"/>
      <c r="F857" s="25"/>
      <c r="G857" s="25"/>
    </row>
    <row r="858" ht="15.75" customHeight="1">
      <c r="C858" s="24"/>
      <c r="D858" s="24"/>
      <c r="E858" s="25"/>
      <c r="F858" s="25"/>
      <c r="G858" s="25"/>
    </row>
    <row r="859" ht="15.75" customHeight="1">
      <c r="C859" s="24"/>
      <c r="D859" s="24"/>
      <c r="E859" s="25"/>
      <c r="F859" s="25"/>
      <c r="G859" s="25"/>
    </row>
    <row r="860" ht="15.75" customHeight="1">
      <c r="C860" s="24"/>
      <c r="D860" s="24"/>
      <c r="E860" s="25"/>
      <c r="F860" s="25"/>
      <c r="G860" s="25"/>
    </row>
    <row r="861" ht="15.75" customHeight="1">
      <c r="C861" s="24"/>
      <c r="D861" s="24"/>
      <c r="E861" s="25"/>
      <c r="F861" s="25"/>
      <c r="G861" s="25"/>
    </row>
    <row r="862" ht="15.75" customHeight="1">
      <c r="C862" s="24"/>
      <c r="D862" s="24"/>
      <c r="E862" s="25"/>
      <c r="F862" s="25"/>
      <c r="G862" s="25"/>
    </row>
    <row r="863" ht="15.75" customHeight="1">
      <c r="C863" s="24"/>
      <c r="D863" s="24"/>
      <c r="E863" s="25"/>
      <c r="F863" s="25"/>
      <c r="G863" s="25"/>
    </row>
    <row r="864" ht="15.75" customHeight="1">
      <c r="C864" s="24"/>
      <c r="D864" s="24"/>
      <c r="E864" s="25"/>
      <c r="F864" s="25"/>
      <c r="G864" s="25"/>
    </row>
    <row r="865" ht="15.75" customHeight="1">
      <c r="C865" s="24"/>
      <c r="D865" s="24"/>
      <c r="E865" s="25"/>
      <c r="F865" s="25"/>
      <c r="G865" s="25"/>
    </row>
    <row r="866" ht="15.75" customHeight="1">
      <c r="C866" s="24"/>
      <c r="D866" s="24"/>
      <c r="E866" s="25"/>
      <c r="F866" s="25"/>
      <c r="G866" s="25"/>
    </row>
    <row r="867" ht="15.75" customHeight="1">
      <c r="C867" s="24"/>
      <c r="D867" s="24"/>
      <c r="E867" s="25"/>
      <c r="F867" s="25"/>
      <c r="G867" s="25"/>
    </row>
    <row r="868" ht="15.75" customHeight="1">
      <c r="C868" s="24"/>
      <c r="D868" s="24"/>
      <c r="E868" s="25"/>
      <c r="F868" s="25"/>
      <c r="G868" s="25"/>
    </row>
    <row r="869" ht="15.75" customHeight="1">
      <c r="C869" s="24"/>
      <c r="D869" s="24"/>
      <c r="E869" s="25"/>
      <c r="F869" s="25"/>
      <c r="G869" s="25"/>
    </row>
    <row r="870" ht="15.75" customHeight="1">
      <c r="C870" s="24"/>
      <c r="D870" s="24"/>
      <c r="E870" s="25"/>
      <c r="F870" s="25"/>
      <c r="G870" s="25"/>
    </row>
    <row r="871" ht="15.75" customHeight="1">
      <c r="C871" s="24"/>
      <c r="D871" s="24"/>
      <c r="E871" s="25"/>
      <c r="F871" s="25"/>
      <c r="G871" s="25"/>
    </row>
    <row r="872" ht="15.75" customHeight="1">
      <c r="C872" s="24"/>
      <c r="D872" s="24"/>
      <c r="E872" s="25"/>
      <c r="F872" s="25"/>
      <c r="G872" s="25"/>
    </row>
    <row r="873" ht="15.75" customHeight="1">
      <c r="C873" s="24"/>
      <c r="D873" s="24"/>
      <c r="E873" s="25"/>
      <c r="F873" s="25"/>
      <c r="G873" s="25"/>
    </row>
    <row r="874" ht="15.75" customHeight="1">
      <c r="C874" s="24"/>
      <c r="D874" s="24"/>
      <c r="E874" s="25"/>
      <c r="F874" s="25"/>
      <c r="G874" s="25"/>
    </row>
    <row r="875" ht="15.75" customHeight="1">
      <c r="C875" s="24"/>
      <c r="D875" s="24"/>
      <c r="E875" s="25"/>
      <c r="F875" s="25"/>
      <c r="G875" s="25"/>
    </row>
    <row r="876" ht="15.75" customHeight="1">
      <c r="C876" s="24"/>
      <c r="D876" s="24"/>
      <c r="E876" s="25"/>
      <c r="F876" s="25"/>
      <c r="G876" s="25"/>
    </row>
    <row r="877" ht="15.75" customHeight="1">
      <c r="C877" s="24"/>
      <c r="D877" s="24"/>
      <c r="E877" s="25"/>
      <c r="F877" s="25"/>
      <c r="G877" s="25"/>
    </row>
    <row r="878" ht="15.75" customHeight="1">
      <c r="C878" s="24"/>
      <c r="D878" s="24"/>
      <c r="E878" s="25"/>
      <c r="F878" s="25"/>
      <c r="G878" s="25"/>
    </row>
    <row r="879" ht="15.75" customHeight="1">
      <c r="C879" s="24"/>
      <c r="D879" s="24"/>
      <c r="E879" s="25"/>
      <c r="F879" s="25"/>
      <c r="G879" s="25"/>
    </row>
    <row r="880" ht="15.75" customHeight="1">
      <c r="C880" s="24"/>
      <c r="D880" s="24"/>
      <c r="E880" s="25"/>
      <c r="F880" s="25"/>
      <c r="G880" s="25"/>
    </row>
    <row r="881" ht="15.75" customHeight="1">
      <c r="C881" s="24"/>
      <c r="D881" s="24"/>
      <c r="E881" s="25"/>
      <c r="F881" s="25"/>
      <c r="G881" s="25"/>
    </row>
    <row r="882" ht="15.75" customHeight="1">
      <c r="C882" s="24"/>
      <c r="D882" s="24"/>
      <c r="E882" s="25"/>
      <c r="F882" s="25"/>
      <c r="G882" s="25"/>
    </row>
    <row r="883" ht="15.75" customHeight="1">
      <c r="C883" s="24"/>
      <c r="D883" s="24"/>
      <c r="E883" s="25"/>
      <c r="F883" s="25"/>
      <c r="G883" s="25"/>
    </row>
    <row r="884" ht="15.75" customHeight="1">
      <c r="C884" s="24"/>
      <c r="D884" s="24"/>
      <c r="E884" s="25"/>
      <c r="F884" s="25"/>
      <c r="G884" s="25"/>
    </row>
    <row r="885" ht="15.75" customHeight="1">
      <c r="C885" s="24"/>
      <c r="D885" s="24"/>
      <c r="E885" s="25"/>
      <c r="F885" s="25"/>
      <c r="G885" s="25"/>
    </row>
    <row r="886" ht="15.75" customHeight="1">
      <c r="C886" s="24"/>
      <c r="D886" s="24"/>
      <c r="E886" s="25"/>
      <c r="F886" s="25"/>
      <c r="G886" s="25"/>
    </row>
    <row r="887" ht="15.75" customHeight="1">
      <c r="C887" s="24"/>
      <c r="D887" s="24"/>
      <c r="E887" s="25"/>
      <c r="F887" s="25"/>
      <c r="G887" s="25"/>
    </row>
    <row r="888" ht="15.75" customHeight="1">
      <c r="C888" s="24"/>
      <c r="D888" s="24"/>
      <c r="E888" s="25"/>
      <c r="F888" s="25"/>
      <c r="G888" s="25"/>
    </row>
    <row r="889" ht="15.75" customHeight="1">
      <c r="C889" s="24"/>
      <c r="D889" s="24"/>
      <c r="E889" s="25"/>
      <c r="F889" s="25"/>
      <c r="G889" s="25"/>
    </row>
    <row r="890" ht="15.75" customHeight="1">
      <c r="C890" s="24"/>
      <c r="D890" s="24"/>
      <c r="E890" s="25"/>
      <c r="F890" s="25"/>
      <c r="G890" s="25"/>
    </row>
    <row r="891" ht="15.75" customHeight="1">
      <c r="C891" s="24"/>
      <c r="D891" s="24"/>
      <c r="E891" s="25"/>
      <c r="F891" s="25"/>
      <c r="G891" s="25"/>
    </row>
    <row r="892" ht="15.75" customHeight="1">
      <c r="C892" s="24"/>
      <c r="D892" s="24"/>
      <c r="E892" s="25"/>
      <c r="F892" s="25"/>
      <c r="G892" s="25"/>
    </row>
    <row r="893" ht="15.75" customHeight="1">
      <c r="C893" s="24"/>
      <c r="D893" s="24"/>
      <c r="E893" s="25"/>
      <c r="F893" s="25"/>
      <c r="G893" s="25"/>
    </row>
    <row r="894" ht="15.75" customHeight="1">
      <c r="C894" s="24"/>
      <c r="D894" s="24"/>
      <c r="E894" s="25"/>
      <c r="F894" s="25"/>
      <c r="G894" s="25"/>
    </row>
    <row r="895" ht="15.75" customHeight="1">
      <c r="C895" s="24"/>
      <c r="D895" s="24"/>
      <c r="E895" s="25"/>
      <c r="F895" s="25"/>
      <c r="G895" s="25"/>
    </row>
    <row r="896" ht="15.75" customHeight="1">
      <c r="C896" s="24"/>
      <c r="D896" s="24"/>
      <c r="E896" s="25"/>
      <c r="F896" s="25"/>
      <c r="G896" s="25"/>
    </row>
    <row r="897" ht="15.75" customHeight="1">
      <c r="C897" s="24"/>
      <c r="D897" s="24"/>
      <c r="E897" s="25"/>
      <c r="F897" s="25"/>
      <c r="G897" s="25"/>
    </row>
    <row r="898" ht="15.75" customHeight="1">
      <c r="C898" s="24"/>
      <c r="D898" s="24"/>
      <c r="E898" s="25"/>
      <c r="F898" s="25"/>
      <c r="G898" s="25"/>
    </row>
    <row r="899" ht="15.75" customHeight="1">
      <c r="C899" s="24"/>
      <c r="D899" s="24"/>
      <c r="E899" s="25"/>
      <c r="F899" s="25"/>
      <c r="G899" s="25"/>
    </row>
    <row r="900" ht="15.75" customHeight="1">
      <c r="C900" s="24"/>
      <c r="D900" s="24"/>
      <c r="E900" s="25"/>
      <c r="F900" s="25"/>
      <c r="G900" s="25"/>
    </row>
    <row r="901" ht="15.75" customHeight="1">
      <c r="C901" s="24"/>
      <c r="D901" s="24"/>
      <c r="E901" s="25"/>
      <c r="F901" s="25"/>
      <c r="G901" s="25"/>
    </row>
    <row r="902" ht="15.75" customHeight="1">
      <c r="C902" s="24"/>
      <c r="D902" s="24"/>
      <c r="E902" s="25"/>
      <c r="F902" s="25"/>
      <c r="G902" s="25"/>
    </row>
    <row r="903" ht="15.75" customHeight="1">
      <c r="C903" s="24"/>
      <c r="D903" s="24"/>
      <c r="E903" s="25"/>
      <c r="F903" s="25"/>
      <c r="G903" s="25"/>
    </row>
    <row r="904" ht="15.75" customHeight="1">
      <c r="C904" s="24"/>
      <c r="D904" s="24"/>
      <c r="E904" s="25"/>
      <c r="F904" s="25"/>
      <c r="G904" s="25"/>
    </row>
    <row r="905" ht="15.75" customHeight="1">
      <c r="C905" s="24"/>
      <c r="D905" s="24"/>
      <c r="E905" s="25"/>
      <c r="F905" s="25"/>
      <c r="G905" s="25"/>
    </row>
    <row r="906" ht="15.75" customHeight="1">
      <c r="C906" s="24"/>
      <c r="D906" s="24"/>
      <c r="E906" s="25"/>
      <c r="F906" s="25"/>
      <c r="G906" s="25"/>
    </row>
    <row r="907" ht="15.75" customHeight="1">
      <c r="C907" s="24"/>
      <c r="D907" s="24"/>
      <c r="E907" s="25"/>
      <c r="F907" s="25"/>
      <c r="G907" s="25"/>
    </row>
    <row r="908" ht="15.75" customHeight="1">
      <c r="C908" s="24"/>
      <c r="D908" s="24"/>
      <c r="E908" s="25"/>
      <c r="F908" s="25"/>
      <c r="G908" s="25"/>
    </row>
    <row r="909" ht="15.75" customHeight="1">
      <c r="C909" s="24"/>
      <c r="D909" s="24"/>
      <c r="E909" s="25"/>
      <c r="F909" s="25"/>
      <c r="G909" s="25"/>
    </row>
    <row r="910" ht="15.75" customHeight="1">
      <c r="C910" s="24"/>
      <c r="D910" s="24"/>
      <c r="E910" s="25"/>
      <c r="F910" s="25"/>
      <c r="G910" s="25"/>
    </row>
    <row r="911" ht="15.75" customHeight="1">
      <c r="C911" s="24"/>
      <c r="D911" s="24"/>
      <c r="E911" s="25"/>
      <c r="F911" s="25"/>
      <c r="G911" s="25"/>
    </row>
    <row r="912" ht="15.75" customHeight="1">
      <c r="C912" s="24"/>
      <c r="D912" s="24"/>
      <c r="E912" s="25"/>
      <c r="F912" s="25"/>
      <c r="G912" s="25"/>
    </row>
    <row r="913" ht="15.75" customHeight="1">
      <c r="C913" s="24"/>
      <c r="D913" s="24"/>
      <c r="E913" s="25"/>
      <c r="F913" s="25"/>
      <c r="G913" s="25"/>
    </row>
    <row r="914" ht="15.75" customHeight="1">
      <c r="C914" s="24"/>
      <c r="D914" s="24"/>
      <c r="E914" s="25"/>
      <c r="F914" s="25"/>
      <c r="G914" s="25"/>
    </row>
    <row r="915" ht="15.75" customHeight="1">
      <c r="C915" s="24"/>
      <c r="D915" s="24"/>
      <c r="E915" s="25"/>
      <c r="F915" s="25"/>
      <c r="G915" s="25"/>
    </row>
    <row r="916" ht="15.75" customHeight="1">
      <c r="C916" s="24"/>
      <c r="D916" s="24"/>
      <c r="E916" s="25"/>
      <c r="F916" s="25"/>
      <c r="G916" s="25"/>
    </row>
    <row r="917" ht="15.75" customHeight="1">
      <c r="C917" s="24"/>
      <c r="D917" s="24"/>
      <c r="E917" s="25"/>
      <c r="F917" s="25"/>
      <c r="G917" s="25"/>
    </row>
    <row r="918" ht="15.75" customHeight="1">
      <c r="C918" s="24"/>
      <c r="D918" s="24"/>
      <c r="E918" s="25"/>
      <c r="F918" s="25"/>
      <c r="G918" s="25"/>
    </row>
    <row r="919" ht="15.75" customHeight="1">
      <c r="C919" s="24"/>
      <c r="D919" s="24"/>
      <c r="E919" s="25"/>
      <c r="F919" s="25"/>
      <c r="G919" s="25"/>
    </row>
    <row r="920" ht="15.75" customHeight="1">
      <c r="C920" s="24"/>
      <c r="D920" s="24"/>
      <c r="E920" s="25"/>
      <c r="F920" s="25"/>
      <c r="G920" s="25"/>
    </row>
    <row r="921" ht="15.75" customHeight="1">
      <c r="C921" s="24"/>
      <c r="D921" s="24"/>
      <c r="E921" s="25"/>
      <c r="F921" s="25"/>
      <c r="G921" s="25"/>
    </row>
    <row r="922" ht="15.75" customHeight="1">
      <c r="C922" s="24"/>
      <c r="D922" s="24"/>
      <c r="E922" s="25"/>
      <c r="F922" s="25"/>
      <c r="G922" s="25"/>
    </row>
    <row r="923" ht="15.75" customHeight="1">
      <c r="C923" s="24"/>
      <c r="D923" s="24"/>
      <c r="E923" s="25"/>
      <c r="F923" s="25"/>
      <c r="G923" s="25"/>
    </row>
    <row r="924" ht="15.75" customHeight="1">
      <c r="C924" s="24"/>
      <c r="D924" s="24"/>
      <c r="E924" s="25"/>
      <c r="F924" s="25"/>
      <c r="G924" s="25"/>
    </row>
    <row r="925" ht="15.75" customHeight="1">
      <c r="C925" s="24"/>
      <c r="D925" s="24"/>
      <c r="E925" s="25"/>
      <c r="F925" s="25"/>
      <c r="G925" s="25"/>
    </row>
    <row r="926" ht="15.75" customHeight="1">
      <c r="C926" s="24"/>
      <c r="D926" s="24"/>
      <c r="E926" s="25"/>
      <c r="F926" s="25"/>
      <c r="G926" s="25"/>
    </row>
    <row r="927" ht="15.75" customHeight="1">
      <c r="C927" s="24"/>
      <c r="D927" s="24"/>
      <c r="E927" s="25"/>
      <c r="F927" s="25"/>
      <c r="G927" s="25"/>
    </row>
    <row r="928" ht="15.75" customHeight="1">
      <c r="C928" s="24"/>
      <c r="D928" s="24"/>
      <c r="E928" s="25"/>
      <c r="F928" s="25"/>
      <c r="G928" s="25"/>
    </row>
    <row r="929" ht="15.75" customHeight="1">
      <c r="C929" s="24"/>
      <c r="D929" s="24"/>
      <c r="E929" s="25"/>
      <c r="F929" s="25"/>
      <c r="G929" s="25"/>
    </row>
    <row r="930" ht="15.75" customHeight="1">
      <c r="C930" s="24"/>
      <c r="D930" s="24"/>
      <c r="E930" s="25"/>
      <c r="F930" s="25"/>
      <c r="G930" s="25"/>
    </row>
    <row r="931" ht="15.75" customHeight="1">
      <c r="C931" s="24"/>
      <c r="D931" s="24"/>
      <c r="E931" s="25"/>
      <c r="F931" s="25"/>
      <c r="G931" s="25"/>
    </row>
    <row r="932" ht="15.75" customHeight="1">
      <c r="C932" s="24"/>
      <c r="D932" s="24"/>
      <c r="E932" s="25"/>
      <c r="F932" s="25"/>
      <c r="G932" s="25"/>
    </row>
    <row r="933" ht="15.75" customHeight="1">
      <c r="C933" s="24"/>
      <c r="D933" s="24"/>
      <c r="E933" s="25"/>
      <c r="F933" s="25"/>
      <c r="G933" s="25"/>
    </row>
    <row r="934" ht="15.75" customHeight="1">
      <c r="C934" s="24"/>
      <c r="D934" s="24"/>
      <c r="E934" s="25"/>
      <c r="F934" s="25"/>
      <c r="G934" s="25"/>
    </row>
    <row r="935" ht="15.75" customHeight="1">
      <c r="C935" s="24"/>
      <c r="D935" s="24"/>
      <c r="E935" s="25"/>
      <c r="F935" s="25"/>
      <c r="G935" s="25"/>
    </row>
    <row r="936" ht="15.75" customHeight="1">
      <c r="C936" s="24"/>
      <c r="D936" s="24"/>
      <c r="E936" s="25"/>
      <c r="F936" s="25"/>
      <c r="G936" s="25"/>
    </row>
    <row r="937" ht="15.75" customHeight="1">
      <c r="C937" s="24"/>
      <c r="D937" s="24"/>
      <c r="E937" s="25"/>
      <c r="F937" s="25"/>
      <c r="G937" s="25"/>
    </row>
    <row r="938" ht="15.75" customHeight="1">
      <c r="C938" s="24"/>
      <c r="D938" s="24"/>
      <c r="E938" s="25"/>
      <c r="F938" s="25"/>
      <c r="G938" s="25"/>
    </row>
    <row r="939" ht="15.75" customHeight="1">
      <c r="C939" s="24"/>
      <c r="D939" s="24"/>
      <c r="E939" s="25"/>
      <c r="F939" s="25"/>
      <c r="G939" s="25"/>
    </row>
    <row r="940" ht="15.75" customHeight="1">
      <c r="C940" s="24"/>
      <c r="D940" s="24"/>
      <c r="E940" s="25"/>
      <c r="F940" s="25"/>
      <c r="G940" s="25"/>
    </row>
    <row r="941" ht="15.75" customHeight="1">
      <c r="C941" s="24"/>
      <c r="D941" s="24"/>
      <c r="E941" s="25"/>
      <c r="F941" s="25"/>
      <c r="G941" s="25"/>
    </row>
    <row r="942" ht="15.75" customHeight="1">
      <c r="C942" s="24"/>
      <c r="D942" s="24"/>
      <c r="E942" s="25"/>
      <c r="F942" s="25"/>
      <c r="G942" s="25"/>
    </row>
    <row r="943" ht="15.75" customHeight="1">
      <c r="C943" s="24"/>
      <c r="D943" s="24"/>
      <c r="E943" s="25"/>
      <c r="F943" s="25"/>
      <c r="G943" s="25"/>
    </row>
    <row r="944" ht="15.75" customHeight="1">
      <c r="C944" s="24"/>
      <c r="D944" s="24"/>
      <c r="E944" s="25"/>
      <c r="F944" s="25"/>
      <c r="G944" s="25"/>
    </row>
    <row r="945" ht="15.75" customHeight="1">
      <c r="C945" s="24"/>
      <c r="D945" s="24"/>
      <c r="E945" s="25"/>
      <c r="F945" s="25"/>
      <c r="G945" s="25"/>
    </row>
    <row r="946" ht="15.75" customHeight="1">
      <c r="C946" s="24"/>
      <c r="D946" s="24"/>
      <c r="E946" s="25"/>
      <c r="F946" s="25"/>
      <c r="G946" s="25"/>
    </row>
    <row r="947" ht="15.75" customHeight="1">
      <c r="C947" s="24"/>
      <c r="D947" s="24"/>
      <c r="E947" s="25"/>
      <c r="F947" s="25"/>
      <c r="G947" s="25"/>
    </row>
    <row r="948" ht="15.75" customHeight="1">
      <c r="C948" s="24"/>
      <c r="D948" s="24"/>
      <c r="E948" s="25"/>
      <c r="F948" s="25"/>
      <c r="G948" s="25"/>
    </row>
    <row r="949" ht="15.75" customHeight="1">
      <c r="C949" s="24"/>
      <c r="D949" s="24"/>
      <c r="E949" s="25"/>
      <c r="F949" s="25"/>
      <c r="G949" s="25"/>
    </row>
    <row r="950" ht="15.75" customHeight="1">
      <c r="C950" s="24"/>
      <c r="D950" s="24"/>
      <c r="E950" s="25"/>
      <c r="F950" s="25"/>
      <c r="G950" s="25"/>
    </row>
    <row r="951" ht="15.75" customHeight="1">
      <c r="C951" s="24"/>
      <c r="D951" s="24"/>
      <c r="E951" s="25"/>
      <c r="F951" s="25"/>
      <c r="G951" s="25"/>
    </row>
    <row r="952" ht="15.75" customHeight="1">
      <c r="C952" s="24"/>
      <c r="D952" s="24"/>
      <c r="E952" s="25"/>
      <c r="F952" s="25"/>
      <c r="G952" s="25"/>
    </row>
    <row r="953" ht="15.75" customHeight="1">
      <c r="C953" s="24"/>
      <c r="D953" s="24"/>
      <c r="E953" s="25"/>
      <c r="F953" s="25"/>
      <c r="G953" s="25"/>
    </row>
    <row r="954" ht="15.75" customHeight="1">
      <c r="C954" s="24"/>
      <c r="D954" s="24"/>
      <c r="E954" s="25"/>
      <c r="F954" s="25"/>
      <c r="G954" s="25"/>
    </row>
    <row r="955" ht="15.75" customHeight="1">
      <c r="C955" s="24"/>
      <c r="D955" s="24"/>
      <c r="E955" s="25"/>
      <c r="F955" s="25"/>
      <c r="G955" s="25"/>
    </row>
    <row r="956" ht="15.75" customHeight="1">
      <c r="C956" s="24"/>
      <c r="D956" s="24"/>
      <c r="E956" s="25"/>
      <c r="F956" s="25"/>
      <c r="G956" s="25"/>
    </row>
    <row r="957" ht="15.75" customHeight="1">
      <c r="C957" s="24"/>
      <c r="D957" s="24"/>
      <c r="E957" s="25"/>
      <c r="F957" s="25"/>
      <c r="G957" s="25"/>
    </row>
    <row r="958" ht="15.75" customHeight="1">
      <c r="C958" s="24"/>
      <c r="D958" s="24"/>
      <c r="E958" s="25"/>
      <c r="F958" s="25"/>
      <c r="G958" s="25"/>
    </row>
    <row r="959" ht="15.75" customHeight="1">
      <c r="C959" s="24"/>
      <c r="D959" s="24"/>
      <c r="E959" s="25"/>
      <c r="F959" s="25"/>
      <c r="G959" s="25"/>
    </row>
    <row r="960" ht="15.75" customHeight="1">
      <c r="C960" s="24"/>
      <c r="D960" s="24"/>
      <c r="E960" s="25"/>
      <c r="F960" s="25"/>
      <c r="G960" s="25"/>
    </row>
    <row r="961" ht="15.75" customHeight="1">
      <c r="C961" s="24"/>
      <c r="D961" s="24"/>
      <c r="E961" s="25"/>
      <c r="F961" s="25"/>
      <c r="G961" s="25"/>
    </row>
    <row r="962" ht="15.75" customHeight="1">
      <c r="C962" s="24"/>
      <c r="D962" s="24"/>
      <c r="E962" s="25"/>
      <c r="F962" s="25"/>
      <c r="G962" s="25"/>
    </row>
    <row r="963" ht="15.75" customHeight="1">
      <c r="C963" s="24"/>
      <c r="D963" s="24"/>
      <c r="E963" s="25"/>
      <c r="F963" s="25"/>
      <c r="G963" s="25"/>
    </row>
    <row r="964" ht="15.75" customHeight="1">
      <c r="C964" s="24"/>
      <c r="D964" s="24"/>
      <c r="E964" s="25"/>
      <c r="F964" s="25"/>
      <c r="G964" s="25"/>
    </row>
    <row r="965" ht="15.75" customHeight="1">
      <c r="C965" s="24"/>
      <c r="D965" s="24"/>
      <c r="E965" s="25"/>
      <c r="F965" s="25"/>
      <c r="G965" s="25"/>
    </row>
    <row r="966" ht="15.75" customHeight="1">
      <c r="C966" s="24"/>
      <c r="D966" s="24"/>
      <c r="E966" s="25"/>
      <c r="F966" s="25"/>
      <c r="G966" s="25"/>
    </row>
    <row r="967" ht="15.75" customHeight="1">
      <c r="C967" s="24"/>
      <c r="D967" s="24"/>
      <c r="E967" s="25"/>
      <c r="F967" s="25"/>
      <c r="G967" s="25"/>
    </row>
    <row r="968" ht="15.75" customHeight="1">
      <c r="C968" s="24"/>
      <c r="D968" s="24"/>
      <c r="E968" s="25"/>
      <c r="F968" s="25"/>
      <c r="G968" s="25"/>
    </row>
    <row r="969" ht="15.75" customHeight="1">
      <c r="C969" s="24"/>
      <c r="D969" s="24"/>
      <c r="E969" s="25"/>
      <c r="F969" s="25"/>
      <c r="G969" s="25"/>
    </row>
    <row r="970" ht="15.75" customHeight="1">
      <c r="C970" s="24"/>
      <c r="D970" s="24"/>
      <c r="E970" s="25"/>
      <c r="F970" s="25"/>
      <c r="G970" s="25"/>
    </row>
    <row r="971" ht="15.75" customHeight="1">
      <c r="C971" s="24"/>
      <c r="D971" s="24"/>
      <c r="E971" s="25"/>
      <c r="F971" s="25"/>
      <c r="G971" s="25"/>
    </row>
    <row r="972" ht="15.75" customHeight="1">
      <c r="C972" s="24"/>
      <c r="D972" s="24"/>
      <c r="E972" s="25"/>
      <c r="F972" s="25"/>
      <c r="G972" s="25"/>
    </row>
    <row r="973" ht="15.75" customHeight="1">
      <c r="C973" s="24"/>
      <c r="D973" s="24"/>
      <c r="E973" s="25"/>
      <c r="F973" s="25"/>
      <c r="G973" s="25"/>
    </row>
    <row r="974" ht="15.75" customHeight="1">
      <c r="C974" s="24"/>
      <c r="D974" s="24"/>
      <c r="E974" s="25"/>
      <c r="F974" s="25"/>
      <c r="G974" s="25"/>
    </row>
    <row r="975" ht="15.75" customHeight="1">
      <c r="C975" s="24"/>
      <c r="D975" s="24"/>
      <c r="E975" s="25"/>
      <c r="F975" s="25"/>
      <c r="G975" s="25"/>
    </row>
    <row r="976" ht="15.75" customHeight="1">
      <c r="C976" s="24"/>
      <c r="D976" s="24"/>
      <c r="E976" s="25"/>
      <c r="F976" s="25"/>
      <c r="G976" s="25"/>
    </row>
    <row r="977" ht="15.75" customHeight="1">
      <c r="C977" s="24"/>
      <c r="D977" s="24"/>
      <c r="E977" s="25"/>
      <c r="F977" s="25"/>
      <c r="G977" s="25"/>
    </row>
    <row r="978" ht="15.75" customHeight="1">
      <c r="C978" s="24"/>
      <c r="D978" s="24"/>
      <c r="E978" s="25"/>
      <c r="F978" s="25"/>
      <c r="G978" s="25"/>
    </row>
    <row r="979" ht="15.75" customHeight="1">
      <c r="C979" s="24"/>
      <c r="D979" s="24"/>
      <c r="E979" s="25"/>
      <c r="F979" s="25"/>
      <c r="G979" s="25"/>
    </row>
    <row r="980" ht="15.75" customHeight="1">
      <c r="C980" s="24"/>
      <c r="D980" s="24"/>
      <c r="E980" s="25"/>
      <c r="F980" s="25"/>
      <c r="G980" s="25"/>
    </row>
    <row r="981" ht="15.75" customHeight="1">
      <c r="C981" s="24"/>
      <c r="D981" s="24"/>
      <c r="E981" s="25"/>
      <c r="F981" s="25"/>
      <c r="G981" s="25"/>
    </row>
    <row r="982" ht="15.75" customHeight="1">
      <c r="C982" s="24"/>
      <c r="D982" s="24"/>
      <c r="E982" s="25"/>
      <c r="F982" s="25"/>
      <c r="G982" s="25"/>
    </row>
    <row r="983" ht="15.75" customHeight="1">
      <c r="C983" s="24"/>
      <c r="D983" s="24"/>
      <c r="E983" s="25"/>
      <c r="F983" s="25"/>
      <c r="G983" s="25"/>
    </row>
    <row r="984" ht="15.75" customHeight="1">
      <c r="C984" s="24"/>
      <c r="D984" s="24"/>
      <c r="E984" s="25"/>
      <c r="F984" s="25"/>
      <c r="G984" s="25"/>
    </row>
    <row r="985" ht="15.75" customHeight="1">
      <c r="C985" s="24"/>
      <c r="D985" s="24"/>
      <c r="E985" s="25"/>
      <c r="F985" s="25"/>
      <c r="G985" s="25"/>
    </row>
    <row r="986" ht="15.75" customHeight="1">
      <c r="C986" s="24"/>
      <c r="D986" s="24"/>
      <c r="E986" s="25"/>
      <c r="F986" s="25"/>
      <c r="G986" s="25"/>
    </row>
    <row r="987" ht="15.75" customHeight="1">
      <c r="C987" s="24"/>
      <c r="D987" s="24"/>
      <c r="E987" s="25"/>
      <c r="F987" s="25"/>
      <c r="G987" s="25"/>
    </row>
    <row r="988" ht="15.75" customHeight="1">
      <c r="C988" s="24"/>
      <c r="D988" s="24"/>
      <c r="E988" s="25"/>
      <c r="F988" s="25"/>
      <c r="G988" s="25"/>
    </row>
    <row r="989" ht="15.75" customHeight="1">
      <c r="C989" s="24"/>
      <c r="D989" s="24"/>
      <c r="E989" s="25"/>
      <c r="F989" s="25"/>
      <c r="G989" s="25"/>
    </row>
    <row r="990" ht="15.75" customHeight="1">
      <c r="C990" s="24"/>
      <c r="D990" s="24"/>
      <c r="E990" s="25"/>
      <c r="F990" s="25"/>
      <c r="G990" s="25"/>
    </row>
    <row r="991" ht="15.75" customHeight="1">
      <c r="C991" s="24"/>
      <c r="D991" s="24"/>
      <c r="E991" s="25"/>
      <c r="F991" s="25"/>
      <c r="G991" s="25"/>
    </row>
    <row r="992" ht="15.75" customHeight="1">
      <c r="C992" s="24"/>
      <c r="D992" s="24"/>
      <c r="E992" s="25"/>
      <c r="F992" s="25"/>
      <c r="G992" s="25"/>
    </row>
    <row r="993" ht="15.75" customHeight="1">
      <c r="C993" s="24"/>
      <c r="D993" s="24"/>
      <c r="E993" s="25"/>
      <c r="F993" s="25"/>
      <c r="G993" s="25"/>
    </row>
    <row r="994" ht="15.75" customHeight="1">
      <c r="C994" s="24"/>
      <c r="D994" s="24"/>
      <c r="E994" s="25"/>
      <c r="F994" s="25"/>
      <c r="G994" s="25"/>
    </row>
    <row r="995" ht="15.75" customHeight="1">
      <c r="C995" s="24"/>
      <c r="D995" s="24"/>
      <c r="E995" s="25"/>
      <c r="F995" s="25"/>
      <c r="G995" s="25"/>
    </row>
    <row r="996" ht="15.75" customHeight="1">
      <c r="C996" s="24"/>
      <c r="D996" s="24"/>
      <c r="E996" s="25"/>
      <c r="F996" s="25"/>
      <c r="G996" s="25"/>
    </row>
    <row r="997" ht="15.75" customHeight="1">
      <c r="C997" s="24"/>
      <c r="D997" s="24"/>
      <c r="E997" s="25"/>
      <c r="F997" s="25"/>
      <c r="G997" s="25"/>
    </row>
    <row r="998" ht="15.75" customHeight="1">
      <c r="C998" s="24"/>
      <c r="D998" s="24"/>
      <c r="E998" s="25"/>
      <c r="F998" s="25"/>
      <c r="G998" s="25"/>
    </row>
    <row r="999" ht="15.75" customHeight="1">
      <c r="C999" s="24"/>
      <c r="D999" s="24"/>
      <c r="E999" s="25"/>
      <c r="F999" s="25"/>
      <c r="G999" s="25"/>
    </row>
    <row r="1000" ht="15.75" customHeight="1">
      <c r="C1000" s="24"/>
      <c r="D1000" s="24"/>
      <c r="E1000" s="25"/>
      <c r="F1000" s="25"/>
      <c r="G1000" s="2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57"/>
    <col customWidth="1" min="5" max="5" width="23.29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2" t="s">
        <v>8</v>
      </c>
    </row>
    <row r="2">
      <c r="A2" s="8" t="s">
        <v>13</v>
      </c>
      <c r="B2" s="8" t="s">
        <v>18</v>
      </c>
      <c r="C2" s="8" t="s">
        <v>15</v>
      </c>
      <c r="D2" s="8" t="s">
        <v>17</v>
      </c>
      <c r="E2" s="13" t="str">
        <f>IFERROR(VLOOKUP(A2,'DATA PER 111225'!$A$2:$C$120,3),"")</f>
        <v>BAHAN BAKU LUUCA</v>
      </c>
    </row>
    <row r="3">
      <c r="A3" s="8" t="s">
        <v>14</v>
      </c>
      <c r="B3" s="8" t="s">
        <v>35</v>
      </c>
      <c r="C3" s="8" t="s">
        <v>15</v>
      </c>
      <c r="D3" s="8" t="s">
        <v>17</v>
      </c>
      <c r="E3" s="13" t="str">
        <f>IFERROR(VLOOKUP(A3,'DATA PER 111225'!$A$2:$C$120,3),"")</f>
        <v>PRODUKSI STOK LUUCA</v>
      </c>
    </row>
    <row r="4">
      <c r="A4" s="8" t="s">
        <v>20</v>
      </c>
      <c r="B4" s="8" t="s">
        <v>49</v>
      </c>
      <c r="C4" s="8" t="s">
        <v>15</v>
      </c>
      <c r="D4" s="8" t="s">
        <v>17</v>
      </c>
      <c r="E4" s="13" t="str">
        <f>IFERROR(VLOOKUP(A4,'DATA PER 111225'!$A$2:$C$120,3),"")</f>
        <v>PRODUKSI STOK LUUCA</v>
      </c>
    </row>
    <row r="5">
      <c r="A5" s="8" t="s">
        <v>22</v>
      </c>
      <c r="B5" s="8" t="s">
        <v>54</v>
      </c>
      <c r="C5" s="8" t="s">
        <v>15</v>
      </c>
      <c r="D5" s="8" t="s">
        <v>17</v>
      </c>
      <c r="E5" s="13" t="str">
        <f>IFERROR(VLOOKUP(A5,'DATA PER 111225'!$A$2:$C$120,3),"")</f>
        <v>PRODUKSI STOK LUUCA</v>
      </c>
    </row>
    <row r="6">
      <c r="A6" s="8" t="s">
        <v>23</v>
      </c>
      <c r="B6" s="8" t="s">
        <v>59</v>
      </c>
      <c r="C6" s="8" t="s">
        <v>15</v>
      </c>
      <c r="D6" s="8" t="s">
        <v>17</v>
      </c>
      <c r="E6" s="13" t="str">
        <f>IFERROR(VLOOKUP(A6,'DATA PER 111225'!$A$2:$C$120,3),"")</f>
        <v>PRODUKSI STOK LUUCA</v>
      </c>
    </row>
    <row r="7">
      <c r="A7" s="8" t="s">
        <v>24</v>
      </c>
      <c r="B7" s="8" t="s">
        <v>63</v>
      </c>
      <c r="C7" s="8" t="s">
        <v>15</v>
      </c>
      <c r="D7" s="8" t="s">
        <v>26</v>
      </c>
      <c r="E7" s="13" t="str">
        <f>IFERROR(VLOOKUP(A7,'DATA PER 111225'!$A$2:$C$120,3),"")</f>
        <v>BAHAN BAKU LUUCA</v>
      </c>
    </row>
    <row r="8">
      <c r="A8" s="8" t="s">
        <v>27</v>
      </c>
      <c r="B8" s="8" t="s">
        <v>68</v>
      </c>
      <c r="C8" s="8" t="s">
        <v>15</v>
      </c>
      <c r="D8" s="8" t="s">
        <v>17</v>
      </c>
      <c r="E8" s="13" t="str">
        <f>IFERROR(VLOOKUP(A8,'DATA PER 111225'!$A$2:$C$120,3),"")</f>
        <v>PRODUKSI STOK LUUCA</v>
      </c>
    </row>
    <row r="9">
      <c r="A9" s="8" t="s">
        <v>72</v>
      </c>
      <c r="B9" s="8" t="s">
        <v>73</v>
      </c>
      <c r="C9" s="8" t="s">
        <v>15</v>
      </c>
      <c r="D9" s="8" t="s">
        <v>17</v>
      </c>
      <c r="E9" s="13" t="str">
        <f>IFERROR(VLOOKUP(A9,'DATA PER 111225'!$A$2:$C$120,3),"")</f>
        <v>BAHAN BAKU LUUCA</v>
      </c>
    </row>
    <row r="10">
      <c r="A10" s="8" t="s">
        <v>29</v>
      </c>
      <c r="B10" s="8" t="s">
        <v>78</v>
      </c>
      <c r="C10" s="8" t="s">
        <v>15</v>
      </c>
      <c r="D10" s="8" t="s">
        <v>17</v>
      </c>
      <c r="E10" s="13" t="str">
        <f>IFERROR(VLOOKUP(A10,'DATA PER 111225'!$A$2:$C$120,3),"")</f>
        <v>PRODUKSI STOK LUUCA</v>
      </c>
    </row>
    <row r="11">
      <c r="A11" s="8" t="s">
        <v>83</v>
      </c>
      <c r="B11" s="8" t="s">
        <v>84</v>
      </c>
      <c r="C11" s="8" t="s">
        <v>15</v>
      </c>
      <c r="D11" s="8" t="s">
        <v>17</v>
      </c>
      <c r="E11" s="13" t="str">
        <f>IFERROR(VLOOKUP(A11,'DATA PER 111225'!$A$2:$C$120,3),"")</f>
        <v>PRODUKSI STOK LUUCA</v>
      </c>
    </row>
    <row r="12">
      <c r="A12" s="8" t="s">
        <v>31</v>
      </c>
      <c r="B12" s="8" t="s">
        <v>88</v>
      </c>
      <c r="C12" s="8" t="s">
        <v>15</v>
      </c>
      <c r="D12" s="8" t="s">
        <v>17</v>
      </c>
      <c r="E12" s="13" t="str">
        <f>IFERROR(VLOOKUP(A12,'DATA PER 111225'!$A$2:$C$120,3),"")</f>
        <v>BAHAN BAKU LUUCA</v>
      </c>
    </row>
    <row r="13">
      <c r="A13" s="8" t="s">
        <v>32</v>
      </c>
      <c r="B13" s="8" t="s">
        <v>97</v>
      </c>
      <c r="C13" s="8" t="s">
        <v>15</v>
      </c>
      <c r="D13" s="8" t="s">
        <v>17</v>
      </c>
      <c r="E13" s="13" t="str">
        <f>IFERROR(VLOOKUP(A13,'DATA PER 111225'!$A$2:$C$120,3),"")</f>
        <v>BAHAN BAKU LUUCA</v>
      </c>
    </row>
    <row r="14">
      <c r="A14" s="8" t="s">
        <v>33</v>
      </c>
      <c r="B14" s="8" t="s">
        <v>101</v>
      </c>
      <c r="C14" s="8" t="s">
        <v>15</v>
      </c>
      <c r="D14" s="8" t="s">
        <v>17</v>
      </c>
      <c r="E14" s="13" t="str">
        <f>IFERROR(VLOOKUP(A14,'DATA PER 111225'!$A$2:$C$120,3),"")</f>
        <v>BAHAN BAKU LUUCA</v>
      </c>
    </row>
    <row r="15">
      <c r="A15" s="8" t="s">
        <v>34</v>
      </c>
      <c r="B15" s="8" t="s">
        <v>105</v>
      </c>
      <c r="C15" s="8" t="s">
        <v>15</v>
      </c>
      <c r="D15" s="8" t="s">
        <v>17</v>
      </c>
      <c r="E15" s="13" t="str">
        <f>IFERROR(VLOOKUP(A15,'DATA PER 111225'!$A$2:$C$120,3),"")</f>
        <v>BAHAN BAKU LUUCA</v>
      </c>
    </row>
    <row r="16">
      <c r="A16" s="8" t="s">
        <v>36</v>
      </c>
      <c r="B16" s="8" t="s">
        <v>110</v>
      </c>
      <c r="C16" s="8" t="s">
        <v>15</v>
      </c>
      <c r="D16" s="8" t="s">
        <v>37</v>
      </c>
      <c r="E16" s="13" t="str">
        <f>IFERROR(VLOOKUP(A16,'DATA PER 111225'!$A$2:$C$120,3),"")</f>
        <v>PRODUKSI STOK LUUCA</v>
      </c>
    </row>
    <row r="17">
      <c r="A17" s="8" t="s">
        <v>50</v>
      </c>
      <c r="B17" s="8" t="s">
        <v>119</v>
      </c>
      <c r="C17" s="8" t="s">
        <v>15</v>
      </c>
      <c r="D17" s="8" t="s">
        <v>17</v>
      </c>
      <c r="E17" s="13" t="str">
        <f>IFERROR(VLOOKUP(A17,'DATA PER 111225'!$A$2:$C$120,3),"")</f>
        <v>BAHAN BAKU LUUCA</v>
      </c>
    </row>
    <row r="18">
      <c r="A18" s="8" t="s">
        <v>51</v>
      </c>
      <c r="B18" s="8" t="s">
        <v>124</v>
      </c>
      <c r="C18" s="8" t="s">
        <v>15</v>
      </c>
      <c r="D18" s="8" t="s">
        <v>17</v>
      </c>
      <c r="E18" s="13" t="str">
        <f>IFERROR(VLOOKUP(A18,'DATA PER 111225'!$A$2:$C$120,3),"")</f>
        <v>BAHAN BAKU LUUCA</v>
      </c>
    </row>
    <row r="19">
      <c r="A19" s="8" t="s">
        <v>52</v>
      </c>
      <c r="B19" s="8" t="s">
        <v>128</v>
      </c>
      <c r="C19" s="8" t="s">
        <v>15</v>
      </c>
      <c r="D19" s="8" t="s">
        <v>17</v>
      </c>
      <c r="E19" s="13" t="str">
        <f>IFERROR(VLOOKUP(A19,'DATA PER 111225'!$A$2:$C$120,3),"")</f>
        <v>BAHAN BAKU LUUCA</v>
      </c>
    </row>
    <row r="20">
      <c r="A20" s="8" t="s">
        <v>132</v>
      </c>
      <c r="B20" s="8" t="s">
        <v>133</v>
      </c>
      <c r="C20" s="8" t="s">
        <v>15</v>
      </c>
      <c r="D20" s="8" t="s">
        <v>17</v>
      </c>
      <c r="E20" s="13" t="str">
        <f>IFERROR(VLOOKUP(A20,'DATA PER 111225'!$A$2:$C$120,3),"")</f>
        <v>PRODUKSI STOK LUUCA</v>
      </c>
    </row>
    <row r="21">
      <c r="A21" s="8" t="s">
        <v>138</v>
      </c>
      <c r="B21" s="8" t="s">
        <v>139</v>
      </c>
      <c r="C21" s="8" t="s">
        <v>15</v>
      </c>
      <c r="D21" s="8" t="s">
        <v>17</v>
      </c>
      <c r="E21" s="13" t="str">
        <f>IFERROR(VLOOKUP(A21,'DATA PER 111225'!$A$2:$C$120,3),"")</f>
        <v>PRODUKSI STOK LUUCA</v>
      </c>
    </row>
    <row r="22">
      <c r="A22" s="8" t="s">
        <v>144</v>
      </c>
      <c r="B22" s="8" t="s">
        <v>145</v>
      </c>
      <c r="C22" s="8" t="s">
        <v>15</v>
      </c>
      <c r="D22" s="8" t="s">
        <v>17</v>
      </c>
      <c r="E22" s="13" t="str">
        <f>IFERROR(VLOOKUP(A22,'DATA PER 111225'!$A$2:$C$120,3),"")</f>
        <v>PRODUKSI STOK LUUCA</v>
      </c>
    </row>
    <row r="23">
      <c r="A23" s="8" t="s">
        <v>150</v>
      </c>
      <c r="B23" s="8" t="s">
        <v>151</v>
      </c>
      <c r="C23" s="8" t="s">
        <v>15</v>
      </c>
      <c r="D23" s="8" t="s">
        <v>17</v>
      </c>
      <c r="E23" s="13" t="str">
        <f>IFERROR(VLOOKUP(A23,'DATA PER 111225'!$A$2:$C$120,3),"")</f>
        <v>PRODUKSI STOK LUUCA</v>
      </c>
    </row>
    <row r="24">
      <c r="A24" s="8" t="s">
        <v>156</v>
      </c>
      <c r="B24" s="8" t="s">
        <v>157</v>
      </c>
      <c r="C24" s="8" t="s">
        <v>15</v>
      </c>
      <c r="D24" s="8" t="s">
        <v>17</v>
      </c>
      <c r="E24" s="13" t="str">
        <f>IFERROR(VLOOKUP(A24,'DATA PER 111225'!$A$2:$C$120,3),"")</f>
        <v>PRODUKSI STOK LUUCA</v>
      </c>
    </row>
    <row r="25">
      <c r="A25" s="8" t="s">
        <v>163</v>
      </c>
      <c r="B25" s="8" t="s">
        <v>164</v>
      </c>
      <c r="C25" s="8" t="s">
        <v>15</v>
      </c>
      <c r="D25" s="8" t="s">
        <v>17</v>
      </c>
      <c r="E25" s="13" t="str">
        <f>IFERROR(VLOOKUP(A25,'DATA PER 111225'!$A$2:$C$120,3),"")</f>
        <v>PRODUKSI STOK LUUCA</v>
      </c>
    </row>
    <row r="26">
      <c r="A26" s="8" t="s">
        <v>167</v>
      </c>
      <c r="B26" s="8" t="s">
        <v>168</v>
      </c>
      <c r="C26" s="8" t="s">
        <v>15</v>
      </c>
      <c r="D26" s="8" t="s">
        <v>17</v>
      </c>
      <c r="E26" s="13" t="str">
        <f>IFERROR(VLOOKUP(A26,'DATA PER 111225'!$A$2:$C$120,3),"")</f>
        <v>PRODUKSI STOK LUUCA</v>
      </c>
    </row>
    <row r="27">
      <c r="A27" s="8" t="s">
        <v>64</v>
      </c>
      <c r="B27" s="8" t="s">
        <v>174</v>
      </c>
      <c r="C27" s="8" t="s">
        <v>15</v>
      </c>
      <c r="D27" s="8" t="s">
        <v>17</v>
      </c>
      <c r="E27" s="13" t="str">
        <f>IFERROR(VLOOKUP(A27,'DATA PER 111225'!$A$2:$C$120,3),"")</f>
        <v>PRODUKSI STOK LUUCA</v>
      </c>
    </row>
    <row r="28">
      <c r="A28" s="8" t="s">
        <v>66</v>
      </c>
      <c r="B28" s="8" t="s">
        <v>180</v>
      </c>
      <c r="C28" s="8" t="s">
        <v>15</v>
      </c>
      <c r="D28" s="8" t="s">
        <v>17</v>
      </c>
      <c r="E28" s="13" t="str">
        <f>IFERROR(VLOOKUP(A28,'DATA PER 111225'!$A$2:$C$120,3),"")</f>
        <v>PRODUKSI STOK LUUCA</v>
      </c>
    </row>
    <row r="29">
      <c r="A29" s="8" t="s">
        <v>67</v>
      </c>
      <c r="B29" s="8" t="s">
        <v>185</v>
      </c>
      <c r="C29" s="8" t="s">
        <v>15</v>
      </c>
      <c r="D29" s="8" t="s">
        <v>17</v>
      </c>
      <c r="E29" s="13" t="str">
        <f>IFERROR(VLOOKUP(A29,'DATA PER 111225'!$A$2:$C$120,3),"")</f>
        <v>BAHAN BAKU LUUCA</v>
      </c>
    </row>
    <row r="30">
      <c r="A30" s="8" t="s">
        <v>187</v>
      </c>
      <c r="B30" s="8" t="s">
        <v>188</v>
      </c>
      <c r="C30" s="8" t="s">
        <v>15</v>
      </c>
      <c r="D30" s="8" t="s">
        <v>17</v>
      </c>
      <c r="E30" s="13" t="str">
        <f>IFERROR(VLOOKUP(A30,'DATA PER 111225'!$A$2:$C$120,3),"")</f>
        <v>PRODUKSI STOK LUUCA</v>
      </c>
    </row>
    <row r="31">
      <c r="A31" s="8" t="s">
        <v>71</v>
      </c>
      <c r="B31" s="8" t="s">
        <v>189</v>
      </c>
      <c r="C31" s="8" t="s">
        <v>15</v>
      </c>
      <c r="D31" s="8" t="s">
        <v>17</v>
      </c>
      <c r="E31" s="13" t="str">
        <f>IFERROR(VLOOKUP(A31,'DATA PER 111225'!$A$2:$C$120,3),"")</f>
        <v>BAHAN BAKU LUUCA</v>
      </c>
    </row>
    <row r="32">
      <c r="A32" s="8" t="s">
        <v>74</v>
      </c>
      <c r="B32" s="8" t="s">
        <v>190</v>
      </c>
      <c r="C32" s="8" t="s">
        <v>15</v>
      </c>
      <c r="D32" s="8" t="s">
        <v>17</v>
      </c>
      <c r="E32" s="13" t="str">
        <f>IFERROR(VLOOKUP(A32,'DATA PER 111225'!$A$2:$C$120,3),"")</f>
        <v>BAHAN BAKU LUUCA</v>
      </c>
    </row>
    <row r="33">
      <c r="A33" s="8" t="s">
        <v>75</v>
      </c>
      <c r="B33" s="8" t="s">
        <v>191</v>
      </c>
      <c r="C33" s="8" t="s">
        <v>15</v>
      </c>
      <c r="D33" s="8" t="s">
        <v>17</v>
      </c>
      <c r="E33" s="13" t="str">
        <f>IFERROR(VLOOKUP(A33,'DATA PER 111225'!$A$2:$C$120,3),"")</f>
        <v>BAHAN BAKU LUUCA</v>
      </c>
    </row>
    <row r="34">
      <c r="A34" s="8" t="s">
        <v>76</v>
      </c>
      <c r="B34" s="8" t="s">
        <v>192</v>
      </c>
      <c r="C34" s="8" t="s">
        <v>15</v>
      </c>
      <c r="D34" s="8" t="s">
        <v>37</v>
      </c>
      <c r="E34" s="13" t="str">
        <f>IFERROR(VLOOKUP(A34,'DATA PER 111225'!$A$2:$C$120,3),"")</f>
        <v>BAHAN BAKU LUUCA</v>
      </c>
    </row>
    <row r="35">
      <c r="A35" s="8" t="s">
        <v>77</v>
      </c>
      <c r="B35" s="8" t="s">
        <v>193</v>
      </c>
      <c r="C35" s="8" t="s">
        <v>15</v>
      </c>
      <c r="D35" s="8" t="s">
        <v>37</v>
      </c>
      <c r="E35" s="13" t="str">
        <f>IFERROR(VLOOKUP(A35,'DATA PER 111225'!$A$2:$C$120,3),"")</f>
        <v>BAHAN BAKU LUUCA</v>
      </c>
    </row>
    <row r="36">
      <c r="A36" s="8" t="s">
        <v>79</v>
      </c>
      <c r="B36" s="8" t="s">
        <v>194</v>
      </c>
      <c r="C36" s="8" t="s">
        <v>15</v>
      </c>
      <c r="D36" s="8" t="s">
        <v>37</v>
      </c>
      <c r="E36" s="13" t="str">
        <f>IFERROR(VLOOKUP(A36,'DATA PER 111225'!$A$2:$C$120,3),"")</f>
        <v>BAHAN BAKU LUUCA</v>
      </c>
    </row>
    <row r="37">
      <c r="A37" s="8" t="s">
        <v>80</v>
      </c>
      <c r="B37" s="8" t="s">
        <v>195</v>
      </c>
      <c r="C37" s="8" t="s">
        <v>15</v>
      </c>
      <c r="D37" s="8" t="s">
        <v>37</v>
      </c>
      <c r="E37" s="13" t="str">
        <f>IFERROR(VLOOKUP(A37,'DATA PER 111225'!$A$2:$C$120,3),"")</f>
        <v>BAHAN BAKU LUUCA</v>
      </c>
    </row>
    <row r="38">
      <c r="A38" s="8" t="s">
        <v>81</v>
      </c>
      <c r="B38" s="8" t="s">
        <v>196</v>
      </c>
      <c r="C38" s="8" t="s">
        <v>15</v>
      </c>
      <c r="D38" s="8" t="s">
        <v>17</v>
      </c>
      <c r="E38" s="13" t="str">
        <f>IFERROR(VLOOKUP(A38,'DATA PER 111225'!$A$2:$C$120,3),"")</f>
        <v>BAHAN BAKU LUUCA</v>
      </c>
    </row>
    <row r="39">
      <c r="A39" s="8" t="s">
        <v>82</v>
      </c>
      <c r="B39" s="8" t="s">
        <v>197</v>
      </c>
      <c r="C39" s="8" t="s">
        <v>15</v>
      </c>
      <c r="D39" s="8" t="s">
        <v>17</v>
      </c>
      <c r="E39" s="13" t="str">
        <f>IFERROR(VLOOKUP(A39,'DATA PER 111225'!$A$2:$C$120,3),"")</f>
        <v>BAHAN BAKU LUUCA</v>
      </c>
    </row>
    <row r="40">
      <c r="A40" s="8" t="s">
        <v>85</v>
      </c>
      <c r="B40" s="8" t="s">
        <v>198</v>
      </c>
      <c r="C40" s="8" t="s">
        <v>15</v>
      </c>
      <c r="D40" s="8" t="s">
        <v>17</v>
      </c>
      <c r="E40" s="13" t="str">
        <f>IFERROR(VLOOKUP(A40,'DATA PER 111225'!$A$2:$C$120,3),"")</f>
        <v>BAHAN BAKU LUUCA</v>
      </c>
    </row>
    <row r="41">
      <c r="A41" s="8" t="s">
        <v>86</v>
      </c>
      <c r="B41" s="8" t="s">
        <v>199</v>
      </c>
      <c r="C41" s="8" t="s">
        <v>15</v>
      </c>
      <c r="D41" s="8" t="s">
        <v>17</v>
      </c>
      <c r="E41" s="13" t="str">
        <f>IFERROR(VLOOKUP(A41,'DATA PER 111225'!$A$2:$C$120,3),"")</f>
        <v>BAHAN BAKU LUUCA</v>
      </c>
    </row>
    <row r="42">
      <c r="A42" s="8" t="s">
        <v>87</v>
      </c>
      <c r="B42" s="8" t="s">
        <v>200</v>
      </c>
      <c r="C42" s="8" t="s">
        <v>15</v>
      </c>
      <c r="D42" s="8" t="s">
        <v>17</v>
      </c>
      <c r="E42" s="13" t="str">
        <f>IFERROR(VLOOKUP(A42,'DATA PER 111225'!$A$2:$C$120,3),"")</f>
        <v>PRODUKSI STOK LUUCA</v>
      </c>
    </row>
    <row r="43">
      <c r="A43" s="8" t="s">
        <v>89</v>
      </c>
      <c r="B43" s="8" t="s">
        <v>201</v>
      </c>
      <c r="C43" s="8" t="s">
        <v>15</v>
      </c>
      <c r="D43" s="8" t="s">
        <v>17</v>
      </c>
      <c r="E43" s="13" t="str">
        <f>IFERROR(VLOOKUP(A43,'DATA PER 111225'!$A$2:$C$120,3),"")</f>
        <v>BAHAN BAKU LUUCA</v>
      </c>
    </row>
    <row r="44">
      <c r="A44" s="8" t="s">
        <v>90</v>
      </c>
      <c r="B44" s="8" t="s">
        <v>202</v>
      </c>
      <c r="C44" s="8" t="s">
        <v>15</v>
      </c>
      <c r="D44" s="8" t="s">
        <v>17</v>
      </c>
      <c r="E44" s="13" t="str">
        <f>IFERROR(VLOOKUP(A44,'DATA PER 111225'!$A$2:$C$120,3),"")</f>
        <v>BAHAN BAKU LUUCA</v>
      </c>
    </row>
    <row r="45">
      <c r="A45" s="8" t="s">
        <v>91</v>
      </c>
      <c r="B45" s="8" t="s">
        <v>203</v>
      </c>
      <c r="C45" s="8" t="s">
        <v>15</v>
      </c>
      <c r="D45" s="8" t="s">
        <v>17</v>
      </c>
      <c r="E45" s="13" t="str">
        <f>IFERROR(VLOOKUP(A45,'DATA PER 111225'!$A$2:$C$120,3),"")</f>
        <v>BAHAN BAKU LUUCA</v>
      </c>
    </row>
    <row r="46">
      <c r="A46" s="8" t="s">
        <v>92</v>
      </c>
      <c r="B46" s="8" t="s">
        <v>204</v>
      </c>
      <c r="C46" s="8" t="s">
        <v>15</v>
      </c>
      <c r="D46" s="8" t="s">
        <v>17</v>
      </c>
      <c r="E46" s="13" t="str">
        <f>IFERROR(VLOOKUP(A46,'DATA PER 111225'!$A$2:$C$120,3),"")</f>
        <v>PRODUKSI STOK LUUCA</v>
      </c>
    </row>
    <row r="47">
      <c r="A47" s="8" t="s">
        <v>96</v>
      </c>
      <c r="B47" s="8" t="s">
        <v>205</v>
      </c>
      <c r="C47" s="8" t="s">
        <v>15</v>
      </c>
      <c r="D47" s="8" t="s">
        <v>17</v>
      </c>
      <c r="E47" s="13" t="str">
        <f>IFERROR(VLOOKUP(A47,'DATA PER 111225'!$A$2:$C$120,3),"")</f>
        <v>PRODUKSI STOK LUUCA</v>
      </c>
    </row>
    <row r="48">
      <c r="A48" s="8" t="s">
        <v>98</v>
      </c>
      <c r="B48" s="8" t="s">
        <v>206</v>
      </c>
      <c r="C48" s="8" t="s">
        <v>15</v>
      </c>
      <c r="D48" s="8" t="s">
        <v>17</v>
      </c>
      <c r="E48" s="13" t="str">
        <f>IFERROR(VLOOKUP(A48,'DATA PER 111225'!$A$2:$C$120,3),"")</f>
        <v>PRODUKSI STOK LUUCA</v>
      </c>
    </row>
    <row r="49">
      <c r="A49" s="8" t="s">
        <v>99</v>
      </c>
      <c r="B49" s="8" t="s">
        <v>207</v>
      </c>
      <c r="C49" s="8" t="s">
        <v>15</v>
      </c>
      <c r="D49" s="8" t="s">
        <v>17</v>
      </c>
      <c r="E49" s="13" t="str">
        <f>IFERROR(VLOOKUP(A49,'DATA PER 111225'!$A$2:$C$120,3),"")</f>
        <v>BAHAN BAKU LUUCA</v>
      </c>
    </row>
    <row r="50">
      <c r="A50" s="8" t="s">
        <v>104</v>
      </c>
      <c r="B50" s="8" t="s">
        <v>208</v>
      </c>
      <c r="C50" s="8" t="s">
        <v>15</v>
      </c>
      <c r="D50" s="8" t="s">
        <v>17</v>
      </c>
      <c r="E50" s="13" t="str">
        <f>IFERROR(VLOOKUP(A50,'DATA PER 111225'!$A$2:$C$120,3),"")</f>
        <v>PRODUKSI STOK LUUCA</v>
      </c>
    </row>
    <row r="51">
      <c r="A51" s="8" t="s">
        <v>106</v>
      </c>
      <c r="B51" s="8" t="s">
        <v>209</v>
      </c>
      <c r="C51" s="8" t="s">
        <v>15</v>
      </c>
      <c r="D51" s="8" t="s">
        <v>17</v>
      </c>
      <c r="E51" s="13" t="str">
        <f>IFERROR(VLOOKUP(A51,'DATA PER 111225'!$A$2:$C$120,3),"")</f>
        <v>BAHAN BAKU LUUCA</v>
      </c>
    </row>
    <row r="52">
      <c r="A52" s="8" t="s">
        <v>107</v>
      </c>
      <c r="B52" s="8" t="s">
        <v>210</v>
      </c>
      <c r="C52" s="8" t="s">
        <v>15</v>
      </c>
      <c r="D52" s="8" t="s">
        <v>17</v>
      </c>
      <c r="E52" s="13" t="str">
        <f>IFERROR(VLOOKUP(A52,'DATA PER 111225'!$A$2:$C$120,3),"")</f>
        <v>BAHAN BAKU LUUCA</v>
      </c>
    </row>
    <row r="53">
      <c r="A53" s="8" t="s">
        <v>108</v>
      </c>
      <c r="B53" s="8" t="s">
        <v>211</v>
      </c>
      <c r="C53" s="8" t="s">
        <v>15</v>
      </c>
      <c r="D53" s="8" t="s">
        <v>17</v>
      </c>
      <c r="E53" s="13" t="str">
        <f>IFERROR(VLOOKUP(A53,'DATA PER 111225'!$A$2:$C$120,3),"")</f>
        <v>BAHAN BAKU LUUCA</v>
      </c>
    </row>
    <row r="54">
      <c r="A54" s="8" t="s">
        <v>109</v>
      </c>
      <c r="B54" s="8" t="s">
        <v>212</v>
      </c>
      <c r="C54" s="8" t="s">
        <v>15</v>
      </c>
      <c r="D54" s="8" t="s">
        <v>17</v>
      </c>
      <c r="E54" s="13" t="str">
        <f>IFERROR(VLOOKUP(A54,'DATA PER 111225'!$A$2:$C$120,3),"")</f>
        <v>BAHAN BAKU LUUCA</v>
      </c>
    </row>
    <row r="55">
      <c r="A55" s="8" t="s">
        <v>53</v>
      </c>
      <c r="B55" s="8" t="s">
        <v>213</v>
      </c>
      <c r="C55" s="8" t="s">
        <v>15</v>
      </c>
      <c r="D55" s="8" t="s">
        <v>17</v>
      </c>
      <c r="E55" s="13" t="str">
        <f>IFERROR(VLOOKUP(A55,'DATA PER 111225'!$A$2:$C$120,3),"")</f>
        <v>BAHAN BAKU LUUCA</v>
      </c>
    </row>
    <row r="56">
      <c r="A56" s="8" t="s">
        <v>111</v>
      </c>
      <c r="B56" s="8" t="s">
        <v>214</v>
      </c>
      <c r="C56" s="8" t="s">
        <v>15</v>
      </c>
      <c r="D56" s="8" t="s">
        <v>17</v>
      </c>
      <c r="E56" s="13" t="str">
        <f>IFERROR(VLOOKUP(A56,'DATA PER 111225'!$A$2:$C$120,3),"")</f>
        <v>BAHAN BAKU LUUCA</v>
      </c>
    </row>
    <row r="57">
      <c r="A57" s="8" t="s">
        <v>112</v>
      </c>
      <c r="B57" s="8" t="s">
        <v>215</v>
      </c>
      <c r="C57" s="8" t="s">
        <v>15</v>
      </c>
      <c r="D57" s="8" t="s">
        <v>17</v>
      </c>
      <c r="E57" s="13" t="str">
        <f>IFERROR(VLOOKUP(A57,'DATA PER 111225'!$A$2:$C$120,3),"")</f>
        <v>BAHAN BAKU LUUCA</v>
      </c>
    </row>
    <row r="58">
      <c r="A58" s="8" t="s">
        <v>216</v>
      </c>
      <c r="B58" s="8" t="s">
        <v>217</v>
      </c>
      <c r="C58" s="8" t="s">
        <v>15</v>
      </c>
      <c r="D58" s="8" t="s">
        <v>37</v>
      </c>
      <c r="E58" s="20" t="s">
        <v>16</v>
      </c>
    </row>
    <row r="59">
      <c r="A59" s="8" t="s">
        <v>218</v>
      </c>
      <c r="B59" s="8" t="s">
        <v>219</v>
      </c>
      <c r="C59" s="8" t="s">
        <v>15</v>
      </c>
      <c r="D59" s="8" t="s">
        <v>17</v>
      </c>
      <c r="E59" s="13" t="str">
        <f>IFERROR(VLOOKUP(A59,'DATA PER 111225'!$A$2:$C$120,3),"")</f>
        <v>BAHAN BAKU LUUCA</v>
      </c>
    </row>
    <row r="60">
      <c r="A60" s="8" t="s">
        <v>220</v>
      </c>
      <c r="B60" s="8" t="s">
        <v>221</v>
      </c>
      <c r="C60" s="8" t="s">
        <v>15</v>
      </c>
      <c r="D60" s="8" t="s">
        <v>37</v>
      </c>
      <c r="E60" s="13" t="str">
        <f>IFERROR(VLOOKUP(A60,'DATA PER 111225'!$A$2:$C$120,3),"")</f>
        <v>PRODUKSI STOK LUUCA</v>
      </c>
    </row>
    <row r="61">
      <c r="A61" s="8" t="s">
        <v>222</v>
      </c>
      <c r="B61" s="8" t="s">
        <v>223</v>
      </c>
      <c r="C61" s="8" t="s">
        <v>15</v>
      </c>
      <c r="D61" s="8" t="s">
        <v>37</v>
      </c>
      <c r="E61" s="13" t="str">
        <f>IFERROR(VLOOKUP(A61,'DATA PER 111225'!$A$2:$C$120,3),"")</f>
        <v>PRODUKSI STOK LUUCA</v>
      </c>
    </row>
    <row r="62">
      <c r="A62" s="8" t="s">
        <v>224</v>
      </c>
      <c r="B62" s="8" t="s">
        <v>225</v>
      </c>
      <c r="C62" s="8" t="s">
        <v>15</v>
      </c>
      <c r="D62" s="8" t="s">
        <v>37</v>
      </c>
      <c r="E62" s="13" t="str">
        <f>IFERROR(VLOOKUP(A62,'DATA PER 111225'!$A$2:$C$120,3),"")</f>
        <v>PRODUKSI STOK LUUCA</v>
      </c>
    </row>
    <row r="63">
      <c r="A63" s="8" t="s">
        <v>226</v>
      </c>
      <c r="B63" s="8" t="s">
        <v>227</v>
      </c>
      <c r="C63" s="8" t="s">
        <v>15</v>
      </c>
      <c r="D63" s="8" t="s">
        <v>37</v>
      </c>
      <c r="E63" s="13" t="str">
        <f>IFERROR(VLOOKUP(A63,'DATA PER 111225'!$A$2:$C$120,3),"")</f>
        <v>PRODUKSI STOK LUUCA</v>
      </c>
    </row>
    <row r="64">
      <c r="A64" s="8" t="s">
        <v>228</v>
      </c>
      <c r="B64" s="8" t="s">
        <v>229</v>
      </c>
      <c r="C64" s="8" t="s">
        <v>15</v>
      </c>
      <c r="D64" s="8" t="s">
        <v>37</v>
      </c>
      <c r="E64" s="13" t="str">
        <f>IFERROR(VLOOKUP(A64,'DATA PER 111225'!$A$2:$C$120,3),"")</f>
        <v>PRODUKSI STOK LUUCA</v>
      </c>
    </row>
    <row r="65">
      <c r="A65" s="8" t="s">
        <v>230</v>
      </c>
      <c r="B65" s="8" t="s">
        <v>231</v>
      </c>
      <c r="C65" s="8" t="s">
        <v>15</v>
      </c>
      <c r="D65" s="8" t="s">
        <v>37</v>
      </c>
      <c r="E65" s="13" t="str">
        <f>IFERROR(VLOOKUP(A65,'DATA PER 111225'!$A$2:$C$120,3),"")</f>
        <v>PRODUKSI STOK LUUCA</v>
      </c>
    </row>
    <row r="66">
      <c r="A66" s="8" t="s">
        <v>232</v>
      </c>
      <c r="B66" s="8" t="s">
        <v>233</v>
      </c>
      <c r="C66" s="8" t="s">
        <v>15</v>
      </c>
      <c r="D66" s="8" t="s">
        <v>37</v>
      </c>
      <c r="E66" s="13" t="str">
        <f>IFERROR(VLOOKUP(A66,'DATA PER 111225'!$A$2:$C$120,3),"")</f>
        <v>PRODUKSI STOK LUUCA</v>
      </c>
    </row>
    <row r="67">
      <c r="A67" s="8" t="s">
        <v>234</v>
      </c>
      <c r="B67" s="8" t="s">
        <v>235</v>
      </c>
      <c r="C67" s="8" t="s">
        <v>15</v>
      </c>
      <c r="D67" s="8" t="s">
        <v>37</v>
      </c>
      <c r="E67" s="13" t="str">
        <f>IFERROR(VLOOKUP(A67,'DATA PER 111225'!$A$2:$C$120,3),"")</f>
        <v>PRODUKSI STOK LUUCA</v>
      </c>
    </row>
    <row r="68">
      <c r="A68" s="8" t="s">
        <v>236</v>
      </c>
      <c r="B68" s="8" t="s">
        <v>237</v>
      </c>
      <c r="C68" s="8" t="s">
        <v>15</v>
      </c>
      <c r="D68" s="8" t="s">
        <v>37</v>
      </c>
      <c r="E68" s="13" t="str">
        <f>IFERROR(VLOOKUP(A68,'DATA PER 111225'!$A$2:$C$120,3),"")</f>
        <v>PRODUKSI STOK LUUCA</v>
      </c>
    </row>
    <row r="69">
      <c r="A69" s="8" t="s">
        <v>238</v>
      </c>
      <c r="B69" s="8" t="s">
        <v>239</v>
      </c>
      <c r="C69" s="8" t="s">
        <v>15</v>
      </c>
      <c r="D69" s="8" t="s">
        <v>37</v>
      </c>
      <c r="E69" s="13" t="str">
        <f>IFERROR(VLOOKUP(A69,'DATA PER 111225'!$A$2:$C$120,3),"")</f>
        <v>PRODUKSI STOK LUUCA</v>
      </c>
    </row>
    <row r="70">
      <c r="A70" s="8" t="s">
        <v>240</v>
      </c>
      <c r="B70" s="8" t="s">
        <v>241</v>
      </c>
      <c r="C70" s="8" t="s">
        <v>15</v>
      </c>
      <c r="D70" s="8" t="s">
        <v>17</v>
      </c>
      <c r="E70" s="13" t="str">
        <f>IFERROR(VLOOKUP(A70,'DATA PER 111225'!$A$2:$C$120,3),"")</f>
        <v>PRODUKSI STOK LUUCA</v>
      </c>
    </row>
    <row r="71">
      <c r="A71" s="8" t="s">
        <v>242</v>
      </c>
      <c r="B71" s="8" t="s">
        <v>243</v>
      </c>
      <c r="C71" s="8" t="s">
        <v>15</v>
      </c>
      <c r="D71" s="8" t="s">
        <v>37</v>
      </c>
      <c r="E71" s="13" t="str">
        <f>IFERROR(VLOOKUP(A71,'DATA PER 111225'!$A$2:$C$120,3),"")</f>
        <v>PRODUKSI STOK LUUCA</v>
      </c>
    </row>
    <row r="72">
      <c r="A72" s="8" t="s">
        <v>244</v>
      </c>
      <c r="B72" s="8" t="s">
        <v>245</v>
      </c>
      <c r="C72" s="8" t="s">
        <v>15</v>
      </c>
      <c r="D72" s="8" t="s">
        <v>17</v>
      </c>
      <c r="E72" s="13" t="str">
        <f>IFERROR(VLOOKUP(A72,'DATA PER 111225'!$A$2:$C$120,3),"")</f>
        <v>PRODUKSI STOK LUUCA</v>
      </c>
    </row>
    <row r="73">
      <c r="A73" s="8" t="s">
        <v>246</v>
      </c>
      <c r="B73" s="8" t="s">
        <v>247</v>
      </c>
      <c r="C73" s="8" t="s">
        <v>15</v>
      </c>
      <c r="D73" s="8" t="s">
        <v>17</v>
      </c>
      <c r="E73" s="13" t="str">
        <f>IFERROR(VLOOKUP(A73,'DATA PER 111225'!$A$2:$C$120,3),"")</f>
        <v>BAHAN BAKU LUUCA</v>
      </c>
    </row>
    <row r="74">
      <c r="A74" s="8" t="s">
        <v>248</v>
      </c>
      <c r="B74" s="8" t="s">
        <v>249</v>
      </c>
      <c r="C74" s="8" t="s">
        <v>15</v>
      </c>
      <c r="D74" s="8" t="s">
        <v>26</v>
      </c>
      <c r="E74" s="13" t="str">
        <f>IFERROR(VLOOKUP(A74,'DATA PER 111225'!$A$2:$C$120,3),"")</f>
        <v>BAHAN BAKU LUUCA</v>
      </c>
    </row>
    <row r="75">
      <c r="A75" s="8" t="s">
        <v>250</v>
      </c>
      <c r="B75" s="8" t="s">
        <v>251</v>
      </c>
      <c r="C75" s="8" t="s">
        <v>15</v>
      </c>
      <c r="D75" s="8" t="s">
        <v>17</v>
      </c>
      <c r="E75" s="13" t="str">
        <f>IFERROR(VLOOKUP(A75,'DATA PER 111225'!$A$2:$C$120,3),"")</f>
        <v>PRODUKSI STOK LUUCA</v>
      </c>
    </row>
    <row r="76">
      <c r="A76" s="8" t="s">
        <v>252</v>
      </c>
      <c r="B76" s="8" t="s">
        <v>253</v>
      </c>
      <c r="C76" s="8" t="s">
        <v>15</v>
      </c>
      <c r="D76" s="8" t="s">
        <v>17</v>
      </c>
      <c r="E76" s="13" t="str">
        <f>IFERROR(VLOOKUP(A76,'DATA PER 111225'!$A$2:$C$120,3),"")</f>
        <v>PRODUKSI STOK LUUCA</v>
      </c>
    </row>
    <row r="77">
      <c r="A77" s="8" t="s">
        <v>254</v>
      </c>
      <c r="B77" s="8" t="s">
        <v>255</v>
      </c>
      <c r="C77" s="8" t="s">
        <v>15</v>
      </c>
      <c r="D77" s="8" t="s">
        <v>17</v>
      </c>
      <c r="E77" s="13" t="str">
        <f>IFERROR(VLOOKUP(A77,'DATA PER 111225'!$A$2:$C$120,3),"")</f>
        <v>PRODUKSI STOK LUUCA</v>
      </c>
    </row>
    <row r="78">
      <c r="A78" s="8" t="s">
        <v>256</v>
      </c>
      <c r="B78" s="8" t="s">
        <v>257</v>
      </c>
      <c r="C78" s="8" t="s">
        <v>15</v>
      </c>
      <c r="D78" s="8" t="s">
        <v>17</v>
      </c>
      <c r="E78" s="13" t="str">
        <f>IFERROR(VLOOKUP(A78,'DATA PER 111225'!$A$2:$C$120,3),"")</f>
        <v>BAHAN BAKU LUUCA</v>
      </c>
    </row>
    <row r="79">
      <c r="A79" s="8" t="s">
        <v>258</v>
      </c>
      <c r="B79" s="8" t="s">
        <v>259</v>
      </c>
      <c r="C79" s="8" t="s">
        <v>15</v>
      </c>
      <c r="D79" s="8" t="s">
        <v>26</v>
      </c>
      <c r="E79" s="13" t="str">
        <f>IFERROR(VLOOKUP(A79,'DATA PER 111225'!$A$2:$C$120,3),"")</f>
        <v>BAHAN BAKU LUUCA</v>
      </c>
    </row>
    <row r="80">
      <c r="A80" s="22"/>
      <c r="B80" s="22"/>
      <c r="C80" s="22"/>
      <c r="D80" s="22"/>
      <c r="E80" s="13" t="str">
        <f>IFERROR(VLOOKUP(A80,'DATA PER 111225'!$A$2:$C$120,3),"")</f>
        <v/>
      </c>
    </row>
    <row r="81">
      <c r="A81" s="8" t="s">
        <v>260</v>
      </c>
      <c r="B81" s="8" t="s">
        <v>114</v>
      </c>
      <c r="C81" s="8" t="s">
        <v>114</v>
      </c>
      <c r="D81" s="8" t="s">
        <v>37</v>
      </c>
      <c r="E81" s="13" t="str">
        <f>IFERROR(VLOOKUP(A81,'DATA PER 111225'!$A$2:$C$120,3),"")</f>
        <v>BAHAN BAKU LUUCA</v>
      </c>
    </row>
    <row r="82">
      <c r="A82" s="8" t="s">
        <v>113</v>
      </c>
      <c r="B82" s="8" t="s">
        <v>261</v>
      </c>
      <c r="C82" s="8" t="s">
        <v>114</v>
      </c>
      <c r="D82" s="8" t="s">
        <v>116</v>
      </c>
      <c r="E82" s="13" t="str">
        <f>IFERROR(VLOOKUP(A82,'DATA PER 111225'!$A$2:$C$120,3),"")</f>
        <v>PRODUKSI STOK LUUCA</v>
      </c>
    </row>
    <row r="83">
      <c r="A83" s="8" t="s">
        <v>117</v>
      </c>
      <c r="B83" s="8" t="s">
        <v>262</v>
      </c>
      <c r="C83" s="8" t="s">
        <v>114</v>
      </c>
      <c r="D83" s="8" t="s">
        <v>116</v>
      </c>
      <c r="E83" s="13" t="str">
        <f>IFERROR(VLOOKUP(A83,'DATA PER 111225'!$A$2:$C$120,3),"")</f>
        <v>PRODUKSI STOK LUUCA</v>
      </c>
    </row>
    <row r="84">
      <c r="A84" s="8" t="s">
        <v>118</v>
      </c>
      <c r="B84" s="8" t="s">
        <v>263</v>
      </c>
      <c r="C84" s="8" t="s">
        <v>114</v>
      </c>
      <c r="D84" s="8" t="s">
        <v>116</v>
      </c>
      <c r="E84" s="13" t="str">
        <f>IFERROR(VLOOKUP(A84,'DATA PER 111225'!$A$2:$C$120,3),"")</f>
        <v>PRODUKSI STOK LUUCA</v>
      </c>
    </row>
    <row r="85">
      <c r="A85" s="8" t="s">
        <v>264</v>
      </c>
      <c r="B85" s="8" t="s">
        <v>265</v>
      </c>
      <c r="C85" s="8" t="s">
        <v>114</v>
      </c>
      <c r="D85" s="8" t="s">
        <v>116</v>
      </c>
      <c r="E85" s="13" t="str">
        <f>IFERROR(VLOOKUP(A85,'DATA PER 111225'!$A$2:$C$120,3),"")</f>
        <v>BAHAN BAKU LUUCA</v>
      </c>
    </row>
    <row r="86">
      <c r="A86" s="8" t="s">
        <v>121</v>
      </c>
      <c r="B86" s="8" t="s">
        <v>266</v>
      </c>
      <c r="C86" s="8" t="s">
        <v>114</v>
      </c>
      <c r="D86" s="8" t="s">
        <v>116</v>
      </c>
      <c r="E86" s="13" t="str">
        <f>IFERROR(VLOOKUP(A86,'DATA PER 111225'!$A$2:$C$120,3),"")</f>
        <v>PRODUKSI STOK LUUCA</v>
      </c>
    </row>
    <row r="87">
      <c r="A87" s="8" t="s">
        <v>267</v>
      </c>
      <c r="B87" s="8" t="s">
        <v>268</v>
      </c>
      <c r="C87" s="8" t="s">
        <v>114</v>
      </c>
      <c r="D87" s="8" t="s">
        <v>116</v>
      </c>
      <c r="E87" s="13" t="str">
        <f>IFERROR(VLOOKUP(A87,'DATA PER 111225'!$A$2:$C$120,3),"")</f>
        <v>PRODUKSI STOK LUUCA</v>
      </c>
    </row>
    <row r="88">
      <c r="A88" s="8" t="s">
        <v>269</v>
      </c>
      <c r="B88" s="8" t="s">
        <v>270</v>
      </c>
      <c r="C88" s="8" t="s">
        <v>114</v>
      </c>
      <c r="D88" s="8" t="s">
        <v>116</v>
      </c>
      <c r="E88" s="13" t="str">
        <f>IFERROR(VLOOKUP(A88,'DATA PER 111225'!$A$2:$C$120,3),"")</f>
        <v>BAHAN BAKU LUUCA</v>
      </c>
    </row>
    <row r="89">
      <c r="A89" s="8" t="s">
        <v>271</v>
      </c>
      <c r="B89" s="8" t="s">
        <v>272</v>
      </c>
      <c r="C89" s="8" t="s">
        <v>114</v>
      </c>
      <c r="D89" s="8" t="s">
        <v>116</v>
      </c>
      <c r="E89" s="13" t="str">
        <f>IFERROR(VLOOKUP(A89,'DATA PER 111225'!$A$2:$C$120,3),"")</f>
        <v>BAHAN BAKU LUUCA</v>
      </c>
    </row>
    <row r="90">
      <c r="A90" s="8" t="s">
        <v>126</v>
      </c>
      <c r="B90" s="8" t="s">
        <v>273</v>
      </c>
      <c r="C90" s="8" t="s">
        <v>114</v>
      </c>
      <c r="D90" s="8" t="s">
        <v>116</v>
      </c>
      <c r="E90" s="13" t="str">
        <f>IFERROR(VLOOKUP(A90,'DATA PER 111225'!$A$2:$C$120,3),"")</f>
        <v>BAHAN BAKU LUUCA</v>
      </c>
    </row>
    <row r="91">
      <c r="A91" s="8" t="s">
        <v>274</v>
      </c>
      <c r="B91" s="8" t="s">
        <v>275</v>
      </c>
      <c r="C91" s="8" t="s">
        <v>114</v>
      </c>
      <c r="D91" s="8" t="s">
        <v>116</v>
      </c>
      <c r="E91" s="13" t="str">
        <f>IFERROR(VLOOKUP(A91,'DATA PER 111225'!$A$2:$C$120,3),"")</f>
        <v>PRODUKSI STOK LUUCA</v>
      </c>
    </row>
    <row r="92">
      <c r="A92" s="8" t="s">
        <v>276</v>
      </c>
      <c r="B92" s="8" t="s">
        <v>277</v>
      </c>
      <c r="C92" s="8" t="s">
        <v>114</v>
      </c>
      <c r="D92" s="8" t="s">
        <v>116</v>
      </c>
      <c r="E92" s="13" t="str">
        <f>IFERROR(VLOOKUP(A92,'DATA PER 111225'!$A$2:$C$120,3),"")</f>
        <v>BAHAN BAKU LUUCA</v>
      </c>
    </row>
    <row r="93">
      <c r="A93" s="8" t="s">
        <v>278</v>
      </c>
      <c r="B93" s="8" t="s">
        <v>279</v>
      </c>
      <c r="C93" s="8" t="s">
        <v>114</v>
      </c>
      <c r="D93" s="8" t="s">
        <v>116</v>
      </c>
      <c r="E93" s="13" t="str">
        <f>IFERROR(VLOOKUP(A93,'DATA PER 111225'!$A$2:$C$120,3),"")</f>
        <v>BAHAN BAKU LUUCA</v>
      </c>
    </row>
    <row r="94">
      <c r="A94" s="8" t="s">
        <v>280</v>
      </c>
      <c r="B94" s="8" t="s">
        <v>281</v>
      </c>
      <c r="C94" s="8" t="s">
        <v>114</v>
      </c>
      <c r="D94" s="8" t="s">
        <v>116</v>
      </c>
      <c r="E94" s="13" t="str">
        <f>IFERROR(VLOOKUP(A94,'DATA PER 111225'!$A$2:$C$120,3),"")</f>
        <v>BAHAN BAKU LUUCA</v>
      </c>
    </row>
    <row r="95">
      <c r="A95" s="8" t="s">
        <v>134</v>
      </c>
      <c r="B95" s="8" t="s">
        <v>282</v>
      </c>
      <c r="C95" s="8" t="s">
        <v>114</v>
      </c>
      <c r="D95" s="8" t="s">
        <v>116</v>
      </c>
      <c r="E95" s="13" t="str">
        <f>IFERROR(VLOOKUP(A95,'DATA PER 111225'!$A$2:$C$120,3),"")</f>
        <v>BAHAN BAKU LUUCA</v>
      </c>
    </row>
    <row r="96">
      <c r="A96" s="8" t="s">
        <v>135</v>
      </c>
      <c r="B96" s="8" t="s">
        <v>283</v>
      </c>
      <c r="C96" s="8" t="s">
        <v>114</v>
      </c>
      <c r="D96" s="8" t="s">
        <v>116</v>
      </c>
      <c r="E96" s="13" t="str">
        <f>IFERROR(VLOOKUP(A96,'DATA PER 111225'!$A$2:$C$120,3),"")</f>
        <v>BAHAN BAKU LUUCA</v>
      </c>
    </row>
    <row r="97">
      <c r="A97" s="8" t="s">
        <v>136</v>
      </c>
      <c r="B97" s="8" t="s">
        <v>284</v>
      </c>
      <c r="C97" s="8" t="s">
        <v>114</v>
      </c>
      <c r="D97" s="8" t="s">
        <v>116</v>
      </c>
      <c r="E97" s="13" t="str">
        <f>IFERROR(VLOOKUP(A97,'DATA PER 111225'!$A$2:$C$120,3),"")</f>
        <v>BAHAN BAKU LUUCA</v>
      </c>
    </row>
    <row r="98">
      <c r="A98" s="8" t="s">
        <v>137</v>
      </c>
      <c r="B98" s="8" t="s">
        <v>285</v>
      </c>
      <c r="C98" s="8" t="s">
        <v>114</v>
      </c>
      <c r="D98" s="8" t="s">
        <v>116</v>
      </c>
      <c r="E98" s="20" t="s">
        <v>16</v>
      </c>
    </row>
    <row r="99">
      <c r="A99" s="8" t="s">
        <v>140</v>
      </c>
      <c r="B99" s="8" t="s">
        <v>287</v>
      </c>
      <c r="C99" s="8" t="s">
        <v>114</v>
      </c>
      <c r="D99" s="8" t="s">
        <v>116</v>
      </c>
      <c r="E99" s="20" t="s">
        <v>16</v>
      </c>
    </row>
    <row r="100">
      <c r="A100" s="8" t="s">
        <v>141</v>
      </c>
      <c r="B100" s="8" t="s">
        <v>288</v>
      </c>
      <c r="C100" s="8" t="s">
        <v>114</v>
      </c>
      <c r="D100" s="8" t="s">
        <v>116</v>
      </c>
      <c r="E100" s="13" t="str">
        <f>IFERROR(VLOOKUP(A100,'DATA PER 111225'!$A$2:$C$120,3),"")</f>
        <v>BAHAN BAKU LUUCA</v>
      </c>
    </row>
    <row r="101">
      <c r="A101" s="8" t="s">
        <v>142</v>
      </c>
      <c r="B101" s="8" t="s">
        <v>289</v>
      </c>
      <c r="C101" s="8" t="s">
        <v>114</v>
      </c>
      <c r="D101" s="8" t="s">
        <v>116</v>
      </c>
      <c r="E101" s="13" t="str">
        <f>IFERROR(VLOOKUP(A101,'DATA PER 111225'!$A$2:$C$120,3),"")</f>
        <v>BAHAN BAKU LUUCA</v>
      </c>
    </row>
    <row r="102">
      <c r="A102" s="8" t="s">
        <v>143</v>
      </c>
      <c r="B102" s="8" t="s">
        <v>290</v>
      </c>
      <c r="C102" s="8" t="s">
        <v>114</v>
      </c>
      <c r="D102" s="8" t="s">
        <v>116</v>
      </c>
      <c r="E102" s="13" t="str">
        <f>IFERROR(VLOOKUP(A102,'DATA PER 111225'!$A$2:$C$120,3),"")</f>
        <v>BAHAN BAKU LUUCA</v>
      </c>
    </row>
    <row r="103">
      <c r="A103" s="8" t="s">
        <v>146</v>
      </c>
      <c r="B103" s="8" t="s">
        <v>291</v>
      </c>
      <c r="C103" s="8" t="s">
        <v>114</v>
      </c>
      <c r="D103" s="8" t="s">
        <v>116</v>
      </c>
      <c r="E103" s="13" t="str">
        <f>IFERROR(VLOOKUP(A103,'DATA PER 111225'!$A$2:$C$120,3),"")</f>
        <v>BAHAN BAKU LUUCA</v>
      </c>
    </row>
    <row r="104">
      <c r="A104" s="8" t="s">
        <v>147</v>
      </c>
      <c r="B104" s="8" t="s">
        <v>292</v>
      </c>
      <c r="C104" s="8" t="s">
        <v>114</v>
      </c>
      <c r="D104" s="8" t="s">
        <v>116</v>
      </c>
      <c r="E104" s="13" t="str">
        <f>IFERROR(VLOOKUP(A104,'DATA PER 111225'!$A$2:$C$120,3),"")</f>
        <v>BAHAN BAKU LUUCA</v>
      </c>
    </row>
    <row r="105">
      <c r="A105" s="8" t="s">
        <v>148</v>
      </c>
      <c r="B105" s="8" t="s">
        <v>295</v>
      </c>
      <c r="C105" s="8" t="s">
        <v>114</v>
      </c>
      <c r="D105" s="8" t="s">
        <v>116</v>
      </c>
      <c r="E105" s="13" t="str">
        <f>IFERROR(VLOOKUP(A105,'DATA PER 111225'!$A$2:$C$120,3),"")</f>
        <v>BAHAN BAKU LUUCA</v>
      </c>
    </row>
    <row r="106">
      <c r="A106" s="8" t="s">
        <v>149</v>
      </c>
      <c r="B106" s="8" t="s">
        <v>297</v>
      </c>
      <c r="C106" s="8" t="s">
        <v>114</v>
      </c>
      <c r="D106" s="8" t="s">
        <v>116</v>
      </c>
      <c r="E106" s="13" t="str">
        <f>IFERROR(VLOOKUP(A106,'DATA PER 111225'!$A$2:$C$120,3),"")</f>
        <v>PRODUKSI STOK LUUCA</v>
      </c>
    </row>
    <row r="107">
      <c r="A107" s="8" t="s">
        <v>298</v>
      </c>
      <c r="B107" s="8" t="s">
        <v>299</v>
      </c>
      <c r="C107" s="8" t="s">
        <v>114</v>
      </c>
      <c r="D107" s="8" t="s">
        <v>116</v>
      </c>
      <c r="E107" s="13" t="str">
        <f>IFERROR(VLOOKUP(A107,'DATA PER 111225'!$A$2:$C$120,3),"")</f>
        <v>BAHAN BAKU LUUCA</v>
      </c>
    </row>
    <row r="108">
      <c r="A108" s="8" t="s">
        <v>300</v>
      </c>
      <c r="B108" s="8" t="s">
        <v>301</v>
      </c>
      <c r="C108" s="8" t="s">
        <v>114</v>
      </c>
      <c r="D108" s="8" t="s">
        <v>116</v>
      </c>
      <c r="E108" s="13" t="str">
        <f>IFERROR(VLOOKUP(A108,'DATA PER 111225'!$A$2:$C$120,3),"")</f>
        <v>BAHAN BAKU LUUCA</v>
      </c>
    </row>
    <row r="109">
      <c r="A109" s="8" t="s">
        <v>303</v>
      </c>
      <c r="B109" s="8" t="s">
        <v>304</v>
      </c>
      <c r="C109" s="8" t="s">
        <v>114</v>
      </c>
      <c r="D109" s="8" t="s">
        <v>116</v>
      </c>
      <c r="E109" s="13" t="str">
        <f>IFERROR(VLOOKUP(A109,'DATA PER 111225'!$A$2:$C$120,3),"")</f>
        <v>BAHAN BAKU LUUCA</v>
      </c>
    </row>
    <row r="110">
      <c r="A110" s="8" t="s">
        <v>305</v>
      </c>
      <c r="B110" s="8" t="s">
        <v>306</v>
      </c>
      <c r="C110" s="8" t="s">
        <v>114</v>
      </c>
      <c r="D110" s="8" t="s">
        <v>116</v>
      </c>
      <c r="E110" s="13" t="str">
        <f>IFERROR(VLOOKUP(A110,'DATA PER 111225'!$A$2:$C$120,3),"")</f>
        <v>BAHAN BAKU LUUCA</v>
      </c>
    </row>
    <row r="111">
      <c r="A111" s="8" t="s">
        <v>307</v>
      </c>
      <c r="B111" s="8" t="s">
        <v>308</v>
      </c>
      <c r="C111" s="8" t="s">
        <v>114</v>
      </c>
      <c r="D111" s="8" t="s">
        <v>116</v>
      </c>
      <c r="E111" s="13" t="str">
        <f>IFERROR(VLOOKUP(A111,'DATA PER 111225'!$A$2:$C$120,3),"")</f>
        <v>BAHAN BAKU LUUCA</v>
      </c>
    </row>
    <row r="112">
      <c r="A112" s="8" t="s">
        <v>310</v>
      </c>
      <c r="B112" s="8" t="s">
        <v>311</v>
      </c>
      <c r="C112" s="8" t="s">
        <v>114</v>
      </c>
      <c r="D112" s="8" t="s">
        <v>116</v>
      </c>
      <c r="E112" s="13" t="str">
        <f>IFERROR(VLOOKUP(A112,'DATA PER 111225'!$A$2:$C$120,3),"")</f>
        <v>BAHAN BAKU LUUCA</v>
      </c>
    </row>
    <row r="113">
      <c r="A113" s="8" t="s">
        <v>160</v>
      </c>
      <c r="B113" s="8" t="s">
        <v>312</v>
      </c>
      <c r="C113" s="8" t="s">
        <v>114</v>
      </c>
      <c r="D113" s="8" t="s">
        <v>116</v>
      </c>
      <c r="E113" s="13" t="str">
        <f>IFERROR(VLOOKUP(A113,'DATA PER 111225'!$A$2:$C$120,3),"")</f>
        <v>BAHAN BAKU LUUCA</v>
      </c>
    </row>
    <row r="114">
      <c r="A114" s="8" t="s">
        <v>313</v>
      </c>
      <c r="B114" s="8" t="s">
        <v>314</v>
      </c>
      <c r="C114" s="8" t="s">
        <v>114</v>
      </c>
      <c r="D114" s="8" t="s">
        <v>116</v>
      </c>
      <c r="E114" s="13" t="str">
        <f>IFERROR(VLOOKUP(A114,'DATA PER 111225'!$A$2:$C$120,3),"")</f>
        <v>BAHAN BAKU LUUCA</v>
      </c>
    </row>
    <row r="115">
      <c r="A115" s="8" t="s">
        <v>316</v>
      </c>
      <c r="B115" s="8" t="s">
        <v>317</v>
      </c>
      <c r="C115" s="8" t="s">
        <v>114</v>
      </c>
      <c r="D115" s="8" t="s">
        <v>116</v>
      </c>
      <c r="E115" s="13" t="str">
        <f>IFERROR(VLOOKUP(A115,'DATA PER 111225'!$A$2:$C$120,3),"")</f>
        <v>BAHAN BAKU LUUCA</v>
      </c>
    </row>
    <row r="116">
      <c r="A116" s="8" t="s">
        <v>320</v>
      </c>
      <c r="B116" s="8" t="s">
        <v>321</v>
      </c>
      <c r="C116" s="8" t="s">
        <v>114</v>
      </c>
      <c r="D116" s="8" t="s">
        <v>116</v>
      </c>
      <c r="E116" s="13" t="str">
        <f>IFERROR(VLOOKUP(A116,'DATA PER 111225'!$A$2:$C$120,3),"")</f>
        <v>BAHAN BAKU LUUCA</v>
      </c>
    </row>
    <row r="117">
      <c r="A117" s="8" t="s">
        <v>322</v>
      </c>
      <c r="B117" s="8" t="s">
        <v>323</v>
      </c>
      <c r="C117" s="8" t="s">
        <v>114</v>
      </c>
      <c r="D117" s="8" t="s">
        <v>116</v>
      </c>
      <c r="E117" s="13" t="str">
        <f>IFERROR(VLOOKUP(A117,'DATA PER 111225'!$A$2:$C$120,3),"")</f>
        <v>BAHAN BAKU LUUCA</v>
      </c>
    </row>
    <row r="118">
      <c r="A118" s="8" t="s">
        <v>324</v>
      </c>
      <c r="B118" s="8" t="s">
        <v>325</v>
      </c>
      <c r="C118" s="8" t="s">
        <v>114</v>
      </c>
      <c r="D118" s="8" t="s">
        <v>116</v>
      </c>
      <c r="E118" s="13" t="str">
        <f>IFERROR(VLOOKUP(A118,'DATA PER 111225'!$A$2:$C$120,3),"")</f>
        <v>BAHAN BAKU LUUCA</v>
      </c>
    </row>
    <row r="119">
      <c r="A119" s="8" t="s">
        <v>328</v>
      </c>
      <c r="B119" s="8" t="s">
        <v>329</v>
      </c>
      <c r="C119" s="8" t="s">
        <v>114</v>
      </c>
      <c r="D119" s="8" t="s">
        <v>116</v>
      </c>
      <c r="E119" s="13" t="str">
        <f>IFERROR(VLOOKUP(A119,'DATA PER 111225'!$A$2:$C$120,3),"")</f>
        <v>BAHAN BAKU LUUCA</v>
      </c>
    </row>
    <row r="120">
      <c r="A120" s="8" t="s">
        <v>330</v>
      </c>
      <c r="B120" s="8" t="s">
        <v>331</v>
      </c>
      <c r="C120" s="8" t="s">
        <v>114</v>
      </c>
      <c r="D120" s="8" t="s">
        <v>116</v>
      </c>
      <c r="E120" s="13" t="str">
        <f>IFERROR(VLOOKUP(A120,'DATA PER 111225'!$A$2:$C$120,3),"")</f>
        <v>BAHAN BAKU LUUCA</v>
      </c>
    </row>
    <row r="121">
      <c r="A121" s="8" t="s">
        <v>334</v>
      </c>
      <c r="B121" s="8" t="s">
        <v>335</v>
      </c>
      <c r="C121" s="8" t="s">
        <v>114</v>
      </c>
      <c r="D121" s="8" t="s">
        <v>116</v>
      </c>
      <c r="E121" s="13" t="str">
        <f>IFERROR(VLOOKUP(A121,'DATA PER 111225'!$A$2:$C$120,3),"")</f>
        <v>BAHAN BAKU LUUCA</v>
      </c>
    </row>
    <row r="122">
      <c r="A122" s="8" t="s">
        <v>336</v>
      </c>
      <c r="B122" s="8" t="s">
        <v>337</v>
      </c>
      <c r="C122" s="8" t="s">
        <v>114</v>
      </c>
      <c r="D122" s="8" t="s">
        <v>116</v>
      </c>
      <c r="E122" s="13" t="str">
        <f>IFERROR(VLOOKUP(A122,'DATA PER 111225'!$A$2:$C$120,3),"")</f>
        <v>BAHAN BAKU LUUCA</v>
      </c>
    </row>
    <row r="123">
      <c r="A123" s="8" t="s">
        <v>340</v>
      </c>
      <c r="B123" s="8" t="s">
        <v>341</v>
      </c>
      <c r="C123" s="8" t="s">
        <v>114</v>
      </c>
      <c r="D123" s="8" t="s">
        <v>37</v>
      </c>
      <c r="E123" s="20" t="s">
        <v>16</v>
      </c>
    </row>
    <row r="124">
      <c r="A124" s="8" t="s">
        <v>342</v>
      </c>
      <c r="B124" s="8" t="s">
        <v>343</v>
      </c>
      <c r="C124" s="8" t="s">
        <v>114</v>
      </c>
      <c r="D124" s="8" t="s">
        <v>116</v>
      </c>
      <c r="E124" s="13" t="str">
        <f>IFERROR(VLOOKUP(A124,'DATA PER 111225'!$A$2:$C$120,3),"")</f>
        <v>BAHAN BAKU LUUCA</v>
      </c>
    </row>
    <row r="125">
      <c r="A125" s="8" t="s">
        <v>344</v>
      </c>
      <c r="B125" s="8" t="s">
        <v>345</v>
      </c>
      <c r="C125" s="8" t="s">
        <v>114</v>
      </c>
      <c r="D125" s="8" t="s">
        <v>116</v>
      </c>
      <c r="E125" s="13" t="str">
        <f>IFERROR(VLOOKUP(A125,'DATA PER 111225'!$A$2:$C$120,3),"")</f>
        <v>BAHAN BAKU LUUCA</v>
      </c>
    </row>
    <row r="126">
      <c r="A126" s="8" t="s">
        <v>347</v>
      </c>
      <c r="B126" s="8" t="s">
        <v>348</v>
      </c>
      <c r="C126" s="8" t="s">
        <v>114</v>
      </c>
      <c r="D126" s="8" t="s">
        <v>116</v>
      </c>
      <c r="E126" s="13" t="str">
        <f>IFERROR(VLOOKUP(A126,'DATA PER 111225'!$A$2:$C$120,3),"")</f>
        <v>BAHAN BAKU LUUCA</v>
      </c>
    </row>
    <row r="127">
      <c r="A127" s="8" t="s">
        <v>349</v>
      </c>
      <c r="B127" s="8" t="s">
        <v>350</v>
      </c>
      <c r="C127" s="8" t="s">
        <v>114</v>
      </c>
      <c r="D127" s="8" t="s">
        <v>37</v>
      </c>
      <c r="E127" s="13" t="str">
        <f>IFERROR(VLOOKUP(A127,'DATA PER 111225'!$A$2:$C$120,3),"")</f>
        <v>PRODUKSI STOK LUUCA</v>
      </c>
    </row>
    <row r="128">
      <c r="A128" s="8" t="s">
        <v>352</v>
      </c>
      <c r="B128" s="8" t="s">
        <v>353</v>
      </c>
      <c r="C128" s="8" t="s">
        <v>114</v>
      </c>
      <c r="D128" s="8" t="s">
        <v>37</v>
      </c>
      <c r="E128" s="13" t="str">
        <f>IFERROR(VLOOKUP(A128,'DATA PER 111225'!$A$2:$C$120,3),"")</f>
        <v>PRODUKSI STOK LUUCA</v>
      </c>
    </row>
    <row r="129">
      <c r="A129" s="8" t="s">
        <v>354</v>
      </c>
      <c r="B129" s="8" t="s">
        <v>355</v>
      </c>
      <c r="C129" s="8" t="s">
        <v>114</v>
      </c>
      <c r="D129" s="8" t="s">
        <v>37</v>
      </c>
      <c r="E129" s="13" t="str">
        <f>IFERROR(VLOOKUP(A129,'DATA PER 111225'!$A$2:$C$120,3),"")</f>
        <v>PRODUKSI STOK LUUCA</v>
      </c>
    </row>
    <row r="130">
      <c r="A130" s="8" t="s">
        <v>357</v>
      </c>
      <c r="B130" s="8" t="s">
        <v>358</v>
      </c>
      <c r="C130" s="8" t="s">
        <v>114</v>
      </c>
      <c r="D130" s="8" t="s">
        <v>37</v>
      </c>
      <c r="E130" s="13" t="str">
        <f>IFERROR(VLOOKUP(A130,'DATA PER 111225'!$A$2:$C$120,3),"")</f>
        <v>PRODUKSI STOK LUUCA</v>
      </c>
    </row>
    <row r="131">
      <c r="A131" s="8" t="s">
        <v>359</v>
      </c>
      <c r="B131" s="8" t="s">
        <v>360</v>
      </c>
      <c r="C131" s="8" t="s">
        <v>114</v>
      </c>
      <c r="D131" s="8" t="s">
        <v>37</v>
      </c>
      <c r="E131" s="13" t="str">
        <f>IFERROR(VLOOKUP(A131,'DATA PER 111225'!$A$2:$C$120,3),"")</f>
        <v>PRODUKSI STOK LUUCA</v>
      </c>
    </row>
    <row r="132">
      <c r="A132" s="8" t="s">
        <v>361</v>
      </c>
      <c r="B132" s="8" t="s">
        <v>362</v>
      </c>
      <c r="C132" s="8" t="s">
        <v>114</v>
      </c>
      <c r="D132" s="8" t="s">
        <v>37</v>
      </c>
      <c r="E132" s="13" t="str">
        <f>IFERROR(VLOOKUP(A132,'DATA PER 111225'!$A$2:$C$120,3),"")</f>
        <v>PRODUKSI STOK LUUCA</v>
      </c>
    </row>
    <row r="133">
      <c r="A133" s="8" t="s">
        <v>363</v>
      </c>
      <c r="B133" s="8" t="s">
        <v>364</v>
      </c>
      <c r="C133" s="8" t="s">
        <v>114</v>
      </c>
      <c r="D133" s="8" t="s">
        <v>37</v>
      </c>
      <c r="E133" s="13" t="str">
        <f>IFERROR(VLOOKUP(A133,'DATA PER 111225'!$A$2:$C$120,3),"")</f>
        <v>PRODUKSI STOK LUUCA</v>
      </c>
    </row>
    <row r="134">
      <c r="A134" s="8" t="s">
        <v>366</v>
      </c>
      <c r="B134" s="8" t="s">
        <v>367</v>
      </c>
      <c r="C134" s="8" t="s">
        <v>114</v>
      </c>
      <c r="D134" s="8" t="s">
        <v>116</v>
      </c>
      <c r="E134" s="13" t="str">
        <f>IFERROR(VLOOKUP(A134,'DATA PER 111225'!$A$2:$C$120,3),"")</f>
        <v>BAHAN BAKU LUUCA</v>
      </c>
    </row>
    <row r="135">
      <c r="A135" s="8" t="s">
        <v>368</v>
      </c>
      <c r="B135" s="8" t="s">
        <v>369</v>
      </c>
      <c r="C135" s="8" t="s">
        <v>114</v>
      </c>
      <c r="D135" s="8" t="s">
        <v>116</v>
      </c>
      <c r="E135" s="13" t="str">
        <f>IFERROR(VLOOKUP(A135,'DATA PER 111225'!$A$2:$C$120,3),"")</f>
        <v>BAHAN BAKU LUUCA</v>
      </c>
    </row>
    <row r="136">
      <c r="A136" s="8" t="s">
        <v>371</v>
      </c>
      <c r="B136" s="8" t="s">
        <v>373</v>
      </c>
      <c r="C136" s="8" t="s">
        <v>114</v>
      </c>
      <c r="D136" s="8" t="s">
        <v>116</v>
      </c>
      <c r="E136" s="13" t="str">
        <f>IFERROR(VLOOKUP(A136,'DATA PER 111225'!$A$2:$C$120,3),"")</f>
        <v>BAHAN BAKU LUUCA</v>
      </c>
    </row>
    <row r="137">
      <c r="A137" s="8" t="s">
        <v>374</v>
      </c>
      <c r="B137" s="8" t="s">
        <v>375</v>
      </c>
      <c r="C137" s="8" t="s">
        <v>114</v>
      </c>
      <c r="D137" s="8" t="s">
        <v>116</v>
      </c>
      <c r="E137" s="13" t="str">
        <f>IFERROR(VLOOKUP(A137,'DATA PER 111225'!$A$2:$C$120,3),"")</f>
        <v>BAHAN BAKU LUUCA</v>
      </c>
    </row>
    <row r="138">
      <c r="A138" s="8" t="s">
        <v>376</v>
      </c>
      <c r="B138" s="8" t="s">
        <v>377</v>
      </c>
      <c r="C138" s="8" t="s">
        <v>114</v>
      </c>
      <c r="D138" s="8" t="s">
        <v>37</v>
      </c>
      <c r="E138" s="13" t="str">
        <f>IFERROR(VLOOKUP(A138,'DATA PER 111225'!$A$2:$C$120,3),"")</f>
        <v>BAHAN BAKU LUUCA</v>
      </c>
    </row>
    <row r="139">
      <c r="A139" s="8" t="s">
        <v>380</v>
      </c>
      <c r="B139" s="8" t="s">
        <v>381</v>
      </c>
      <c r="C139" s="8" t="s">
        <v>114</v>
      </c>
      <c r="D139" s="8" t="s">
        <v>116</v>
      </c>
      <c r="E139" s="13" t="str">
        <f>IFERROR(VLOOKUP(A139,'DATA PER 111225'!$A$2:$C$120,3),"")</f>
        <v>PRODUKSI STOK LUUCA</v>
      </c>
    </row>
    <row r="140">
      <c r="A140" s="8" t="s">
        <v>382</v>
      </c>
      <c r="B140" s="8" t="s">
        <v>383</v>
      </c>
      <c r="C140" s="8" t="s">
        <v>114</v>
      </c>
      <c r="D140" s="8" t="s">
        <v>116</v>
      </c>
      <c r="E140" s="13" t="str">
        <f>IFERROR(VLOOKUP(A140,'DATA PER 111225'!$A$2:$C$120,3),"")</f>
        <v>PRODUKSI STOK LUUCA</v>
      </c>
    </row>
    <row r="141">
      <c r="A141" s="8" t="s">
        <v>384</v>
      </c>
      <c r="B141" s="8" t="s">
        <v>385</v>
      </c>
      <c r="C141" s="8" t="s">
        <v>114</v>
      </c>
      <c r="D141" s="8" t="s">
        <v>116</v>
      </c>
      <c r="E141" s="13" t="str">
        <f>IFERROR(VLOOKUP(A141,'DATA PER 111225'!$A$2:$C$120,3),"")</f>
        <v>PRODUKSI STOK LUUCA</v>
      </c>
    </row>
    <row r="142">
      <c r="A142" s="8" t="s">
        <v>386</v>
      </c>
      <c r="B142" s="8" t="s">
        <v>387</v>
      </c>
      <c r="C142" s="8" t="s">
        <v>114</v>
      </c>
      <c r="D142" s="8" t="s">
        <v>116</v>
      </c>
      <c r="E142" s="13" t="str">
        <f>IFERROR(VLOOKUP(A142,'DATA PER 111225'!$A$2:$C$120,3),"")</f>
        <v>PRODUKSI STOK LUUCA</v>
      </c>
    </row>
    <row r="143">
      <c r="A143" s="8" t="s">
        <v>388</v>
      </c>
      <c r="B143" s="8" t="s">
        <v>389</v>
      </c>
      <c r="C143" s="8" t="s">
        <v>114</v>
      </c>
      <c r="D143" s="8" t="s">
        <v>116</v>
      </c>
      <c r="E143" s="20" t="s">
        <v>16</v>
      </c>
    </row>
    <row r="144">
      <c r="A144" s="8" t="s">
        <v>390</v>
      </c>
      <c r="B144" s="8" t="s">
        <v>391</v>
      </c>
      <c r="C144" s="8" t="s">
        <v>114</v>
      </c>
      <c r="D144" s="8" t="s">
        <v>116</v>
      </c>
      <c r="E144" s="13" t="str">
        <f>IFERROR(VLOOKUP(A144,'DATA PER 111225'!$A$2:$C$120,3),"")</f>
        <v>BAHAN BAKU LUUCA</v>
      </c>
    </row>
    <row r="145">
      <c r="A145" s="8" t="s">
        <v>393</v>
      </c>
      <c r="B145" s="8" t="s">
        <v>394</v>
      </c>
      <c r="C145" s="8" t="s">
        <v>114</v>
      </c>
      <c r="D145" s="8" t="s">
        <v>116</v>
      </c>
      <c r="E145" s="13" t="str">
        <f>IFERROR(VLOOKUP(A145,'DATA PER 111225'!$A$2:$C$120,3),"")</f>
        <v>BAHAN BAKU LUUCA</v>
      </c>
    </row>
    <row r="146">
      <c r="A146" s="8" t="s">
        <v>395</v>
      </c>
      <c r="B146" s="8" t="s">
        <v>396</v>
      </c>
      <c r="C146" s="8" t="s">
        <v>114</v>
      </c>
      <c r="D146" s="8" t="s">
        <v>116</v>
      </c>
      <c r="E146" s="13" t="str">
        <f>IFERROR(VLOOKUP(A146,'DATA PER 111225'!$A$2:$C$120,3),"")</f>
        <v>BAHAN BAKU LUUCA</v>
      </c>
    </row>
    <row r="147">
      <c r="A147" s="8" t="s">
        <v>397</v>
      </c>
      <c r="B147" s="8" t="s">
        <v>398</v>
      </c>
      <c r="C147" s="8" t="s">
        <v>114</v>
      </c>
      <c r="D147" s="8" t="s">
        <v>116</v>
      </c>
      <c r="E147" s="13" t="str">
        <f>IFERROR(VLOOKUP(A147,'DATA PER 111225'!$A$2:$C$120,3),"")</f>
        <v>BAHAN BAKU LUUCA</v>
      </c>
    </row>
    <row r="148">
      <c r="A148" s="8" t="s">
        <v>400</v>
      </c>
      <c r="B148" s="8" t="s">
        <v>401</v>
      </c>
      <c r="C148" s="8" t="s">
        <v>114</v>
      </c>
      <c r="D148" s="8" t="s">
        <v>116</v>
      </c>
      <c r="E148" s="13" t="str">
        <f>IFERROR(VLOOKUP(A148,'DATA PER 111225'!$A$2:$C$120,3),"")</f>
        <v>PRODUKSI STOK LUUCA</v>
      </c>
    </row>
    <row r="149">
      <c r="A149" s="8" t="s">
        <v>402</v>
      </c>
      <c r="B149" s="8" t="s">
        <v>403</v>
      </c>
      <c r="C149" s="8" t="s">
        <v>114</v>
      </c>
      <c r="D149" s="8" t="s">
        <v>116</v>
      </c>
      <c r="E149" s="13" t="str">
        <f>IFERROR(VLOOKUP(A149,'DATA PER 111225'!$A$2:$C$120,3),"")</f>
        <v>PRODUKSI STOK LUUCA</v>
      </c>
    </row>
    <row r="150">
      <c r="A150" s="8" t="s">
        <v>405</v>
      </c>
      <c r="B150" s="8" t="s">
        <v>406</v>
      </c>
      <c r="C150" s="8" t="s">
        <v>114</v>
      </c>
      <c r="D150" s="8" t="s">
        <v>116</v>
      </c>
      <c r="E150" s="13" t="str">
        <f>IFERROR(VLOOKUP(A150,'DATA PER 111225'!$A$2:$C$120,3),"")</f>
        <v>BAHAN BAKU LUUCA</v>
      </c>
    </row>
    <row r="151">
      <c r="A151" s="8" t="s">
        <v>407</v>
      </c>
      <c r="B151" s="8" t="s">
        <v>408</v>
      </c>
      <c r="C151" s="8" t="s">
        <v>114</v>
      </c>
      <c r="D151" s="8" t="s">
        <v>116</v>
      </c>
      <c r="E151" s="13" t="str">
        <f>IFERROR(VLOOKUP(A151,'DATA PER 111225'!$A$2:$C$120,3),"")</f>
        <v>BAHAN BAKU LUUCA</v>
      </c>
    </row>
    <row r="152">
      <c r="A152" s="8" t="s">
        <v>409</v>
      </c>
      <c r="B152" s="8" t="s">
        <v>410</v>
      </c>
      <c r="C152" s="8" t="s">
        <v>114</v>
      </c>
      <c r="D152" s="8" t="s">
        <v>116</v>
      </c>
      <c r="E152" s="13" t="str">
        <f>IFERROR(VLOOKUP(A152,'DATA PER 111225'!$A$2:$C$120,3),"")</f>
        <v>BAHAN BAKU LUUCA</v>
      </c>
    </row>
    <row r="153">
      <c r="A153" s="8" t="s">
        <v>411</v>
      </c>
      <c r="B153" s="8" t="s">
        <v>412</v>
      </c>
      <c r="C153" s="8" t="s">
        <v>114</v>
      </c>
      <c r="D153" s="8" t="s">
        <v>116</v>
      </c>
      <c r="E153" s="13" t="str">
        <f>IFERROR(VLOOKUP(A153,'DATA PER 111225'!$A$2:$C$120,3),"")</f>
        <v>BAHAN BAKU LUUCA</v>
      </c>
    </row>
    <row r="154">
      <c r="A154" s="8" t="s">
        <v>413</v>
      </c>
      <c r="B154" s="8" t="s">
        <v>414</v>
      </c>
      <c r="C154" s="8" t="s">
        <v>114</v>
      </c>
      <c r="D154" s="8" t="s">
        <v>116</v>
      </c>
      <c r="E154" s="13" t="str">
        <f>IFERROR(VLOOKUP(A154,'DATA PER 111225'!$A$2:$C$120,3),"")</f>
        <v>PRODUKSI STOK LUUCA</v>
      </c>
    </row>
    <row r="155">
      <c r="A155" s="8" t="s">
        <v>415</v>
      </c>
      <c r="B155" s="8" t="s">
        <v>416</v>
      </c>
      <c r="C155" s="8" t="s">
        <v>114</v>
      </c>
      <c r="D155" s="8" t="s">
        <v>116</v>
      </c>
      <c r="E155" s="13" t="str">
        <f>IFERROR(VLOOKUP(A155,'DATA PER 111225'!$A$2:$C$120,3),"")</f>
        <v>BAHAN BAKU LUUCA</v>
      </c>
    </row>
    <row r="156">
      <c r="A156" s="8" t="s">
        <v>417</v>
      </c>
      <c r="B156" s="8" t="s">
        <v>418</v>
      </c>
      <c r="C156" s="8" t="s">
        <v>114</v>
      </c>
      <c r="D156" s="8" t="s">
        <v>116</v>
      </c>
      <c r="E156" s="13" t="str">
        <f>IFERROR(VLOOKUP(A156,'DATA PER 111225'!$A$2:$C$120,3),"")</f>
        <v>BAHAN BAKU LUUCA</v>
      </c>
    </row>
    <row r="157">
      <c r="A157" s="8" t="s">
        <v>419</v>
      </c>
      <c r="B157" s="8" t="s">
        <v>420</v>
      </c>
      <c r="C157" s="8" t="s">
        <v>114</v>
      </c>
      <c r="D157" s="8" t="s">
        <v>116</v>
      </c>
      <c r="E157" s="13" t="str">
        <f>IFERROR(VLOOKUP(A157,'DATA PER 111225'!$A$2:$C$120,3),"")</f>
        <v>PRODUKSI STOK LUUCA</v>
      </c>
    </row>
    <row r="158">
      <c r="A158" s="8" t="s">
        <v>421</v>
      </c>
      <c r="B158" s="8" t="s">
        <v>422</v>
      </c>
      <c r="C158" s="8" t="s">
        <v>114</v>
      </c>
      <c r="D158" s="8" t="s">
        <v>116</v>
      </c>
      <c r="E158" s="13" t="str">
        <f>IFERROR(VLOOKUP(A158,'DATA PER 111225'!$A$2:$C$120,3),"")</f>
        <v>PRODUKSI STOK LUUCA</v>
      </c>
    </row>
    <row r="159">
      <c r="A159" s="8" t="s">
        <v>423</v>
      </c>
      <c r="B159" s="8" t="s">
        <v>424</v>
      </c>
      <c r="C159" s="8" t="s">
        <v>114</v>
      </c>
      <c r="D159" s="8" t="s">
        <v>116</v>
      </c>
      <c r="E159" s="13" t="str">
        <f>IFERROR(VLOOKUP(A159,'DATA PER 111225'!$A$2:$C$120,3),"")</f>
        <v>PRODUKSI STOK LUUCA</v>
      </c>
    </row>
    <row r="160">
      <c r="A160" s="8" t="s">
        <v>425</v>
      </c>
      <c r="B160" s="8" t="s">
        <v>426</v>
      </c>
      <c r="C160" s="8" t="s">
        <v>114</v>
      </c>
      <c r="D160" s="8" t="s">
        <v>116</v>
      </c>
      <c r="E160" s="13" t="str">
        <f>IFERROR(VLOOKUP(A160,'DATA PER 111225'!$A$2:$C$120,3),"")</f>
        <v>BAHAN BAKU LUUCA</v>
      </c>
    </row>
    <row r="161">
      <c r="A161" s="8" t="s">
        <v>427</v>
      </c>
      <c r="B161" s="8" t="s">
        <v>428</v>
      </c>
      <c r="C161" s="8" t="s">
        <v>114</v>
      </c>
      <c r="D161" s="8" t="s">
        <v>116</v>
      </c>
      <c r="E161" s="13" t="str">
        <f>IFERROR(VLOOKUP(A161,'DATA PER 111225'!$A$2:$C$120,3),"")</f>
        <v>BAHAN BAKU LUUCA</v>
      </c>
    </row>
    <row r="162">
      <c r="A162" s="8" t="s">
        <v>429</v>
      </c>
      <c r="B162" s="8" t="s">
        <v>430</v>
      </c>
      <c r="C162" s="8" t="s">
        <v>114</v>
      </c>
      <c r="D162" s="8" t="s">
        <v>116</v>
      </c>
      <c r="E162" s="13" t="str">
        <f>IFERROR(VLOOKUP(A162,'DATA PER 111225'!$A$2:$C$120,3),"")</f>
        <v/>
      </c>
    </row>
    <row r="163">
      <c r="A163" s="8" t="s">
        <v>431</v>
      </c>
      <c r="B163" s="8" t="s">
        <v>432</v>
      </c>
      <c r="C163" s="8" t="s">
        <v>114</v>
      </c>
      <c r="D163" s="8" t="s">
        <v>116</v>
      </c>
      <c r="E163" s="13" t="str">
        <f>IFERROR(VLOOKUP(A163,'DATA PER 111225'!$A$2:$C$120,3),"")</f>
        <v>BAHAN BAKU LUUCA</v>
      </c>
    </row>
    <row r="164">
      <c r="A164" s="8" t="s">
        <v>433</v>
      </c>
      <c r="B164" s="8" t="s">
        <v>434</v>
      </c>
      <c r="C164" s="8" t="s">
        <v>114</v>
      </c>
      <c r="D164" s="8" t="s">
        <v>116</v>
      </c>
      <c r="E164" s="13" t="str">
        <f>IFERROR(VLOOKUP(A164,'DATA PER 111225'!$A$2:$C$120,3),"")</f>
        <v>BAHAN BAKU LUUCA</v>
      </c>
    </row>
    <row r="165">
      <c r="A165" s="8" t="s">
        <v>435</v>
      </c>
      <c r="B165" s="8" t="s">
        <v>436</v>
      </c>
      <c r="C165" s="8" t="s">
        <v>114</v>
      </c>
      <c r="D165" s="8" t="s">
        <v>116</v>
      </c>
      <c r="E165" s="13" t="str">
        <f>IFERROR(VLOOKUP(A165,'DATA PER 111225'!$A$2:$C$120,3),"")</f>
        <v>BAHAN BAKU LUUCA</v>
      </c>
    </row>
    <row r="166">
      <c r="A166" s="8" t="s">
        <v>437</v>
      </c>
      <c r="B166" s="8" t="s">
        <v>438</v>
      </c>
      <c r="C166" s="8" t="s">
        <v>114</v>
      </c>
      <c r="D166" s="8" t="s">
        <v>116</v>
      </c>
      <c r="E166" s="13" t="str">
        <f>IFERROR(VLOOKUP(A166,'DATA PER 111225'!$A$2:$C$120,3),"")</f>
        <v>BAHAN BAKU LUUCA</v>
      </c>
    </row>
    <row r="167">
      <c r="A167" s="8" t="s">
        <v>439</v>
      </c>
      <c r="B167" s="8" t="s">
        <v>440</v>
      </c>
      <c r="C167" s="8" t="s">
        <v>114</v>
      </c>
      <c r="D167" s="8" t="s">
        <v>116</v>
      </c>
      <c r="E167" s="13" t="str">
        <f>IFERROR(VLOOKUP(A167,'DATA PER 111225'!$A$2:$C$120,3),"")</f>
        <v>BAHAN BAKU LUUCA</v>
      </c>
    </row>
    <row r="168">
      <c r="A168" s="8" t="s">
        <v>442</v>
      </c>
      <c r="B168" s="8" t="s">
        <v>443</v>
      </c>
      <c r="C168" s="8" t="s">
        <v>114</v>
      </c>
      <c r="D168" s="8" t="s">
        <v>116</v>
      </c>
      <c r="E168" s="13" t="str">
        <f>IFERROR(VLOOKUP(A168,'DATA PER 111225'!$A$2:$C$120,3),"")</f>
        <v>BAHAN BAKU LUUCA</v>
      </c>
    </row>
    <row r="169">
      <c r="A169" s="8" t="s">
        <v>444</v>
      </c>
      <c r="B169" s="8" t="s">
        <v>445</v>
      </c>
      <c r="C169" s="8" t="s">
        <v>114</v>
      </c>
      <c r="D169" s="8" t="s">
        <v>116</v>
      </c>
      <c r="E169" s="13" t="str">
        <f>IFERROR(VLOOKUP(A169,'DATA PER 111225'!$A$2:$C$120,3),"")</f>
        <v>PRODUKSI STOK LUUCA</v>
      </c>
    </row>
    <row r="170">
      <c r="A170" s="8" t="s">
        <v>446</v>
      </c>
      <c r="B170" s="8" t="s">
        <v>447</v>
      </c>
      <c r="C170" s="8" t="s">
        <v>114</v>
      </c>
      <c r="D170" s="8" t="s">
        <v>116</v>
      </c>
      <c r="E170" s="13" t="str">
        <f>IFERROR(VLOOKUP(A170,'DATA PER 111225'!$A$2:$C$120,3),"")</f>
        <v>PRODUKSI STOK LUUCA</v>
      </c>
    </row>
    <row r="171">
      <c r="A171" s="8" t="s">
        <v>448</v>
      </c>
      <c r="B171" s="8" t="s">
        <v>449</v>
      </c>
      <c r="C171" s="8" t="s">
        <v>114</v>
      </c>
      <c r="D171" s="8" t="s">
        <v>116</v>
      </c>
      <c r="E171" s="13" t="str">
        <f>IFERROR(VLOOKUP(A171,'DATA PER 111225'!$A$2:$C$120,3),"")</f>
        <v>PRODUKSI STOK LUUCA</v>
      </c>
    </row>
    <row r="172">
      <c r="A172" s="8" t="s">
        <v>450</v>
      </c>
      <c r="B172" s="8" t="s">
        <v>451</v>
      </c>
      <c r="C172" s="8" t="s">
        <v>114</v>
      </c>
      <c r="D172" s="8" t="s">
        <v>116</v>
      </c>
      <c r="E172" s="13" t="str">
        <f>IFERROR(VLOOKUP(A172,'DATA PER 111225'!$A$2:$C$120,3),"")</f>
        <v>BAHAN BAKU LUUCA</v>
      </c>
    </row>
    <row r="173">
      <c r="A173" s="8" t="s">
        <v>454</v>
      </c>
      <c r="B173" s="8" t="s">
        <v>455</v>
      </c>
      <c r="C173" s="8" t="s">
        <v>114</v>
      </c>
      <c r="D173" s="8" t="s">
        <v>116</v>
      </c>
      <c r="E173" s="13" t="str">
        <f>IFERROR(VLOOKUP(A173,'DATA PER 111225'!$A$2:$C$120,3),"")</f>
        <v>BAHAN BAKU LUUCA</v>
      </c>
    </row>
    <row r="174">
      <c r="A174" s="8" t="s">
        <v>456</v>
      </c>
      <c r="B174" s="8" t="s">
        <v>457</v>
      </c>
      <c r="C174" s="8" t="s">
        <v>114</v>
      </c>
      <c r="D174" s="8" t="s">
        <v>116</v>
      </c>
      <c r="E174" s="13" t="str">
        <f>IFERROR(VLOOKUP(A174,'DATA PER 111225'!$A$2:$C$120,3),"")</f>
        <v>BAHAN BAKU LUUCA</v>
      </c>
    </row>
    <row r="175">
      <c r="A175" s="8" t="s">
        <v>458</v>
      </c>
      <c r="B175" s="8" t="s">
        <v>459</v>
      </c>
      <c r="C175" s="8" t="s">
        <v>114</v>
      </c>
      <c r="D175" s="8" t="s">
        <v>116</v>
      </c>
      <c r="E175" s="13" t="str">
        <f>IFERROR(VLOOKUP(A175,'DATA PER 111225'!$A$2:$C$120,3),"")</f>
        <v>BAHAN BAKU LUUCA</v>
      </c>
    </row>
    <row r="176">
      <c r="A176" s="8" t="s">
        <v>460</v>
      </c>
      <c r="B176" s="8" t="s">
        <v>461</v>
      </c>
      <c r="C176" s="8" t="s">
        <v>114</v>
      </c>
      <c r="D176" s="8" t="s">
        <v>116</v>
      </c>
      <c r="E176" s="13" t="str">
        <f>IFERROR(VLOOKUP(A176,'DATA PER 111225'!$A$2:$C$120,3),"")</f>
        <v>BAHAN BAKU LUUCA</v>
      </c>
    </row>
    <row r="177">
      <c r="A177" s="8" t="s">
        <v>464</v>
      </c>
      <c r="B177" s="8" t="s">
        <v>465</v>
      </c>
      <c r="C177" s="8" t="s">
        <v>114</v>
      </c>
      <c r="D177" s="8" t="s">
        <v>116</v>
      </c>
      <c r="E177" s="13" t="str">
        <f>IFERROR(VLOOKUP(A177,'DATA PER 111225'!$A$2:$C$120,3),"")</f>
        <v>BAHAN BAKU LUUCA</v>
      </c>
    </row>
    <row r="178">
      <c r="A178" s="8" t="s">
        <v>466</v>
      </c>
      <c r="B178" s="8" t="s">
        <v>467</v>
      </c>
      <c r="C178" s="8" t="s">
        <v>114</v>
      </c>
      <c r="D178" s="8" t="s">
        <v>116</v>
      </c>
      <c r="E178" s="13" t="str">
        <f>IFERROR(VLOOKUP(A178,'DATA PER 111225'!$A$2:$C$120,3),"")</f>
        <v>PRODUKSI STOK LUUCA</v>
      </c>
    </row>
    <row r="179">
      <c r="A179" s="8" t="s">
        <v>469</v>
      </c>
      <c r="B179" s="8" t="s">
        <v>470</v>
      </c>
      <c r="C179" s="8" t="s">
        <v>114</v>
      </c>
      <c r="D179" s="8" t="s">
        <v>116</v>
      </c>
      <c r="E179" s="13" t="str">
        <f>IFERROR(VLOOKUP(A179,'DATA PER 111225'!$A$2:$C$120,3),"")</f>
        <v/>
      </c>
    </row>
    <row r="180">
      <c r="A180" s="8" t="s">
        <v>471</v>
      </c>
      <c r="B180" s="8" t="s">
        <v>472</v>
      </c>
      <c r="C180" s="8" t="s">
        <v>114</v>
      </c>
      <c r="D180" s="8" t="s">
        <v>116</v>
      </c>
      <c r="E180" s="13" t="str">
        <f>IFERROR(VLOOKUP(A180,'DATA PER 111225'!$A$2:$C$120,3),"")</f>
        <v/>
      </c>
    </row>
    <row r="181">
      <c r="A181" s="8" t="s">
        <v>473</v>
      </c>
      <c r="B181" s="8" t="s">
        <v>474</v>
      </c>
      <c r="C181" s="8" t="s">
        <v>114</v>
      </c>
      <c r="D181" s="8" t="s">
        <v>116</v>
      </c>
      <c r="E181" s="13" t="str">
        <f>IFERROR(VLOOKUP(A181,'DATA PER 111225'!$A$2:$C$120,3),"")</f>
        <v>BAHAN BAKU LUUCA</v>
      </c>
    </row>
    <row r="182">
      <c r="A182" s="8" t="s">
        <v>476</v>
      </c>
      <c r="B182" s="8" t="s">
        <v>477</v>
      </c>
      <c r="C182" s="8" t="s">
        <v>114</v>
      </c>
      <c r="D182" s="8" t="s">
        <v>116</v>
      </c>
      <c r="E182" s="13" t="str">
        <f>IFERROR(VLOOKUP(A182,'DATA PER 111225'!$A$2:$C$120,3),"")</f>
        <v>PRODUKSI STOK LUUCA</v>
      </c>
    </row>
    <row r="183">
      <c r="A183" s="8" t="s">
        <v>478</v>
      </c>
      <c r="B183" s="8" t="s">
        <v>479</v>
      </c>
      <c r="C183" s="8" t="s">
        <v>114</v>
      </c>
      <c r="D183" s="8" t="s">
        <v>116</v>
      </c>
      <c r="E183" s="13" t="str">
        <f>IFERROR(VLOOKUP(A183,'DATA PER 111225'!$A$2:$C$120,3),"")</f>
        <v>BAHAN BAKU LUUCA</v>
      </c>
    </row>
    <row r="184">
      <c r="A184" s="22"/>
      <c r="B184" s="22"/>
      <c r="C184" s="22"/>
      <c r="D184" s="22"/>
      <c r="E184" s="13" t="str">
        <f>IFERROR(VLOOKUP(A184,'DATA PER 111225'!$A$2:$C$120,3),"")</f>
        <v/>
      </c>
    </row>
    <row r="185">
      <c r="A185" s="8" t="s">
        <v>38</v>
      </c>
      <c r="B185" s="8" t="s">
        <v>481</v>
      </c>
      <c r="C185" s="8" t="s">
        <v>39</v>
      </c>
      <c r="D185" s="8" t="s">
        <v>37</v>
      </c>
      <c r="E185" s="13" t="str">
        <f>IFERROR(VLOOKUP(A185,'DATA PER 111225'!$A$2:$C$120,3),"")</f>
        <v>PRODUKSI STOK LUUCA</v>
      </c>
    </row>
    <row r="186">
      <c r="A186" s="8" t="s">
        <v>41</v>
      </c>
      <c r="B186" s="8" t="s">
        <v>482</v>
      </c>
      <c r="C186" s="8" t="s">
        <v>39</v>
      </c>
      <c r="D186" s="8" t="s">
        <v>37</v>
      </c>
      <c r="E186" s="13" t="str">
        <f>IFERROR(VLOOKUP(A186,'DATA PER 111225'!$A$2:$C$120,3),"")</f>
        <v>BAHAN BAKU LUUCA</v>
      </c>
    </row>
    <row r="187">
      <c r="A187" s="8" t="s">
        <v>43</v>
      </c>
      <c r="B187" s="8" t="s">
        <v>484</v>
      </c>
      <c r="C187" s="8" t="s">
        <v>39</v>
      </c>
      <c r="D187" s="8" t="s">
        <v>37</v>
      </c>
      <c r="E187" s="13" t="str">
        <f>IFERROR(VLOOKUP(A187,'DATA PER 111225'!$A$2:$C$120,3),"")</f>
        <v>PRODUKSI STOK LUUCA</v>
      </c>
    </row>
    <row r="188">
      <c r="A188" s="8" t="s">
        <v>45</v>
      </c>
      <c r="B188" s="8" t="s">
        <v>485</v>
      </c>
      <c r="C188" s="8" t="s">
        <v>39</v>
      </c>
      <c r="D188" s="8" t="s">
        <v>37</v>
      </c>
      <c r="E188" s="13" t="str">
        <f>IFERROR(VLOOKUP(A188,'DATA PER 111225'!$A$2:$C$120,3),"")</f>
        <v>BAHAN BAKU LUUCA</v>
      </c>
    </row>
    <row r="189">
      <c r="A189" s="8" t="s">
        <v>46</v>
      </c>
      <c r="B189" s="8" t="s">
        <v>486</v>
      </c>
      <c r="C189" s="8" t="s">
        <v>39</v>
      </c>
      <c r="D189" s="8" t="s">
        <v>37</v>
      </c>
      <c r="E189" s="13" t="str">
        <f>IFERROR(VLOOKUP(A189,'DATA PER 111225'!$A$2:$C$120,3),"")</f>
        <v>BAHAN BAKU LUUCA</v>
      </c>
    </row>
    <row r="190">
      <c r="A190" s="8" t="s">
        <v>47</v>
      </c>
      <c r="B190" s="8" t="s">
        <v>487</v>
      </c>
      <c r="C190" s="8" t="s">
        <v>39</v>
      </c>
      <c r="D190" s="8" t="s">
        <v>37</v>
      </c>
      <c r="E190" s="13" t="str">
        <f>IFERROR(VLOOKUP(A190,'DATA PER 111225'!$A$2:$C$120,3),"")</f>
        <v>BAHAN BAKU LUUCA</v>
      </c>
    </row>
    <row r="191">
      <c r="A191" s="8" t="s">
        <v>48</v>
      </c>
      <c r="B191" s="8" t="s">
        <v>488</v>
      </c>
      <c r="C191" s="8" t="s">
        <v>39</v>
      </c>
      <c r="D191" s="8" t="s">
        <v>37</v>
      </c>
      <c r="E191" s="13" t="str">
        <f>IFERROR(VLOOKUP(A191,'DATA PER 111225'!$A$2:$C$120,3),"")</f>
        <v>BAHAN BAKU LUUCA</v>
      </c>
    </row>
    <row r="192">
      <c r="A192" s="8" t="s">
        <v>65</v>
      </c>
      <c r="B192" s="8" t="s">
        <v>489</v>
      </c>
      <c r="C192" s="8" t="s">
        <v>39</v>
      </c>
      <c r="D192" s="8" t="s">
        <v>37</v>
      </c>
      <c r="E192" s="13" t="str">
        <f>IFERROR(VLOOKUP(A192,'DATA PER 111225'!$A$2:$C$120,3),"")</f>
        <v>BAHAN BAKU LUUCA</v>
      </c>
    </row>
    <row r="193">
      <c r="A193" s="8" t="s">
        <v>70</v>
      </c>
      <c r="B193" s="8" t="s">
        <v>490</v>
      </c>
      <c r="C193" s="8" t="s">
        <v>39</v>
      </c>
      <c r="D193" s="8" t="s">
        <v>37</v>
      </c>
      <c r="E193" s="13" t="str">
        <f>IFERROR(VLOOKUP(A193,'DATA PER 111225'!$A$2:$C$120,3),"")</f>
        <v>PRODUKSI STOK LUUCA</v>
      </c>
    </row>
    <row r="194">
      <c r="A194" s="8" t="s">
        <v>93</v>
      </c>
      <c r="B194" s="8" t="s">
        <v>491</v>
      </c>
      <c r="C194" s="8" t="s">
        <v>39</v>
      </c>
      <c r="D194" s="8" t="s">
        <v>37</v>
      </c>
      <c r="E194" s="13" t="str">
        <f>IFERROR(VLOOKUP(A194,'DATA PER 111225'!$A$2:$C$120,3),"")</f>
        <v>BAHAN BAKU LUUCA</v>
      </c>
    </row>
    <row r="195">
      <c r="A195" s="8" t="s">
        <v>94</v>
      </c>
      <c r="B195" s="8" t="s">
        <v>492</v>
      </c>
      <c r="C195" s="8" t="s">
        <v>39</v>
      </c>
      <c r="D195" s="8" t="s">
        <v>37</v>
      </c>
      <c r="E195" s="13" t="str">
        <f>IFERROR(VLOOKUP(A195,'DATA PER 111225'!$A$2:$C$120,3),"")</f>
        <v>PRODUKSI STOK LUUCA</v>
      </c>
    </row>
    <row r="196">
      <c r="A196" s="8" t="s">
        <v>95</v>
      </c>
      <c r="B196" s="8" t="s">
        <v>494</v>
      </c>
      <c r="C196" s="8" t="s">
        <v>39</v>
      </c>
      <c r="D196" s="8" t="s">
        <v>37</v>
      </c>
      <c r="E196" s="13" t="str">
        <f>IFERROR(VLOOKUP(A196,'DATA PER 111225'!$A$2:$C$120,3),"")</f>
        <v>BAHAN BAKU LUUCA</v>
      </c>
    </row>
    <row r="197">
      <c r="A197" s="8" t="s">
        <v>100</v>
      </c>
      <c r="B197" s="8" t="s">
        <v>495</v>
      </c>
      <c r="C197" s="8" t="s">
        <v>39</v>
      </c>
      <c r="D197" s="8" t="s">
        <v>37</v>
      </c>
      <c r="E197" s="13" t="str">
        <f>IFERROR(VLOOKUP(A197,'DATA PER 111225'!$A$2:$C$120,3),"")</f>
        <v>PRODUKSI STOK LUUCA</v>
      </c>
    </row>
    <row r="198">
      <c r="A198" s="8" t="s">
        <v>102</v>
      </c>
      <c r="B198" s="8" t="s">
        <v>497</v>
      </c>
      <c r="C198" s="8" t="s">
        <v>39</v>
      </c>
      <c r="D198" s="8" t="s">
        <v>37</v>
      </c>
      <c r="E198" s="13" t="str">
        <f>IFERROR(VLOOKUP(A198,'DATA PER 111225'!$A$2:$C$120,3),"")</f>
        <v>BAHAN BAKU LUUCA</v>
      </c>
    </row>
    <row r="199">
      <c r="A199" s="8" t="s">
        <v>103</v>
      </c>
      <c r="B199" s="8" t="s">
        <v>498</v>
      </c>
      <c r="C199" s="8" t="s">
        <v>39</v>
      </c>
      <c r="D199" s="8" t="s">
        <v>37</v>
      </c>
      <c r="E199" s="13" t="str">
        <f>IFERROR(VLOOKUP(A199,'DATA PER 111225'!$A$2:$C$120,3),"")</f>
        <v>BAHAN BAKU LUUCA</v>
      </c>
    </row>
    <row r="200">
      <c r="A200" s="8" t="s">
        <v>499</v>
      </c>
      <c r="B200" s="8" t="s">
        <v>500</v>
      </c>
      <c r="C200" s="8" t="s">
        <v>39</v>
      </c>
      <c r="D200" s="8" t="s">
        <v>37</v>
      </c>
      <c r="E200" s="13" t="str">
        <f>IFERROR(VLOOKUP(A200,'DATA PER 111225'!$A$2:$C$120,3),"")</f>
        <v>PRODUKSI STOK LUUCA</v>
      </c>
    </row>
    <row r="201">
      <c r="A201" s="22"/>
      <c r="B201" s="22"/>
      <c r="C201" s="22"/>
      <c r="D201" s="22"/>
      <c r="E201" s="13" t="str">
        <f>IFERROR(VLOOKUP(A201,'DATA PER 111225'!$A$2:$C$120,3),"")</f>
        <v/>
      </c>
    </row>
    <row r="202">
      <c r="A202" s="8" t="s">
        <v>175</v>
      </c>
      <c r="B202" s="8" t="s">
        <v>501</v>
      </c>
      <c r="C202" s="8" t="s">
        <v>176</v>
      </c>
      <c r="D202" s="8" t="s">
        <v>17</v>
      </c>
      <c r="E202" s="13" t="str">
        <f>IFERROR(VLOOKUP(A202,'DATA PER 111225'!$A$2:$C$120,3),"")</f>
        <v>PRODUKSI STOK LUUCA</v>
      </c>
    </row>
    <row r="203">
      <c r="A203" s="8" t="s">
        <v>178</v>
      </c>
      <c r="B203" s="8" t="s">
        <v>503</v>
      </c>
      <c r="C203" s="8" t="s">
        <v>176</v>
      </c>
      <c r="D203" s="8" t="s">
        <v>17</v>
      </c>
      <c r="E203" s="13" t="str">
        <f>IFERROR(VLOOKUP(A203,'DATA PER 111225'!$A$2:$C$120,3),"")</f>
        <v>PRODUKSI STOK LUUCA</v>
      </c>
    </row>
    <row r="204">
      <c r="A204" s="8" t="s">
        <v>179</v>
      </c>
      <c r="B204" s="8" t="s">
        <v>504</v>
      </c>
      <c r="C204" s="8" t="s">
        <v>176</v>
      </c>
      <c r="D204" s="8" t="s">
        <v>17</v>
      </c>
      <c r="E204" s="13" t="str">
        <f>IFERROR(VLOOKUP(A204,'DATA PER 111225'!$A$2:$C$120,3),"")</f>
        <v>PRODUKSI STOK LUUCA</v>
      </c>
    </row>
    <row r="205">
      <c r="A205" s="8" t="s">
        <v>181</v>
      </c>
      <c r="B205" s="8" t="s">
        <v>505</v>
      </c>
      <c r="C205" s="8" t="s">
        <v>176</v>
      </c>
      <c r="D205" s="8" t="s">
        <v>17</v>
      </c>
      <c r="E205" s="13" t="str">
        <f>IFERROR(VLOOKUP(A205,'DATA PER 111225'!$A$2:$C$120,3),"")</f>
        <v>PRODUKSI STOK LUUCA</v>
      </c>
    </row>
    <row r="206">
      <c r="A206" s="8" t="s">
        <v>182</v>
      </c>
      <c r="B206" s="8" t="s">
        <v>506</v>
      </c>
      <c r="C206" s="8" t="s">
        <v>176</v>
      </c>
      <c r="D206" s="8" t="s">
        <v>17</v>
      </c>
      <c r="E206" s="13" t="str">
        <f>IFERROR(VLOOKUP(A206,'DATA PER 111225'!$A$2:$C$120,3),"")</f>
        <v>PRODUKSI STOK LUUCA</v>
      </c>
    </row>
    <row r="207">
      <c r="A207" s="8" t="s">
        <v>183</v>
      </c>
      <c r="B207" s="8" t="s">
        <v>507</v>
      </c>
      <c r="C207" s="8" t="s">
        <v>176</v>
      </c>
      <c r="D207" s="8" t="s">
        <v>17</v>
      </c>
      <c r="E207" s="13" t="str">
        <f>IFERROR(VLOOKUP(A207,'DATA PER 111225'!$A$2:$C$120,3),"")</f>
        <v>PRODUKSI STOK LUUCA</v>
      </c>
    </row>
    <row r="208">
      <c r="A208" s="8" t="s">
        <v>184</v>
      </c>
      <c r="B208" s="8" t="s">
        <v>508</v>
      </c>
      <c r="C208" s="8" t="s">
        <v>176</v>
      </c>
      <c r="D208" s="8" t="s">
        <v>17</v>
      </c>
      <c r="E208" s="13" t="str">
        <f>IFERROR(VLOOKUP(A208,'DATA PER 111225'!$A$2:$C$120,3),"")</f>
        <v>PRODUKSI STOK LUUCA</v>
      </c>
    </row>
    <row r="209">
      <c r="A209" s="8" t="s">
        <v>186</v>
      </c>
      <c r="B209" s="8" t="s">
        <v>509</v>
      </c>
      <c r="C209" s="8" t="s">
        <v>176</v>
      </c>
      <c r="D209" s="8" t="s">
        <v>17</v>
      </c>
      <c r="E209" s="13" t="str">
        <f>IFERROR(VLOOKUP(A209,'DATA PER 111225'!$A$2:$C$120,3),"")</f>
        <v>PRODUKSI STOK LUUCA</v>
      </c>
    </row>
    <row r="210">
      <c r="A210" s="8" t="s">
        <v>510</v>
      </c>
      <c r="B210" s="8" t="s">
        <v>511</v>
      </c>
      <c r="C210" s="8" t="s">
        <v>176</v>
      </c>
      <c r="D210" s="8" t="s">
        <v>17</v>
      </c>
      <c r="E210" s="13" t="str">
        <f>IFERROR(VLOOKUP(A210,'DATA PER 111225'!$A$2:$C$120,3),"")</f>
        <v>PRODUKSI STOK LUUCA</v>
      </c>
    </row>
    <row r="211">
      <c r="A211" s="8" t="s">
        <v>512</v>
      </c>
      <c r="B211" s="8" t="s">
        <v>513</v>
      </c>
      <c r="C211" s="8" t="s">
        <v>176</v>
      </c>
      <c r="D211" s="8" t="s">
        <v>17</v>
      </c>
      <c r="E211" s="13" t="str">
        <f>IFERROR(VLOOKUP(A211,'DATA PER 111225'!$A$2:$C$120,3),"")</f>
        <v>PRODUKSI STOK LUUCA</v>
      </c>
    </row>
    <row r="212">
      <c r="A212" s="8" t="s">
        <v>514</v>
      </c>
      <c r="B212" s="8" t="s">
        <v>515</v>
      </c>
      <c r="C212" s="8" t="s">
        <v>176</v>
      </c>
      <c r="D212" s="8" t="s">
        <v>17</v>
      </c>
      <c r="E212" s="13" t="str">
        <f>IFERROR(VLOOKUP(A212,'DATA PER 111225'!$A$2:$C$120,3),"")</f>
        <v>PRODUKSI STOK LUUCA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7" max="7" width="17.29"/>
    <col customWidth="1" min="9" max="9" width="23.71"/>
  </cols>
  <sheetData>
    <row r="1">
      <c r="A1" s="3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 t="s">
        <v>6</v>
      </c>
      <c r="C6" s="16" t="s">
        <v>7</v>
      </c>
      <c r="D6" s="16" t="s">
        <v>8</v>
      </c>
      <c r="E6" s="16" t="s">
        <v>10</v>
      </c>
      <c r="F6" s="16" t="s">
        <v>9</v>
      </c>
      <c r="G6" s="16" t="s">
        <v>11</v>
      </c>
      <c r="H6" s="16" t="s">
        <v>12</v>
      </c>
      <c r="I6" s="16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7"/>
      <c r="B7" s="18" t="s">
        <v>53</v>
      </c>
      <c r="C7" s="17" t="str">
        <f>IFERROR(VLOOKUP(B7,'MASTER DATA'!$A$1:$E$212,2,FALSE),"")</f>
        <v>BB-100502</v>
      </c>
      <c r="D7" s="17" t="str">
        <f>IFERROR(VLOOKUP(B7,'MASTER DATA'!$A$1:$E$212,5,FALSE),"")</f>
        <v>BAHAN BAKU LUUCA</v>
      </c>
      <c r="E7" s="17"/>
      <c r="F7" s="17" t="str">
        <f>IFERROR(VLOOKUP(B7,'MASTER DATA'!$A$1:$E$212,4,FALSE),"")</f>
        <v>GR</v>
      </c>
      <c r="G7" s="17"/>
      <c r="H7" s="17"/>
      <c r="I7" s="17"/>
      <c r="J7" s="17" t="b">
        <v>0</v>
      </c>
    </row>
    <row r="8">
      <c r="A8" s="17"/>
      <c r="B8" s="18"/>
      <c r="C8" s="17"/>
      <c r="D8" s="17" t="str">
        <f>IFERROR(VLOOKUP(B8,'MASTER DATA'!$A$1:$E$212,5,FALSE),"")</f>
        <v/>
      </c>
      <c r="E8" s="17"/>
      <c r="F8" s="17" t="str">
        <f>IFERROR(VLOOKUP(B8,'MASTER DATA'!$A$1:$E$212,4,FALSE),"")</f>
        <v/>
      </c>
      <c r="G8" s="17"/>
      <c r="H8" s="17"/>
      <c r="I8" s="17"/>
      <c r="J8" s="17" t="b">
        <v>0</v>
      </c>
    </row>
    <row r="9">
      <c r="A9" s="17"/>
      <c r="B9" s="17"/>
      <c r="C9" s="17" t="str">
        <f>IFERROR(VLOOKUP(B9,'MASTER DATA'!$A$1:$E$212,2,FALSE),"")</f>
        <v/>
      </c>
      <c r="D9" s="17" t="str">
        <f>IFERROR(VLOOKUP(B9,'MASTER DATA'!$A$1:$E$212,5,FALSE),"")</f>
        <v/>
      </c>
      <c r="E9" s="17"/>
      <c r="F9" s="17" t="str">
        <f>IFERROR(VLOOKUP(B9,'MASTER DATA'!$A$1:$E$212,4,FALSE),"")</f>
        <v/>
      </c>
      <c r="G9" s="17"/>
      <c r="H9" s="17"/>
      <c r="I9" s="17"/>
      <c r="J9" s="17" t="b">
        <v>0</v>
      </c>
    </row>
    <row r="10">
      <c r="A10" s="17"/>
      <c r="B10" s="17"/>
      <c r="C10" s="17" t="str">
        <f>IFERROR(VLOOKUP(B10,'MASTER DATA'!$A$1:$E$212,2,FALSE),"")</f>
        <v/>
      </c>
      <c r="D10" s="17" t="str">
        <f>IFERROR(VLOOKUP(B10,'MASTER DATA'!$A$1:$E$212,5,FALSE),"")</f>
        <v/>
      </c>
      <c r="E10" s="17"/>
      <c r="F10" s="17" t="str">
        <f>IFERROR(VLOOKUP(B10,'MASTER DATA'!$A$1:$E$212,4,FALSE),"")</f>
        <v/>
      </c>
      <c r="G10" s="17"/>
      <c r="H10" s="17"/>
      <c r="I10" s="17"/>
      <c r="J10" s="17" t="b">
        <v>0</v>
      </c>
    </row>
    <row r="11">
      <c r="A11" s="17"/>
      <c r="B11" s="17"/>
      <c r="C11" s="17" t="str">
        <f>IFERROR(VLOOKUP(B11,'MASTER DATA'!$A$1:$E$212,2,FALSE),"")</f>
        <v/>
      </c>
      <c r="D11" s="17" t="str">
        <f>IFERROR(VLOOKUP(B11,'MASTER DATA'!$A$1:$E$212,5,FALSE),"")</f>
        <v/>
      </c>
      <c r="E11" s="17"/>
      <c r="F11" s="17" t="str">
        <f>IFERROR(VLOOKUP(B11,'MASTER DATA'!$A$1:$E$212,4,FALSE),"")</f>
        <v/>
      </c>
      <c r="G11" s="17"/>
      <c r="H11" s="17"/>
      <c r="I11" s="17"/>
      <c r="J11" s="17" t="b">
        <v>0</v>
      </c>
    </row>
    <row r="12">
      <c r="A12" s="17"/>
      <c r="B12" s="17"/>
      <c r="C12" s="17" t="str">
        <f>IFERROR(VLOOKUP(B12,'MASTER DATA'!$A$1:$E$212,2,FALSE),"")</f>
        <v/>
      </c>
      <c r="D12" s="17" t="str">
        <f>IFERROR(VLOOKUP(B12,'MASTER DATA'!$A$1:$E$212,5,FALSE),"")</f>
        <v/>
      </c>
      <c r="E12" s="17"/>
      <c r="F12" s="17" t="str">
        <f>IFERROR(VLOOKUP(B12,'MASTER DATA'!$A$1:$E$212,4,FALSE),"")</f>
        <v/>
      </c>
      <c r="G12" s="17"/>
      <c r="H12" s="17"/>
      <c r="I12" s="17"/>
      <c r="J12" s="17" t="b">
        <v>0</v>
      </c>
    </row>
    <row r="13">
      <c r="A13" s="17"/>
      <c r="B13" s="17"/>
      <c r="C13" s="17" t="str">
        <f>IFERROR(VLOOKUP(B13,'MASTER DATA'!$A$1:$E$212,2,FALSE),"")</f>
        <v/>
      </c>
      <c r="D13" s="17" t="str">
        <f>IFERROR(VLOOKUP(B13,'MASTER DATA'!$A$1:$E$212,5,FALSE),"")</f>
        <v/>
      </c>
      <c r="E13" s="17"/>
      <c r="F13" s="17" t="str">
        <f>IFERROR(VLOOKUP(B13,'MASTER DATA'!$A$1:$E$212,4,FALSE),"")</f>
        <v/>
      </c>
      <c r="G13" s="17"/>
      <c r="H13" s="17"/>
      <c r="I13" s="17"/>
      <c r="J13" s="17" t="b">
        <v>0</v>
      </c>
    </row>
    <row r="14">
      <c r="A14" s="17"/>
      <c r="B14" s="17"/>
      <c r="C14" s="17" t="str">
        <f>IFERROR(VLOOKUP(B14,'MASTER DATA'!$A$1:$E$212,2,FALSE),"")</f>
        <v/>
      </c>
      <c r="D14" s="17" t="str">
        <f>IFERROR(VLOOKUP(B14,'MASTER DATA'!$A$1:$E$212,5,FALSE),"")</f>
        <v/>
      </c>
      <c r="E14" s="17"/>
      <c r="F14" s="17" t="str">
        <f>IFERROR(VLOOKUP(B14,'MASTER DATA'!$A$1:$E$212,4,FALSE),"")</f>
        <v/>
      </c>
      <c r="G14" s="17"/>
      <c r="H14" s="17"/>
      <c r="I14" s="17"/>
      <c r="J14" s="17" t="b">
        <v>0</v>
      </c>
    </row>
    <row r="15">
      <c r="A15" s="17"/>
      <c r="B15" s="17"/>
      <c r="C15" s="17" t="str">
        <f>IFERROR(VLOOKUP(B15,'MASTER DATA'!$A$1:$E$212,2,FALSE),"")</f>
        <v/>
      </c>
      <c r="D15" s="17" t="str">
        <f>IFERROR(VLOOKUP(B15,'MASTER DATA'!$A$1:$E$212,5,FALSE),"")</f>
        <v/>
      </c>
      <c r="E15" s="17"/>
      <c r="F15" s="17" t="str">
        <f>IFERROR(VLOOKUP(B15,'MASTER DATA'!$A$1:$E$212,4,FALSE),"")</f>
        <v/>
      </c>
      <c r="G15" s="17"/>
      <c r="H15" s="17"/>
      <c r="I15" s="17"/>
      <c r="J15" s="17" t="b">
        <v>0</v>
      </c>
    </row>
    <row r="16">
      <c r="A16" s="17"/>
      <c r="B16" s="17"/>
      <c r="C16" s="17" t="str">
        <f>IFERROR(VLOOKUP(B16,'MASTER DATA'!$A$1:$E$212,2,FALSE),"")</f>
        <v/>
      </c>
      <c r="D16" s="17" t="str">
        <f>IFERROR(VLOOKUP(B16,'MASTER DATA'!$A$1:$E$212,5,FALSE),"")</f>
        <v/>
      </c>
      <c r="E16" s="17"/>
      <c r="F16" s="17" t="str">
        <f>IFERROR(VLOOKUP(B16,'MASTER DATA'!$A$1:$E$212,4,FALSE),"")</f>
        <v/>
      </c>
      <c r="G16" s="17"/>
      <c r="H16" s="17"/>
      <c r="I16" s="17"/>
      <c r="J16" s="17" t="b">
        <v>0</v>
      </c>
    </row>
    <row r="17">
      <c r="A17" s="17"/>
      <c r="B17" s="17"/>
      <c r="C17" s="17" t="str">
        <f>IFERROR(VLOOKUP(B17,'MASTER DATA'!$A$1:$E$212,2,FALSE),"")</f>
        <v/>
      </c>
      <c r="D17" s="17" t="str">
        <f>IFERROR(VLOOKUP(B17,'MASTER DATA'!$A$1:$E$212,5,FALSE),"")</f>
        <v/>
      </c>
      <c r="E17" s="17"/>
      <c r="F17" s="17" t="str">
        <f>IFERROR(VLOOKUP(B17,'MASTER DATA'!$A$1:$E$212,4,FALSE),"")</f>
        <v/>
      </c>
      <c r="G17" s="17"/>
      <c r="H17" s="17"/>
      <c r="I17" s="17"/>
      <c r="J17" s="17" t="b">
        <v>0</v>
      </c>
    </row>
    <row r="18">
      <c r="A18" s="17"/>
      <c r="B18" s="17"/>
      <c r="C18" s="17" t="str">
        <f>IFERROR(VLOOKUP(B18,'MASTER DATA'!$A$1:$E$212,2,FALSE),"")</f>
        <v/>
      </c>
      <c r="D18" s="17" t="str">
        <f>IFERROR(VLOOKUP(B18,'MASTER DATA'!$A$1:$E$212,5,FALSE),"")</f>
        <v/>
      </c>
      <c r="E18" s="17"/>
      <c r="F18" s="17" t="str">
        <f>IFERROR(VLOOKUP(B18,'MASTER DATA'!$A$1:$E$212,4,FALSE),"")</f>
        <v/>
      </c>
      <c r="G18" s="17"/>
      <c r="H18" s="17"/>
      <c r="I18" s="17"/>
      <c r="J18" s="17" t="b">
        <v>0</v>
      </c>
    </row>
    <row r="19">
      <c r="A19" s="17"/>
      <c r="B19" s="17"/>
      <c r="C19" s="17" t="str">
        <f>IFERROR(VLOOKUP(B19,'MASTER DATA'!$A$1:$E$212,2,FALSE),"")</f>
        <v/>
      </c>
      <c r="D19" s="17" t="str">
        <f>IFERROR(VLOOKUP(B19,'MASTER DATA'!$A$1:$E$212,5,FALSE),"")</f>
        <v/>
      </c>
      <c r="E19" s="17"/>
      <c r="F19" s="17" t="str">
        <f>IFERROR(VLOOKUP(B19,'MASTER DATA'!$A$1:$E$212,4,FALSE),"")</f>
        <v/>
      </c>
      <c r="G19" s="17"/>
      <c r="H19" s="17"/>
      <c r="I19" s="17"/>
      <c r="J19" s="17" t="b">
        <v>0</v>
      </c>
    </row>
    <row r="20">
      <c r="A20" s="17"/>
      <c r="B20" s="17"/>
      <c r="C20" s="17" t="str">
        <f>IFERROR(VLOOKUP(B20,'MASTER DATA'!$A$1:$E$212,2,FALSE),"")</f>
        <v/>
      </c>
      <c r="D20" s="17" t="str">
        <f>IFERROR(VLOOKUP(B20,'MASTER DATA'!$A$1:$E$212,5,FALSE),"")</f>
        <v/>
      </c>
      <c r="E20" s="17"/>
      <c r="F20" s="17" t="str">
        <f>IFERROR(VLOOKUP(B20,'MASTER DATA'!$A$1:$E$212,4,FALSE),"")</f>
        <v/>
      </c>
      <c r="G20" s="17"/>
      <c r="H20" s="17"/>
      <c r="I20" s="17"/>
      <c r="J20" s="17" t="b">
        <v>0</v>
      </c>
    </row>
    <row r="21">
      <c r="A21" s="17"/>
      <c r="B21" s="17"/>
      <c r="C21" s="17" t="str">
        <f>IFERROR(VLOOKUP(B21,'MASTER DATA'!$A$1:$E$212,2,FALSE),"")</f>
        <v/>
      </c>
      <c r="D21" s="17" t="str">
        <f>IFERROR(VLOOKUP(B21,'MASTER DATA'!$A$1:$E$212,5,FALSE),"")</f>
        <v/>
      </c>
      <c r="E21" s="17"/>
      <c r="F21" s="17" t="str">
        <f>IFERROR(VLOOKUP(B21,'MASTER DATA'!$A$1:$E$212,4,FALSE),"")</f>
        <v/>
      </c>
      <c r="G21" s="17"/>
      <c r="H21" s="17"/>
      <c r="I21" s="17"/>
      <c r="J21" s="17" t="b">
        <v>0</v>
      </c>
    </row>
    <row r="22">
      <c r="A22" s="17"/>
      <c r="B22" s="17"/>
      <c r="C22" s="17" t="str">
        <f>IFERROR(VLOOKUP(B22,'MASTER DATA'!$A$1:$E$212,2,FALSE),"")</f>
        <v/>
      </c>
      <c r="D22" s="17" t="str">
        <f>IFERROR(VLOOKUP(B22,'MASTER DATA'!$A$1:$E$212,5,FALSE),"")</f>
        <v/>
      </c>
      <c r="E22" s="17"/>
      <c r="F22" s="17" t="str">
        <f>IFERROR(VLOOKUP(B22,'MASTER DATA'!$A$1:$E$212,4,FALSE),"")</f>
        <v/>
      </c>
      <c r="G22" s="17"/>
      <c r="H22" s="17"/>
      <c r="I22" s="17"/>
      <c r="J22" s="17" t="b">
        <v>0</v>
      </c>
    </row>
    <row r="23">
      <c r="A23" s="17"/>
      <c r="B23" s="17"/>
      <c r="C23" s="17" t="str">
        <f>IFERROR(VLOOKUP(B23,'MASTER DATA'!$A$1:$E$212,2,FALSE),"")</f>
        <v/>
      </c>
      <c r="D23" s="17" t="str">
        <f>IFERROR(VLOOKUP(B23,'MASTER DATA'!$A$1:$E$212,5,FALSE),"")</f>
        <v/>
      </c>
      <c r="E23" s="17"/>
      <c r="F23" s="17" t="str">
        <f>IFERROR(VLOOKUP(B23,'MASTER DATA'!$A$1:$E$212,4,FALSE),"")</f>
        <v/>
      </c>
      <c r="G23" s="17"/>
      <c r="H23" s="17"/>
      <c r="I23" s="17"/>
      <c r="J23" s="17" t="b">
        <v>0</v>
      </c>
    </row>
    <row r="24">
      <c r="A24" s="17"/>
      <c r="B24" s="17"/>
      <c r="C24" s="17" t="str">
        <f>IFERROR(VLOOKUP(B24,'MASTER DATA'!$A$1:$E$212,2,FALSE),"")</f>
        <v/>
      </c>
      <c r="D24" s="17" t="str">
        <f>IFERROR(VLOOKUP(B24,'MASTER DATA'!$A$1:$E$212,5,FALSE),"")</f>
        <v/>
      </c>
      <c r="E24" s="17"/>
      <c r="F24" s="17" t="str">
        <f>IFERROR(VLOOKUP(B24,'MASTER DATA'!$A$1:$E$212,4,FALSE),"")</f>
        <v/>
      </c>
      <c r="G24" s="17"/>
      <c r="H24" s="17"/>
      <c r="I24" s="17"/>
      <c r="J24" s="17" t="b">
        <v>0</v>
      </c>
    </row>
    <row r="25">
      <c r="A25" s="17"/>
      <c r="B25" s="17"/>
      <c r="C25" s="17" t="str">
        <f>IFERROR(VLOOKUP(B25,'MASTER DATA'!$A$1:$E$212,2,FALSE),"")</f>
        <v/>
      </c>
      <c r="D25" s="17" t="str">
        <f>IFERROR(VLOOKUP(B25,'MASTER DATA'!$A$1:$E$212,5,FALSE),"")</f>
        <v/>
      </c>
      <c r="E25" s="17"/>
      <c r="F25" s="17" t="str">
        <f>IFERROR(VLOOKUP(B25,'MASTER DATA'!$A$1:$E$212,4,FALSE),"")</f>
        <v/>
      </c>
      <c r="G25" s="17"/>
      <c r="H25" s="17"/>
      <c r="I25" s="17"/>
      <c r="J25" s="17" t="b">
        <v>0</v>
      </c>
    </row>
    <row r="26">
      <c r="A26" s="17"/>
      <c r="B26" s="17"/>
      <c r="C26" s="17" t="str">
        <f>IFERROR(VLOOKUP(B26,'MASTER DATA'!$A$1:$E$212,2,FALSE),"")</f>
        <v/>
      </c>
      <c r="D26" s="17" t="str">
        <f>IFERROR(VLOOKUP(B26,'MASTER DATA'!$A$1:$E$212,5,FALSE),"")</f>
        <v/>
      </c>
      <c r="E26" s="17"/>
      <c r="F26" s="17" t="str">
        <f>IFERROR(VLOOKUP(B26,'MASTER DATA'!$A$1:$E$212,4,FALSE),"")</f>
        <v/>
      </c>
      <c r="G26" s="17"/>
      <c r="H26" s="17"/>
      <c r="I26" s="17"/>
      <c r="J26" s="17" t="b">
        <v>0</v>
      </c>
    </row>
    <row r="27">
      <c r="A27" s="17"/>
      <c r="B27" s="17"/>
      <c r="C27" s="17" t="str">
        <f>IFERROR(VLOOKUP(B27,'MASTER DATA'!$A$1:$E$212,2,FALSE),"")</f>
        <v/>
      </c>
      <c r="D27" s="17" t="str">
        <f>IFERROR(VLOOKUP(B27,'MASTER DATA'!$A$1:$E$212,5,FALSE),"")</f>
        <v/>
      </c>
      <c r="E27" s="17"/>
      <c r="F27" s="17" t="str">
        <f>IFERROR(VLOOKUP(B27,'MASTER DATA'!$A$1:$E$212,4,FALSE),"")</f>
        <v/>
      </c>
      <c r="G27" s="17"/>
      <c r="H27" s="17"/>
      <c r="I27" s="17"/>
      <c r="J27" s="17" t="b">
        <v>0</v>
      </c>
    </row>
    <row r="28">
      <c r="A28" s="17"/>
      <c r="B28" s="17"/>
      <c r="C28" s="17" t="str">
        <f>IFERROR(VLOOKUP(B28,'MASTER DATA'!$A$1:$E$212,2,FALSE),"")</f>
        <v/>
      </c>
      <c r="D28" s="17" t="str">
        <f>IFERROR(VLOOKUP(B28,'MASTER DATA'!$A$1:$E$212,5,FALSE),"")</f>
        <v/>
      </c>
      <c r="E28" s="17"/>
      <c r="F28" s="17" t="str">
        <f>IFERROR(VLOOKUP(B28,'MASTER DATA'!$A$1:$E$212,4,FALSE),"")</f>
        <v/>
      </c>
      <c r="G28" s="17"/>
      <c r="H28" s="17"/>
      <c r="I28" s="17"/>
      <c r="J28" s="17" t="b">
        <v>0</v>
      </c>
    </row>
    <row r="29">
      <c r="A29" s="17"/>
      <c r="B29" s="17"/>
      <c r="C29" s="17" t="str">
        <f>IFERROR(VLOOKUP(B29,'MASTER DATA'!$A$1:$E$212,2,FALSE),"")</f>
        <v/>
      </c>
      <c r="D29" s="17" t="str">
        <f>IFERROR(VLOOKUP(B29,'MASTER DATA'!$A$1:$E$212,5,FALSE),"")</f>
        <v/>
      </c>
      <c r="E29" s="17"/>
      <c r="F29" s="17" t="str">
        <f>IFERROR(VLOOKUP(B29,'MASTER DATA'!$A$1:$E$212,4,FALSE),"")</f>
        <v/>
      </c>
      <c r="G29" s="17"/>
      <c r="H29" s="17"/>
      <c r="I29" s="17"/>
      <c r="J29" s="17" t="b">
        <v>0</v>
      </c>
    </row>
    <row r="30">
      <c r="A30" s="17"/>
      <c r="B30" s="17"/>
      <c r="C30" s="17" t="str">
        <f>IFERROR(VLOOKUP(B30,'MASTER DATA'!$A$1:$E$212,2,FALSE),"")</f>
        <v/>
      </c>
      <c r="D30" s="17" t="str">
        <f>IFERROR(VLOOKUP(B30,'MASTER DATA'!$A$1:$E$212,5,FALSE),"")</f>
        <v/>
      </c>
      <c r="E30" s="17"/>
      <c r="F30" s="17" t="str">
        <f>IFERROR(VLOOKUP(B30,'MASTER DATA'!$A$1:$E$212,4,FALSE),"")</f>
        <v/>
      </c>
      <c r="G30" s="17"/>
      <c r="H30" s="17"/>
      <c r="I30" s="17"/>
      <c r="J30" s="17" t="b">
        <v>0</v>
      </c>
    </row>
    <row r="31">
      <c r="A31" s="17"/>
      <c r="B31" s="17"/>
      <c r="C31" s="17" t="str">
        <f>IFERROR(VLOOKUP(B31,'MASTER DATA'!$A$1:$E$212,2,FALSE),"")</f>
        <v/>
      </c>
      <c r="D31" s="17" t="str">
        <f>IFERROR(VLOOKUP(B31,'MASTER DATA'!$A$1:$E$212,5,FALSE),"")</f>
        <v/>
      </c>
      <c r="E31" s="17"/>
      <c r="F31" s="17" t="str">
        <f>IFERROR(VLOOKUP(B31,'MASTER DATA'!$A$1:$E$212,4,FALSE),"")</f>
        <v/>
      </c>
      <c r="G31" s="17"/>
      <c r="H31" s="17"/>
      <c r="I31" s="17"/>
      <c r="J31" s="17" t="b">
        <v>0</v>
      </c>
    </row>
    <row r="32">
      <c r="A32" s="17"/>
      <c r="B32" s="17"/>
      <c r="C32" s="17" t="str">
        <f>IFERROR(VLOOKUP(B32,'MASTER DATA'!$A$1:$E$212,2,FALSE),"")</f>
        <v/>
      </c>
      <c r="D32" s="17" t="str">
        <f>IFERROR(VLOOKUP(B32,'MASTER DATA'!$A$1:$E$212,5,FALSE),"")</f>
        <v/>
      </c>
      <c r="E32" s="17"/>
      <c r="F32" s="17" t="str">
        <f>IFERROR(VLOOKUP(B32,'MASTER DATA'!$A$1:$E$212,4,FALSE),"")</f>
        <v/>
      </c>
      <c r="G32" s="17"/>
      <c r="H32" s="17"/>
      <c r="I32" s="17"/>
      <c r="J32" s="17" t="b">
        <v>0</v>
      </c>
    </row>
    <row r="33">
      <c r="A33" s="17"/>
      <c r="B33" s="17"/>
      <c r="C33" s="17" t="str">
        <f>IFERROR(VLOOKUP(B33,'MASTER DATA'!$A$1:$E$212,2,FALSE),"")</f>
        <v/>
      </c>
      <c r="D33" s="17" t="str">
        <f>IFERROR(VLOOKUP(B33,'MASTER DATA'!$A$1:$E$212,5,FALSE),"")</f>
        <v/>
      </c>
      <c r="E33" s="17"/>
      <c r="F33" s="17" t="str">
        <f>IFERROR(VLOOKUP(B33,'MASTER DATA'!$A$1:$E$212,4,FALSE),"")</f>
        <v/>
      </c>
      <c r="G33" s="17"/>
      <c r="H33" s="17"/>
      <c r="I33" s="17"/>
      <c r="J33" s="17" t="b">
        <v>0</v>
      </c>
    </row>
    <row r="34">
      <c r="A34" s="17"/>
      <c r="B34" s="17"/>
      <c r="C34" s="17" t="str">
        <f>IFERROR(VLOOKUP(B34,'MASTER DATA'!$A$1:$E$212,2,FALSE),"")</f>
        <v/>
      </c>
      <c r="D34" s="17" t="str">
        <f>IFERROR(VLOOKUP(B34,'MASTER DATA'!$A$1:$E$212,5,FALSE),"")</f>
        <v/>
      </c>
      <c r="E34" s="17"/>
      <c r="F34" s="17" t="str">
        <f>IFERROR(VLOOKUP(B34,'MASTER DATA'!$A$1:$E$212,4,FALSE),"")</f>
        <v/>
      </c>
      <c r="G34" s="17"/>
      <c r="H34" s="17"/>
      <c r="I34" s="17"/>
      <c r="J34" s="17" t="b">
        <v>0</v>
      </c>
    </row>
    <row r="35">
      <c r="A35" s="17"/>
      <c r="B35" s="17"/>
      <c r="C35" s="17" t="str">
        <f>IFERROR(VLOOKUP(B35,'MASTER DATA'!$A$1:$E$212,2,FALSE),"")</f>
        <v/>
      </c>
      <c r="D35" s="17" t="str">
        <f>IFERROR(VLOOKUP(B35,'MASTER DATA'!$A$1:$E$212,5,FALSE),"")</f>
        <v/>
      </c>
      <c r="E35" s="17"/>
      <c r="F35" s="17" t="str">
        <f>IFERROR(VLOOKUP(B35,'MASTER DATA'!$A$1:$E$212,4,FALSE),"")</f>
        <v/>
      </c>
      <c r="G35" s="17"/>
      <c r="H35" s="17"/>
      <c r="I35" s="17"/>
      <c r="J35" s="17" t="b">
        <v>0</v>
      </c>
    </row>
    <row r="36">
      <c r="A36" s="17"/>
      <c r="B36" s="17"/>
      <c r="C36" s="17" t="str">
        <f>IFERROR(VLOOKUP(B36,'MASTER DATA'!$A$1:$E$212,2,FALSE),"")</f>
        <v/>
      </c>
      <c r="D36" s="17" t="str">
        <f>IFERROR(VLOOKUP(B36,'MASTER DATA'!$A$1:$E$212,5,FALSE),"")</f>
        <v/>
      </c>
      <c r="E36" s="17"/>
      <c r="F36" s="17" t="str">
        <f>IFERROR(VLOOKUP(B36,'MASTER DATA'!$A$1:$E$212,4,FALSE),"")</f>
        <v/>
      </c>
      <c r="G36" s="17"/>
      <c r="H36" s="17"/>
      <c r="I36" s="17"/>
      <c r="J36" s="17" t="b">
        <v>0</v>
      </c>
    </row>
    <row r="37">
      <c r="A37" s="17"/>
      <c r="B37" s="17"/>
      <c r="C37" s="17" t="str">
        <f>IFERROR(VLOOKUP(B37,'MASTER DATA'!$A$1:$E$212,2,FALSE),"")</f>
        <v/>
      </c>
      <c r="D37" s="17" t="str">
        <f>IFERROR(VLOOKUP(B37,'MASTER DATA'!$A$1:$E$212,5,FALSE),"")</f>
        <v/>
      </c>
      <c r="E37" s="17"/>
      <c r="F37" s="17" t="str">
        <f>IFERROR(VLOOKUP(B37,'MASTER DATA'!$A$1:$E$212,4,FALSE),"")</f>
        <v/>
      </c>
      <c r="G37" s="17"/>
      <c r="H37" s="17"/>
      <c r="I37" s="17"/>
      <c r="J37" s="17" t="b">
        <v>0</v>
      </c>
    </row>
    <row r="38">
      <c r="A38" s="17"/>
      <c r="B38" s="17"/>
      <c r="C38" s="17" t="str">
        <f>IFERROR(VLOOKUP(B38,'MASTER DATA'!$A$1:$E$212,2,FALSE),"")</f>
        <v/>
      </c>
      <c r="D38" s="17" t="str">
        <f>IFERROR(VLOOKUP(B38,'MASTER DATA'!$A$1:$E$212,5,FALSE),"")</f>
        <v/>
      </c>
      <c r="E38" s="17"/>
      <c r="F38" s="17" t="str">
        <f>IFERROR(VLOOKUP(B38,'MASTER DATA'!$A$1:$E$212,4,FALSE),"")</f>
        <v/>
      </c>
      <c r="G38" s="17"/>
      <c r="H38" s="17"/>
      <c r="I38" s="17"/>
      <c r="J38" s="17" t="b">
        <v>0</v>
      </c>
    </row>
    <row r="39">
      <c r="A39" s="17"/>
      <c r="B39" s="17"/>
      <c r="C39" s="17" t="str">
        <f>IFERROR(VLOOKUP(B39,'MASTER DATA'!$A$1:$E$212,2,FALSE),"")</f>
        <v/>
      </c>
      <c r="D39" s="17" t="str">
        <f>IFERROR(VLOOKUP(B39,'MASTER DATA'!$A$1:$E$212,5,FALSE),"")</f>
        <v/>
      </c>
      <c r="E39" s="17"/>
      <c r="F39" s="17" t="str">
        <f>IFERROR(VLOOKUP(B39,'MASTER DATA'!$A$1:$E$212,4,FALSE),"")</f>
        <v/>
      </c>
      <c r="G39" s="17"/>
      <c r="H39" s="17"/>
      <c r="I39" s="17"/>
      <c r="J39" s="17" t="b">
        <v>0</v>
      </c>
    </row>
    <row r="40">
      <c r="A40" s="17"/>
      <c r="B40" s="17"/>
      <c r="C40" s="17" t="str">
        <f>IFERROR(VLOOKUP(B40,'MASTER DATA'!$A$1:$E$212,2,FALSE),"")</f>
        <v/>
      </c>
      <c r="D40" s="17" t="str">
        <f>IFERROR(VLOOKUP(B40,'MASTER DATA'!$A$1:$E$212,5,FALSE),"")</f>
        <v/>
      </c>
      <c r="E40" s="17"/>
      <c r="F40" s="17" t="str">
        <f>IFERROR(VLOOKUP(B40,'MASTER DATA'!$A$1:$E$212,4,FALSE),"")</f>
        <v/>
      </c>
      <c r="G40" s="17"/>
      <c r="H40" s="17"/>
      <c r="I40" s="17"/>
      <c r="J40" s="17" t="b">
        <v>0</v>
      </c>
    </row>
    <row r="41">
      <c r="A41" s="17"/>
      <c r="B41" s="17"/>
      <c r="C41" s="17" t="str">
        <f>IFERROR(VLOOKUP(B41,'MASTER DATA'!$A$1:$E$212,2,FALSE),"")</f>
        <v/>
      </c>
      <c r="D41" s="17" t="str">
        <f>IFERROR(VLOOKUP(B41,'MASTER DATA'!$A$1:$E$212,5,FALSE),"")</f>
        <v/>
      </c>
      <c r="E41" s="17"/>
      <c r="F41" s="17" t="str">
        <f>IFERROR(VLOOKUP(B41,'MASTER DATA'!$A$1:$E$212,4,FALSE),"")</f>
        <v/>
      </c>
      <c r="G41" s="17"/>
      <c r="H41" s="17"/>
      <c r="I41" s="17"/>
      <c r="J41" s="17" t="b">
        <v>0</v>
      </c>
    </row>
    <row r="42">
      <c r="A42" s="17"/>
      <c r="B42" s="17"/>
      <c r="C42" s="17" t="str">
        <f>IFERROR(VLOOKUP(B42,'MASTER DATA'!$A$1:$E$212,2,FALSE),"")</f>
        <v/>
      </c>
      <c r="D42" s="17" t="str">
        <f>IFERROR(VLOOKUP(B42,'MASTER DATA'!$A$1:$E$212,5,FALSE),"")</f>
        <v/>
      </c>
      <c r="E42" s="17"/>
      <c r="F42" s="17" t="str">
        <f>IFERROR(VLOOKUP(B42,'MASTER DATA'!$A$1:$E$212,4,FALSE),"")</f>
        <v/>
      </c>
      <c r="G42" s="17"/>
      <c r="H42" s="17"/>
      <c r="I42" s="17"/>
      <c r="J42" s="17" t="b">
        <v>0</v>
      </c>
    </row>
    <row r="43">
      <c r="A43" s="17"/>
      <c r="B43" s="17"/>
      <c r="C43" s="17" t="str">
        <f>IFERROR(VLOOKUP(B43,'MASTER DATA'!$A$1:$E$212,2,FALSE),"")</f>
        <v/>
      </c>
      <c r="D43" s="17" t="str">
        <f>IFERROR(VLOOKUP(B43,'MASTER DATA'!$A$1:$E$212,5,FALSE),"")</f>
        <v/>
      </c>
      <c r="E43" s="17"/>
      <c r="F43" s="17" t="str">
        <f>IFERROR(VLOOKUP(B43,'MASTER DATA'!$A$1:$E$212,4,FALSE),"")</f>
        <v/>
      </c>
      <c r="G43" s="17"/>
      <c r="H43" s="17"/>
      <c r="I43" s="17"/>
      <c r="J43" s="17" t="b">
        <v>0</v>
      </c>
    </row>
    <row r="44">
      <c r="A44" s="17"/>
      <c r="B44" s="17"/>
      <c r="C44" s="17" t="str">
        <f>IFERROR(VLOOKUP(B44,'MASTER DATA'!$A$1:$E$212,2,FALSE),"")</f>
        <v/>
      </c>
      <c r="D44" s="17" t="str">
        <f>IFERROR(VLOOKUP(B44,'MASTER DATA'!$A$1:$E$212,5,FALSE),"")</f>
        <v/>
      </c>
      <c r="E44" s="17"/>
      <c r="F44" s="17" t="str">
        <f>IFERROR(VLOOKUP(B44,'MASTER DATA'!$A$1:$E$212,4,FALSE),"")</f>
        <v/>
      </c>
      <c r="G44" s="17"/>
      <c r="H44" s="17"/>
      <c r="I44" s="17"/>
      <c r="J44" s="17" t="b">
        <v>0</v>
      </c>
    </row>
    <row r="45">
      <c r="A45" s="17"/>
      <c r="B45" s="17"/>
      <c r="C45" s="17" t="str">
        <f>IFERROR(VLOOKUP(B45,'MASTER DATA'!$A$1:$E$212,2,FALSE),"")</f>
        <v/>
      </c>
      <c r="D45" s="17" t="str">
        <f>IFERROR(VLOOKUP(B45,'MASTER DATA'!$A$1:$E$212,5,FALSE),"")</f>
        <v/>
      </c>
      <c r="E45" s="17"/>
      <c r="F45" s="17" t="str">
        <f>IFERROR(VLOOKUP(B45,'MASTER DATA'!$A$1:$E$212,4,FALSE),"")</f>
        <v/>
      </c>
      <c r="G45" s="17"/>
      <c r="H45" s="17"/>
      <c r="I45" s="17"/>
      <c r="J45" s="17" t="b">
        <v>0</v>
      </c>
    </row>
    <row r="46">
      <c r="A46" s="17"/>
      <c r="B46" s="17"/>
      <c r="C46" s="17" t="str">
        <f>IFERROR(VLOOKUP(B46,'MASTER DATA'!$A$1:$E$212,2,FALSE),"")</f>
        <v/>
      </c>
      <c r="D46" s="17" t="str">
        <f>IFERROR(VLOOKUP(B46,'MASTER DATA'!$A$1:$E$212,5,FALSE),"")</f>
        <v/>
      </c>
      <c r="E46" s="17"/>
      <c r="F46" s="17" t="str">
        <f>IFERROR(VLOOKUP(B46,'MASTER DATA'!$A$1:$E$212,4,FALSE),"")</f>
        <v/>
      </c>
      <c r="G46" s="17"/>
      <c r="H46" s="17"/>
      <c r="I46" s="17"/>
      <c r="J46" s="17" t="b">
        <v>0</v>
      </c>
    </row>
    <row r="47">
      <c r="A47" s="17"/>
      <c r="B47" s="17"/>
      <c r="C47" s="17" t="str">
        <f>IFERROR(VLOOKUP(B47,'MASTER DATA'!$A$1:$E$212,2,FALSE),"")</f>
        <v/>
      </c>
      <c r="D47" s="17" t="str">
        <f>IFERROR(VLOOKUP(B47,'MASTER DATA'!$A$1:$E$212,5,FALSE),"")</f>
        <v/>
      </c>
      <c r="E47" s="17"/>
      <c r="F47" s="17" t="str">
        <f>IFERROR(VLOOKUP(B47,'MASTER DATA'!$A$1:$E$212,4,FALSE),"")</f>
        <v/>
      </c>
      <c r="G47" s="17"/>
      <c r="H47" s="17"/>
      <c r="I47" s="17"/>
      <c r="J47" s="17" t="b">
        <v>0</v>
      </c>
    </row>
    <row r="48">
      <c r="A48" s="17"/>
      <c r="B48" s="17"/>
      <c r="C48" s="17" t="str">
        <f>IFERROR(VLOOKUP(B48,'MASTER DATA'!$A$1:$E$212,2,FALSE),"")</f>
        <v/>
      </c>
      <c r="D48" s="17" t="str">
        <f>IFERROR(VLOOKUP(B48,'MASTER DATA'!$A$1:$E$212,5,FALSE),"")</f>
        <v/>
      </c>
      <c r="E48" s="17"/>
      <c r="F48" s="17" t="str">
        <f>IFERROR(VLOOKUP(B48,'MASTER DATA'!$A$1:$E$212,4,FALSE),"")</f>
        <v/>
      </c>
      <c r="G48" s="17"/>
      <c r="H48" s="17"/>
      <c r="I48" s="17"/>
      <c r="J48" s="17" t="b">
        <v>0</v>
      </c>
    </row>
    <row r="49">
      <c r="A49" s="17"/>
      <c r="B49" s="17"/>
      <c r="C49" s="17" t="str">
        <f>IFERROR(VLOOKUP(B49,'MASTER DATA'!$A$1:$E$212,2,FALSE),"")</f>
        <v/>
      </c>
      <c r="D49" s="17" t="str">
        <f>IFERROR(VLOOKUP(B49,'MASTER DATA'!$A$1:$E$212,5,FALSE),"")</f>
        <v/>
      </c>
      <c r="E49" s="17"/>
      <c r="F49" s="17" t="str">
        <f>IFERROR(VLOOKUP(B49,'MASTER DATA'!$A$1:$E$212,4,FALSE),"")</f>
        <v/>
      </c>
      <c r="G49" s="17"/>
      <c r="H49" s="17"/>
      <c r="I49" s="17"/>
      <c r="J49" s="17" t="b">
        <v>0</v>
      </c>
    </row>
    <row r="50">
      <c r="A50" s="17"/>
      <c r="B50" s="17"/>
      <c r="C50" s="17" t="str">
        <f>IFERROR(VLOOKUP(B50,'MASTER DATA'!$A$1:$E$212,2,FALSE),"")</f>
        <v/>
      </c>
      <c r="D50" s="17" t="str">
        <f>IFERROR(VLOOKUP(B50,'MASTER DATA'!$A$1:$E$212,5,FALSE),"")</f>
        <v/>
      </c>
      <c r="E50" s="17"/>
      <c r="F50" s="17" t="str">
        <f>IFERROR(VLOOKUP(B50,'MASTER DATA'!$A$1:$E$212,4,FALSE),"")</f>
        <v/>
      </c>
      <c r="G50" s="17"/>
      <c r="H50" s="17"/>
      <c r="I50" s="17"/>
      <c r="J50" s="17" t="b">
        <v>0</v>
      </c>
    </row>
    <row r="51">
      <c r="A51" s="17"/>
      <c r="B51" s="17"/>
      <c r="C51" s="17" t="str">
        <f>IFERROR(VLOOKUP(B51,'MASTER DATA'!$A$1:$E$212,2,FALSE),"")</f>
        <v/>
      </c>
      <c r="D51" s="17" t="str">
        <f>IFERROR(VLOOKUP(B51,'MASTER DATA'!$A$1:$E$212,5,FALSE),"")</f>
        <v/>
      </c>
      <c r="E51" s="17"/>
      <c r="F51" s="17" t="str">
        <f>IFERROR(VLOOKUP(B51,'MASTER DATA'!$A$1:$E$212,4,FALSE),"")</f>
        <v/>
      </c>
      <c r="G51" s="17"/>
      <c r="H51" s="17"/>
      <c r="I51" s="17"/>
      <c r="J51" s="17" t="b">
        <v>0</v>
      </c>
    </row>
    <row r="52">
      <c r="A52" s="17"/>
      <c r="B52" s="17"/>
      <c r="C52" s="17" t="str">
        <f>IFERROR(VLOOKUP(B52,'MASTER DATA'!$A$1:$E$212,2,FALSE),"")</f>
        <v/>
      </c>
      <c r="D52" s="17" t="str">
        <f>IFERROR(VLOOKUP(B52,'MASTER DATA'!$A$1:$E$212,5,FALSE),"")</f>
        <v/>
      </c>
      <c r="E52" s="17"/>
      <c r="F52" s="17" t="str">
        <f>IFERROR(VLOOKUP(B52,'MASTER DATA'!$A$1:$E$212,4,FALSE),"")</f>
        <v/>
      </c>
      <c r="G52" s="17"/>
      <c r="H52" s="17"/>
      <c r="I52" s="17"/>
      <c r="J52" s="17" t="b">
        <v>0</v>
      </c>
    </row>
    <row r="53">
      <c r="A53" s="17"/>
      <c r="B53" s="17"/>
      <c r="C53" s="17" t="str">
        <f>IFERROR(VLOOKUP(B53,'MASTER DATA'!$A$1:$E$212,2,FALSE),"")</f>
        <v/>
      </c>
      <c r="D53" s="17" t="str">
        <f>IFERROR(VLOOKUP(B53,'MASTER DATA'!$A$1:$E$212,5,FALSE),"")</f>
        <v/>
      </c>
      <c r="E53" s="17"/>
      <c r="F53" s="17" t="str">
        <f>IFERROR(VLOOKUP(B53,'MASTER DATA'!$A$1:$E$212,4,FALSE),"")</f>
        <v/>
      </c>
      <c r="G53" s="17"/>
      <c r="H53" s="17"/>
      <c r="I53" s="17"/>
      <c r="J53" s="17" t="b">
        <v>0</v>
      </c>
    </row>
    <row r="54">
      <c r="A54" s="17"/>
      <c r="B54" s="17"/>
      <c r="C54" s="17" t="str">
        <f>IFERROR(VLOOKUP(B54,'MASTER DATA'!$A$1:$E$212,2,FALSE),"")</f>
        <v/>
      </c>
      <c r="D54" s="17" t="str">
        <f>IFERROR(VLOOKUP(B54,'MASTER DATA'!$A$1:$E$212,5,FALSE),"")</f>
        <v/>
      </c>
      <c r="E54" s="17"/>
      <c r="F54" s="17" t="str">
        <f>IFERROR(VLOOKUP(B54,'MASTER DATA'!$A$1:$E$212,4,FALSE),"")</f>
        <v/>
      </c>
      <c r="G54" s="17"/>
      <c r="H54" s="17"/>
      <c r="I54" s="17"/>
      <c r="J54" s="17" t="b">
        <v>0</v>
      </c>
    </row>
    <row r="55">
      <c r="A55" s="17"/>
      <c r="B55" s="17"/>
      <c r="C55" s="17" t="str">
        <f>IFERROR(VLOOKUP(B55,'MASTER DATA'!$A$1:$E$212,2,FALSE),"")</f>
        <v/>
      </c>
      <c r="D55" s="17" t="str">
        <f>IFERROR(VLOOKUP(B55,'MASTER DATA'!$A$1:$E$212,5,FALSE),"")</f>
        <v/>
      </c>
      <c r="E55" s="17"/>
      <c r="F55" s="17" t="str">
        <f>IFERROR(VLOOKUP(B55,'MASTER DATA'!$A$1:$E$212,4,FALSE),"")</f>
        <v/>
      </c>
      <c r="G55" s="17"/>
      <c r="H55" s="17"/>
      <c r="I55" s="17"/>
      <c r="J55" s="17" t="b">
        <v>0</v>
      </c>
    </row>
    <row r="56">
      <c r="A56" s="17"/>
      <c r="B56" s="17"/>
      <c r="C56" s="17" t="str">
        <f>IFERROR(VLOOKUP(B56,'MASTER DATA'!$A$1:$E$212,2,FALSE),"")</f>
        <v/>
      </c>
      <c r="D56" s="17" t="str">
        <f>IFERROR(VLOOKUP(B56,'MASTER DATA'!$A$1:$E$212,5,FALSE),"")</f>
        <v/>
      </c>
      <c r="E56" s="17"/>
      <c r="F56" s="17" t="str">
        <f>IFERROR(VLOOKUP(B56,'MASTER DATA'!$A$1:$E$212,4,FALSE),"")</f>
        <v/>
      </c>
      <c r="G56" s="17"/>
      <c r="H56" s="17"/>
      <c r="I56" s="17"/>
      <c r="J56" s="17" t="b">
        <v>0</v>
      </c>
    </row>
    <row r="57">
      <c r="A57" s="17"/>
      <c r="B57" s="17"/>
      <c r="C57" s="17" t="str">
        <f>IFERROR(VLOOKUP(B57,'MASTER DATA'!$A$1:$E$212,2,FALSE),"")</f>
        <v/>
      </c>
      <c r="D57" s="17" t="str">
        <f>IFERROR(VLOOKUP(B57,'MASTER DATA'!$A$1:$E$212,5,FALSE),"")</f>
        <v/>
      </c>
      <c r="E57" s="17"/>
      <c r="F57" s="17" t="str">
        <f>IFERROR(VLOOKUP(B57,'MASTER DATA'!$A$1:$E$212,4,FALSE),"")</f>
        <v/>
      </c>
      <c r="G57" s="17"/>
      <c r="H57" s="17"/>
      <c r="I57" s="17"/>
      <c r="J57" s="17" t="b">
        <v>0</v>
      </c>
    </row>
    <row r="58">
      <c r="A58" s="17"/>
      <c r="B58" s="17"/>
      <c r="C58" s="17" t="str">
        <f>IFERROR(VLOOKUP(B58,'MASTER DATA'!$A$1:$E$212,2,FALSE),"")</f>
        <v/>
      </c>
      <c r="D58" s="17" t="str">
        <f>IFERROR(VLOOKUP(B58,'MASTER DATA'!$A$1:$E$212,5,FALSE),"")</f>
        <v/>
      </c>
      <c r="E58" s="17"/>
      <c r="F58" s="17" t="str">
        <f>IFERROR(VLOOKUP(B58,'MASTER DATA'!$A$1:$E$212,4,FALSE),"")</f>
        <v/>
      </c>
      <c r="G58" s="17"/>
      <c r="H58" s="17"/>
      <c r="I58" s="17"/>
      <c r="J58" s="17" t="b">
        <v>0</v>
      </c>
    </row>
    <row r="59">
      <c r="A59" s="17"/>
      <c r="B59" s="17"/>
      <c r="C59" s="17" t="str">
        <f>IFERROR(VLOOKUP(B59,'MASTER DATA'!$A$1:$E$212,2,FALSE),"")</f>
        <v/>
      </c>
      <c r="D59" s="17" t="str">
        <f>IFERROR(VLOOKUP(B59,'MASTER DATA'!$A$1:$E$212,5,FALSE),"")</f>
        <v/>
      </c>
      <c r="E59" s="17"/>
      <c r="F59" s="17" t="str">
        <f>IFERROR(VLOOKUP(B59,'MASTER DATA'!$A$1:$E$212,4,FALSE),"")</f>
        <v/>
      </c>
      <c r="G59" s="17"/>
      <c r="H59" s="17"/>
      <c r="I59" s="17"/>
      <c r="J59" s="17" t="b">
        <v>0</v>
      </c>
    </row>
    <row r="60">
      <c r="A60" s="17"/>
      <c r="B60" s="17"/>
      <c r="C60" s="17" t="str">
        <f>IFERROR(VLOOKUP(B60,'MASTER DATA'!$A$1:$E$212,2,FALSE),"")</f>
        <v/>
      </c>
      <c r="D60" s="17" t="str">
        <f>IFERROR(VLOOKUP(B60,'MASTER DATA'!$A$1:$E$212,5,FALSE),"")</f>
        <v/>
      </c>
      <c r="E60" s="17"/>
      <c r="F60" s="17" t="str">
        <f>IFERROR(VLOOKUP(B60,'MASTER DATA'!$A$1:$E$212,4,FALSE),"")</f>
        <v/>
      </c>
      <c r="G60" s="17"/>
      <c r="H60" s="17"/>
      <c r="I60" s="17"/>
      <c r="J60" s="17" t="b">
        <v>0</v>
      </c>
    </row>
    <row r="61">
      <c r="A61" s="17"/>
      <c r="B61" s="17"/>
      <c r="C61" s="17" t="str">
        <f>IFERROR(VLOOKUP(B61,'MASTER DATA'!$A$1:$E$212,2,FALSE),"")</f>
        <v/>
      </c>
      <c r="D61" s="17" t="str">
        <f>IFERROR(VLOOKUP(B61,'MASTER DATA'!$A$1:$E$212,5,FALSE),"")</f>
        <v/>
      </c>
      <c r="E61" s="17"/>
      <c r="F61" s="17" t="str">
        <f>IFERROR(VLOOKUP(B61,'MASTER DATA'!$A$1:$E$212,4,FALSE),"")</f>
        <v/>
      </c>
      <c r="G61" s="17"/>
      <c r="H61" s="17"/>
      <c r="I61" s="17"/>
      <c r="J61" s="17" t="b">
        <v>0</v>
      </c>
    </row>
    <row r="62">
      <c r="A62" s="17"/>
      <c r="B62" s="17"/>
      <c r="C62" s="17" t="str">
        <f>IFERROR(VLOOKUP(B62,'MASTER DATA'!$A$1:$E$212,2,FALSE),"")</f>
        <v/>
      </c>
      <c r="D62" s="17" t="str">
        <f>IFERROR(VLOOKUP(B62,'MASTER DATA'!$A$1:$E$212,5,FALSE),"")</f>
        <v/>
      </c>
      <c r="E62" s="17"/>
      <c r="F62" s="17" t="str">
        <f>IFERROR(VLOOKUP(B62,'MASTER DATA'!$A$1:$E$212,4,FALSE),"")</f>
        <v/>
      </c>
      <c r="G62" s="17"/>
      <c r="H62" s="17"/>
      <c r="I62" s="17"/>
      <c r="J62" s="17" t="b">
        <v>0</v>
      </c>
    </row>
    <row r="63">
      <c r="A63" s="17"/>
      <c r="B63" s="17"/>
      <c r="C63" s="17" t="str">
        <f>IFERROR(VLOOKUP(B63,'MASTER DATA'!$A$1:$E$212,2,FALSE),"")</f>
        <v/>
      </c>
      <c r="D63" s="17" t="str">
        <f>IFERROR(VLOOKUP(B63,'MASTER DATA'!$A$1:$E$212,5,FALSE),"")</f>
        <v/>
      </c>
      <c r="E63" s="17"/>
      <c r="F63" s="17" t="str">
        <f>IFERROR(VLOOKUP(B63,'MASTER DATA'!$A$1:$E$212,4,FALSE),"")</f>
        <v/>
      </c>
      <c r="G63" s="17"/>
      <c r="H63" s="17"/>
      <c r="I63" s="17"/>
      <c r="J63" s="17" t="b">
        <v>0</v>
      </c>
    </row>
    <row r="64">
      <c r="A64" s="17"/>
      <c r="B64" s="17"/>
      <c r="C64" s="17" t="str">
        <f>IFERROR(VLOOKUP(B64,'MASTER DATA'!$A$1:$E$212,2,FALSE),"")</f>
        <v/>
      </c>
      <c r="D64" s="17" t="str">
        <f>IFERROR(VLOOKUP(B64,'MASTER DATA'!$A$1:$E$212,5,FALSE),"")</f>
        <v/>
      </c>
      <c r="E64" s="17"/>
      <c r="F64" s="17" t="str">
        <f>IFERROR(VLOOKUP(B64,'MASTER DATA'!$A$1:$E$212,4,FALSE),"")</f>
        <v/>
      </c>
      <c r="G64" s="17"/>
      <c r="H64" s="17"/>
      <c r="I64" s="17"/>
      <c r="J64" s="17" t="b">
        <v>0</v>
      </c>
    </row>
    <row r="65">
      <c r="A65" s="17"/>
      <c r="B65" s="17"/>
      <c r="C65" s="17" t="str">
        <f>IFERROR(VLOOKUP(B65,'MASTER DATA'!$A$1:$E$212,2,FALSE),"")</f>
        <v/>
      </c>
      <c r="D65" s="17" t="str">
        <f>IFERROR(VLOOKUP(B65,'MASTER DATA'!$A$1:$E$212,5,FALSE),"")</f>
        <v/>
      </c>
      <c r="E65" s="17"/>
      <c r="F65" s="17" t="str">
        <f>IFERROR(VLOOKUP(B65,'MASTER DATA'!$A$1:$E$212,4,FALSE),"")</f>
        <v/>
      </c>
      <c r="G65" s="17"/>
      <c r="H65" s="17"/>
      <c r="I65" s="17"/>
      <c r="J65" s="17" t="b">
        <v>0</v>
      </c>
    </row>
    <row r="66">
      <c r="A66" s="17"/>
      <c r="B66" s="17"/>
      <c r="C66" s="17" t="str">
        <f>IFERROR(VLOOKUP(B66,'MASTER DATA'!$A$1:$E$212,2,FALSE),"")</f>
        <v/>
      </c>
      <c r="D66" s="17" t="str">
        <f>IFERROR(VLOOKUP(B66,'MASTER DATA'!$A$1:$E$212,5,FALSE),"")</f>
        <v/>
      </c>
      <c r="E66" s="17"/>
      <c r="F66" s="17" t="str">
        <f>IFERROR(VLOOKUP(B66,'MASTER DATA'!$A$1:$E$212,4,FALSE),"")</f>
        <v/>
      </c>
      <c r="G66" s="17"/>
      <c r="H66" s="17"/>
      <c r="I66" s="17"/>
      <c r="J66" s="17" t="b">
        <v>0</v>
      </c>
    </row>
    <row r="67">
      <c r="A67" s="17"/>
      <c r="B67" s="17"/>
      <c r="C67" s="17" t="str">
        <f>IFERROR(VLOOKUP(B67,'MASTER DATA'!$A$1:$E$212,2,FALSE),"")</f>
        <v/>
      </c>
      <c r="D67" s="17" t="str">
        <f>IFERROR(VLOOKUP(B67,'MASTER DATA'!$A$1:$E$212,5,FALSE),"")</f>
        <v/>
      </c>
      <c r="E67" s="17"/>
      <c r="F67" s="17" t="str">
        <f>IFERROR(VLOOKUP(B67,'MASTER DATA'!$A$1:$E$212,4,FALSE),"")</f>
        <v/>
      </c>
      <c r="G67" s="17"/>
      <c r="H67" s="17"/>
      <c r="I67" s="17"/>
      <c r="J67" s="17" t="b">
        <v>0</v>
      </c>
    </row>
    <row r="68">
      <c r="A68" s="17"/>
      <c r="B68" s="17"/>
      <c r="C68" s="17" t="str">
        <f>IFERROR(VLOOKUP(B68,'MASTER DATA'!$A$1:$E$212,2,FALSE),"")</f>
        <v/>
      </c>
      <c r="D68" s="17" t="str">
        <f>IFERROR(VLOOKUP(B68,'MASTER DATA'!$A$1:$E$212,5,FALSE),"")</f>
        <v/>
      </c>
      <c r="E68" s="17"/>
      <c r="F68" s="17" t="str">
        <f>IFERROR(VLOOKUP(B68,'MASTER DATA'!$A$1:$E$212,4,FALSE),"")</f>
        <v/>
      </c>
      <c r="G68" s="17"/>
      <c r="H68" s="17"/>
      <c r="I68" s="17"/>
      <c r="J68" s="17" t="b">
        <v>0</v>
      </c>
    </row>
    <row r="69">
      <c r="A69" s="17"/>
      <c r="B69" s="17"/>
      <c r="C69" s="17" t="str">
        <f>IFERROR(VLOOKUP(B69,'MASTER DATA'!$A$1:$E$212,2,FALSE),"")</f>
        <v/>
      </c>
      <c r="D69" s="17" t="str">
        <f>IFERROR(VLOOKUP(B69,'MASTER DATA'!$A$1:$E$212,5,FALSE),"")</f>
        <v/>
      </c>
      <c r="E69" s="17"/>
      <c r="F69" s="17" t="str">
        <f>IFERROR(VLOOKUP(B69,'MASTER DATA'!$A$1:$E$212,4,FALSE),"")</f>
        <v/>
      </c>
      <c r="G69" s="17"/>
      <c r="H69" s="17"/>
      <c r="I69" s="17"/>
      <c r="J69" s="17" t="b">
        <v>0</v>
      </c>
    </row>
    <row r="70">
      <c r="A70" s="17"/>
      <c r="B70" s="17"/>
      <c r="C70" s="17" t="str">
        <f>IFERROR(VLOOKUP(B70,'MASTER DATA'!$A$1:$E$212,2,FALSE),"")</f>
        <v/>
      </c>
      <c r="D70" s="17" t="str">
        <f>IFERROR(VLOOKUP(B70,'MASTER DATA'!$A$1:$E$212,5,FALSE),"")</f>
        <v/>
      </c>
      <c r="E70" s="17"/>
      <c r="F70" s="17" t="str">
        <f>IFERROR(VLOOKUP(B70,'MASTER DATA'!$A$1:$E$212,4,FALSE),"")</f>
        <v/>
      </c>
      <c r="G70" s="17"/>
      <c r="H70" s="17"/>
      <c r="I70" s="17"/>
      <c r="J70" s="17" t="b">
        <v>0</v>
      </c>
    </row>
    <row r="71">
      <c r="A71" s="17"/>
      <c r="B71" s="17"/>
      <c r="C71" s="17" t="str">
        <f>IFERROR(VLOOKUP(B71,'MASTER DATA'!$A$1:$E$212,2,FALSE),"")</f>
        <v/>
      </c>
      <c r="D71" s="17" t="str">
        <f>IFERROR(VLOOKUP(B71,'MASTER DATA'!$A$1:$E$212,5,FALSE),"")</f>
        <v/>
      </c>
      <c r="E71" s="17"/>
      <c r="F71" s="17" t="str">
        <f>IFERROR(VLOOKUP(B71,'MASTER DATA'!$A$1:$E$212,4,FALSE),"")</f>
        <v/>
      </c>
      <c r="G71" s="17"/>
      <c r="H71" s="17"/>
      <c r="I71" s="17"/>
      <c r="J71" s="17" t="b">
        <v>0</v>
      </c>
    </row>
    <row r="72">
      <c r="A72" s="17"/>
      <c r="B72" s="17"/>
      <c r="C72" s="17" t="str">
        <f>IFERROR(VLOOKUP(B72,'MASTER DATA'!$A$1:$E$212,2,FALSE),"")</f>
        <v/>
      </c>
      <c r="D72" s="17" t="str">
        <f>IFERROR(VLOOKUP(B72,'MASTER DATA'!$A$1:$E$212,5,FALSE),"")</f>
        <v/>
      </c>
      <c r="E72" s="17"/>
      <c r="F72" s="17" t="str">
        <f>IFERROR(VLOOKUP(B72,'MASTER DATA'!$A$1:$E$212,4,FALSE),"")</f>
        <v/>
      </c>
      <c r="G72" s="17"/>
      <c r="H72" s="17"/>
      <c r="I72" s="17"/>
      <c r="J72" s="17" t="b">
        <v>0</v>
      </c>
    </row>
    <row r="73">
      <c r="A73" s="17"/>
      <c r="B73" s="17"/>
      <c r="C73" s="17" t="str">
        <f>IFERROR(VLOOKUP(B73,'MASTER DATA'!$A$1:$E$212,2,FALSE),"")</f>
        <v/>
      </c>
      <c r="D73" s="17" t="str">
        <f>IFERROR(VLOOKUP(B73,'MASTER DATA'!$A$1:$E$212,5,FALSE),"")</f>
        <v/>
      </c>
      <c r="E73" s="17"/>
      <c r="F73" s="17" t="str">
        <f>IFERROR(VLOOKUP(B73,'MASTER DATA'!$A$1:$E$212,4,FALSE),"")</f>
        <v/>
      </c>
      <c r="G73" s="17"/>
      <c r="H73" s="17"/>
      <c r="I73" s="17"/>
      <c r="J73" s="17" t="b">
        <v>0</v>
      </c>
    </row>
    <row r="74">
      <c r="A74" s="17"/>
      <c r="B74" s="17"/>
      <c r="C74" s="17" t="str">
        <f>IFERROR(VLOOKUP(B74,'MASTER DATA'!$A$1:$E$212,2,FALSE),"")</f>
        <v/>
      </c>
      <c r="D74" s="17" t="str">
        <f>IFERROR(VLOOKUP(B74,'MASTER DATA'!$A$1:$E$212,5,FALSE),"")</f>
        <v/>
      </c>
      <c r="E74" s="17"/>
      <c r="F74" s="17" t="str">
        <f>IFERROR(VLOOKUP(B74,'MASTER DATA'!$A$1:$E$212,4,FALSE),"")</f>
        <v/>
      </c>
      <c r="G74" s="17"/>
      <c r="H74" s="17"/>
      <c r="I74" s="17"/>
      <c r="J74" s="17" t="b">
        <v>0</v>
      </c>
    </row>
    <row r="75">
      <c r="A75" s="17"/>
      <c r="B75" s="17"/>
      <c r="C75" s="17" t="str">
        <f>IFERROR(VLOOKUP(B75,'MASTER DATA'!$A$1:$E$212,2,FALSE),"")</f>
        <v/>
      </c>
      <c r="D75" s="17" t="str">
        <f>IFERROR(VLOOKUP(B75,'MASTER DATA'!$A$1:$E$212,5,FALSE),"")</f>
        <v/>
      </c>
      <c r="E75" s="17"/>
      <c r="F75" s="17" t="str">
        <f>IFERROR(VLOOKUP(B75,'MASTER DATA'!$A$1:$E$212,4,FALSE),"")</f>
        <v/>
      </c>
      <c r="G75" s="17"/>
      <c r="H75" s="17"/>
      <c r="I75" s="17"/>
      <c r="J75" s="17" t="b">
        <v>0</v>
      </c>
    </row>
    <row r="76">
      <c r="A76" s="17"/>
      <c r="B76" s="17"/>
      <c r="C76" s="17" t="str">
        <f>IFERROR(VLOOKUP(B76,'MASTER DATA'!$A$1:$E$212,2,FALSE),"")</f>
        <v/>
      </c>
      <c r="D76" s="17" t="str">
        <f>IFERROR(VLOOKUP(B76,'MASTER DATA'!$A$1:$E$212,5,FALSE),"")</f>
        <v/>
      </c>
      <c r="E76" s="17"/>
      <c r="F76" s="17" t="str">
        <f>IFERROR(VLOOKUP(B76,'MASTER DATA'!$A$1:$E$212,4,FALSE),"")</f>
        <v/>
      </c>
      <c r="G76" s="17"/>
      <c r="H76" s="17"/>
      <c r="I76" s="17"/>
      <c r="J76" s="17" t="b">
        <v>0</v>
      </c>
    </row>
    <row r="77">
      <c r="A77" s="17"/>
      <c r="B77" s="17"/>
      <c r="C77" s="17" t="str">
        <f>IFERROR(VLOOKUP(B77,'MASTER DATA'!$A$1:$E$212,2,FALSE),"")</f>
        <v/>
      </c>
      <c r="D77" s="17" t="str">
        <f>IFERROR(VLOOKUP(B77,'MASTER DATA'!$A$1:$E$212,5,FALSE),"")</f>
        <v/>
      </c>
      <c r="E77" s="17"/>
      <c r="F77" s="17" t="str">
        <f>IFERROR(VLOOKUP(B77,'MASTER DATA'!$A$1:$E$212,4,FALSE),"")</f>
        <v/>
      </c>
      <c r="G77" s="17"/>
      <c r="H77" s="17"/>
      <c r="I77" s="17"/>
      <c r="J77" s="17" t="b">
        <v>0</v>
      </c>
    </row>
    <row r="78">
      <c r="A78" s="17"/>
      <c r="B78" s="17"/>
      <c r="C78" s="17" t="str">
        <f>IFERROR(VLOOKUP(B78,'MASTER DATA'!$A$1:$E$212,2,FALSE),"")</f>
        <v/>
      </c>
      <c r="D78" s="17" t="str">
        <f>IFERROR(VLOOKUP(B78,'MASTER DATA'!$A$1:$E$212,5,FALSE),"")</f>
        <v/>
      </c>
      <c r="E78" s="17"/>
      <c r="F78" s="17" t="str">
        <f>IFERROR(VLOOKUP(B78,'MASTER DATA'!$A$1:$E$212,4,FALSE),"")</f>
        <v/>
      </c>
      <c r="G78" s="17"/>
      <c r="H78" s="17"/>
      <c r="I78" s="17"/>
      <c r="J78" s="17" t="b">
        <v>0</v>
      </c>
    </row>
    <row r="79">
      <c r="A79" s="17"/>
      <c r="B79" s="17"/>
      <c r="C79" s="17" t="str">
        <f>IFERROR(VLOOKUP(B79,'MASTER DATA'!$A$1:$E$212,2,FALSE),"")</f>
        <v/>
      </c>
      <c r="D79" s="17" t="str">
        <f>IFERROR(VLOOKUP(B79,'MASTER DATA'!$A$1:$E$212,5,FALSE),"")</f>
        <v/>
      </c>
      <c r="E79" s="17"/>
      <c r="F79" s="17" t="str">
        <f>IFERROR(VLOOKUP(B79,'MASTER DATA'!$A$1:$E$212,4,FALSE),"")</f>
        <v/>
      </c>
      <c r="G79" s="17"/>
      <c r="H79" s="17"/>
      <c r="I79" s="17"/>
      <c r="J79" s="17" t="b">
        <v>0</v>
      </c>
    </row>
    <row r="80">
      <c r="A80" s="17"/>
      <c r="B80" s="17"/>
      <c r="C80" s="17" t="str">
        <f>IFERROR(VLOOKUP(B80,'MASTER DATA'!$A$1:$E$212,2,FALSE),"")</f>
        <v/>
      </c>
      <c r="D80" s="17" t="str">
        <f>IFERROR(VLOOKUP(B80,'MASTER DATA'!$A$1:$E$212,5,FALSE),"")</f>
        <v/>
      </c>
      <c r="E80" s="17"/>
      <c r="F80" s="17" t="str">
        <f>IFERROR(VLOOKUP(B80,'MASTER DATA'!$A$1:$E$212,4,FALSE),"")</f>
        <v/>
      </c>
      <c r="G80" s="17"/>
      <c r="H80" s="17"/>
      <c r="I80" s="17"/>
      <c r="J80" s="17" t="b">
        <v>0</v>
      </c>
    </row>
    <row r="81">
      <c r="A81" s="17"/>
      <c r="B81" s="17"/>
      <c r="C81" s="17" t="str">
        <f>IFERROR(VLOOKUP(B81,'MASTER DATA'!$A$1:$E$212,2,FALSE),"")</f>
        <v/>
      </c>
      <c r="D81" s="17" t="str">
        <f>IFERROR(VLOOKUP(B81,'MASTER DATA'!$A$1:$E$212,5,FALSE),"")</f>
        <v/>
      </c>
      <c r="E81" s="17"/>
      <c r="F81" s="17" t="str">
        <f>IFERROR(VLOOKUP(B81,'MASTER DATA'!$A$1:$E$212,4,FALSE),"")</f>
        <v/>
      </c>
      <c r="G81" s="17"/>
      <c r="H81" s="17"/>
      <c r="I81" s="17"/>
      <c r="J81" s="17" t="b">
        <v>0</v>
      </c>
    </row>
    <row r="82">
      <c r="A82" s="17"/>
      <c r="B82" s="17"/>
      <c r="C82" s="17" t="str">
        <f>IFERROR(VLOOKUP(B82,'MASTER DATA'!$A$1:$E$212,2,FALSE),"")</f>
        <v/>
      </c>
      <c r="D82" s="17" t="str">
        <f>IFERROR(VLOOKUP(B82,'MASTER DATA'!$A$1:$E$212,5,FALSE),"")</f>
        <v/>
      </c>
      <c r="E82" s="17"/>
      <c r="F82" s="17" t="str">
        <f>IFERROR(VLOOKUP(B82,'MASTER DATA'!$A$1:$E$212,4,FALSE),"")</f>
        <v/>
      </c>
      <c r="G82" s="17"/>
      <c r="H82" s="17"/>
      <c r="I82" s="17"/>
      <c r="J82" s="17" t="b">
        <v>0</v>
      </c>
    </row>
    <row r="83">
      <c r="A83" s="17"/>
      <c r="B83" s="17"/>
      <c r="C83" s="17" t="str">
        <f>IFERROR(VLOOKUP(B83,'MASTER DATA'!$A$1:$E$212,2,FALSE),"")</f>
        <v/>
      </c>
      <c r="D83" s="17" t="str">
        <f>IFERROR(VLOOKUP(B83,'MASTER DATA'!$A$1:$E$212,5,FALSE),"")</f>
        <v/>
      </c>
      <c r="E83" s="17"/>
      <c r="F83" s="17" t="str">
        <f>IFERROR(VLOOKUP(B83,'MASTER DATA'!$A$1:$E$212,4,FALSE),"")</f>
        <v/>
      </c>
      <c r="G83" s="17"/>
      <c r="H83" s="17"/>
      <c r="I83" s="17"/>
      <c r="J83" s="17" t="b">
        <v>0</v>
      </c>
    </row>
    <row r="84">
      <c r="A84" s="17"/>
      <c r="B84" s="17"/>
      <c r="C84" s="17" t="str">
        <f>IFERROR(VLOOKUP(B84,'MASTER DATA'!$A$1:$E$212,2,FALSE),"")</f>
        <v/>
      </c>
      <c r="D84" s="17" t="str">
        <f>IFERROR(VLOOKUP(B84,'MASTER DATA'!$A$1:$E$212,5,FALSE),"")</f>
        <v/>
      </c>
      <c r="E84" s="17"/>
      <c r="F84" s="17" t="str">
        <f>IFERROR(VLOOKUP(B84,'MASTER DATA'!$A$1:$E$212,4,FALSE),"")</f>
        <v/>
      </c>
      <c r="G84" s="17"/>
      <c r="H84" s="17"/>
      <c r="I84" s="17"/>
      <c r="J84" s="17" t="b">
        <v>0</v>
      </c>
    </row>
    <row r="85">
      <c r="A85" s="17"/>
      <c r="B85" s="17"/>
      <c r="C85" s="17" t="str">
        <f>IFERROR(VLOOKUP(B85,'MASTER DATA'!$A$1:$E$212,2,FALSE),"")</f>
        <v/>
      </c>
      <c r="D85" s="17" t="str">
        <f>IFERROR(VLOOKUP(B85,'MASTER DATA'!$A$1:$E$212,5,FALSE),"")</f>
        <v/>
      </c>
      <c r="E85" s="17"/>
      <c r="F85" s="17" t="str">
        <f>IFERROR(VLOOKUP(B85,'MASTER DATA'!$A$1:$E$212,4,FALSE),"")</f>
        <v/>
      </c>
      <c r="G85" s="17"/>
      <c r="H85" s="17"/>
      <c r="I85" s="17"/>
      <c r="J85" s="17" t="b">
        <v>0</v>
      </c>
    </row>
    <row r="86">
      <c r="A86" s="17"/>
      <c r="B86" s="17"/>
      <c r="C86" s="17" t="str">
        <f>IFERROR(VLOOKUP(B86,'MASTER DATA'!$A$1:$E$212,2,FALSE),"")</f>
        <v/>
      </c>
      <c r="D86" s="17" t="str">
        <f>IFERROR(VLOOKUP(B86,'MASTER DATA'!$A$1:$E$212,5,FALSE),"")</f>
        <v/>
      </c>
      <c r="E86" s="17"/>
      <c r="F86" s="17" t="str">
        <f>IFERROR(VLOOKUP(B86,'MASTER DATA'!$A$1:$E$212,4,FALSE),"")</f>
        <v/>
      </c>
      <c r="G86" s="17"/>
      <c r="H86" s="17"/>
      <c r="I86" s="17"/>
      <c r="J86" s="17" t="b">
        <v>0</v>
      </c>
    </row>
    <row r="87">
      <c r="A87" s="17"/>
      <c r="B87" s="17"/>
      <c r="C87" s="17" t="str">
        <f>IFERROR(VLOOKUP(B87,'MASTER DATA'!$A$1:$E$212,2,FALSE),"")</f>
        <v/>
      </c>
      <c r="D87" s="17" t="str">
        <f>IFERROR(VLOOKUP(B87,'MASTER DATA'!$A$1:$E$212,5,FALSE),"")</f>
        <v/>
      </c>
      <c r="E87" s="17"/>
      <c r="F87" s="17" t="str">
        <f>IFERROR(VLOOKUP(B87,'MASTER DATA'!$A$1:$E$212,4,FALSE),"")</f>
        <v/>
      </c>
      <c r="G87" s="17"/>
      <c r="H87" s="17"/>
      <c r="I87" s="17"/>
      <c r="J87" s="17" t="b">
        <v>0</v>
      </c>
    </row>
    <row r="88">
      <c r="A88" s="17"/>
      <c r="B88" s="17"/>
      <c r="C88" s="17" t="str">
        <f>IFERROR(VLOOKUP(B88,'MASTER DATA'!$A$1:$E$212,2,FALSE),"")</f>
        <v/>
      </c>
      <c r="D88" s="17" t="str">
        <f>IFERROR(VLOOKUP(B88,'MASTER DATA'!$A$1:$E$212,5,FALSE),"")</f>
        <v/>
      </c>
      <c r="E88" s="17"/>
      <c r="F88" s="17" t="str">
        <f>IFERROR(VLOOKUP(B88,'MASTER DATA'!$A$1:$E$212,4,FALSE),"")</f>
        <v/>
      </c>
      <c r="G88" s="17"/>
      <c r="H88" s="17"/>
      <c r="I88" s="17"/>
      <c r="J88" s="17" t="b">
        <v>0</v>
      </c>
    </row>
    <row r="89">
      <c r="A89" s="17"/>
      <c r="B89" s="17"/>
      <c r="C89" s="17" t="str">
        <f>IFERROR(VLOOKUP(B89,'MASTER DATA'!$A$1:$E$212,2,FALSE),"")</f>
        <v/>
      </c>
      <c r="D89" s="17" t="str">
        <f>IFERROR(VLOOKUP(B89,'MASTER DATA'!$A$1:$E$212,5,FALSE),"")</f>
        <v/>
      </c>
      <c r="E89" s="17"/>
      <c r="F89" s="17" t="str">
        <f>IFERROR(VLOOKUP(B89,'MASTER DATA'!$A$1:$E$212,4,FALSE),"")</f>
        <v/>
      </c>
      <c r="G89" s="17"/>
      <c r="H89" s="17"/>
      <c r="I89" s="17"/>
      <c r="J89" s="17" t="b">
        <v>0</v>
      </c>
    </row>
    <row r="90">
      <c r="A90" s="17"/>
      <c r="B90" s="17"/>
      <c r="C90" s="17" t="str">
        <f>IFERROR(VLOOKUP(B90,'MASTER DATA'!$A$1:$E$212,2,FALSE),"")</f>
        <v/>
      </c>
      <c r="D90" s="17" t="str">
        <f>IFERROR(VLOOKUP(B90,'MASTER DATA'!$A$1:$E$212,5,FALSE),"")</f>
        <v/>
      </c>
      <c r="E90" s="17"/>
      <c r="F90" s="17" t="str">
        <f>IFERROR(VLOOKUP(B90,'MASTER DATA'!$A$1:$E$212,4,FALSE),"")</f>
        <v/>
      </c>
      <c r="G90" s="17"/>
      <c r="H90" s="17"/>
      <c r="I90" s="17"/>
      <c r="J90" s="17" t="b">
        <v>0</v>
      </c>
    </row>
    <row r="91">
      <c r="A91" s="17"/>
      <c r="B91" s="17"/>
      <c r="C91" s="17" t="str">
        <f>IFERROR(VLOOKUP(B91,'MASTER DATA'!$A$1:$E$212,2,FALSE),"")</f>
        <v/>
      </c>
      <c r="D91" s="17" t="str">
        <f>IFERROR(VLOOKUP(B91,'MASTER DATA'!$A$1:$E$212,5,FALSE),"")</f>
        <v/>
      </c>
      <c r="E91" s="17"/>
      <c r="F91" s="17" t="str">
        <f>IFERROR(VLOOKUP(B91,'MASTER DATA'!$A$1:$E$212,4,FALSE),"")</f>
        <v/>
      </c>
      <c r="G91" s="17"/>
      <c r="H91" s="17"/>
      <c r="I91" s="17"/>
      <c r="J91" s="17" t="b">
        <v>0</v>
      </c>
    </row>
    <row r="92">
      <c r="A92" s="17"/>
      <c r="B92" s="17"/>
      <c r="C92" s="17" t="str">
        <f>IFERROR(VLOOKUP(B92,'MASTER DATA'!$A$1:$E$212,2,FALSE),"")</f>
        <v/>
      </c>
      <c r="D92" s="17" t="str">
        <f>IFERROR(VLOOKUP(B92,'MASTER DATA'!$A$1:$E$212,5,FALSE),"")</f>
        <v/>
      </c>
      <c r="E92" s="17"/>
      <c r="F92" s="17" t="str">
        <f>IFERROR(VLOOKUP(B92,'MASTER DATA'!$A$1:$E$212,4,FALSE),"")</f>
        <v/>
      </c>
      <c r="G92" s="17"/>
      <c r="H92" s="17"/>
      <c r="I92" s="17"/>
      <c r="J92" s="17" t="b">
        <v>0</v>
      </c>
    </row>
    <row r="93">
      <c r="A93" s="17"/>
      <c r="B93" s="17"/>
      <c r="C93" s="17" t="str">
        <f>IFERROR(VLOOKUP(B93,'MASTER DATA'!$A$1:$E$212,2,FALSE),"")</f>
        <v/>
      </c>
      <c r="D93" s="17" t="str">
        <f>IFERROR(VLOOKUP(B93,'MASTER DATA'!$A$1:$E$212,5,FALSE),"")</f>
        <v/>
      </c>
      <c r="E93" s="17"/>
      <c r="F93" s="17" t="str">
        <f>IFERROR(VLOOKUP(B93,'MASTER DATA'!$A$1:$E$212,4,FALSE),"")</f>
        <v/>
      </c>
      <c r="G93" s="17"/>
      <c r="H93" s="17"/>
      <c r="I93" s="17"/>
      <c r="J93" s="17" t="b">
        <v>0</v>
      </c>
    </row>
    <row r="94">
      <c r="A94" s="17"/>
      <c r="B94" s="17"/>
      <c r="C94" s="17" t="str">
        <f>IFERROR(VLOOKUP(B94,'MASTER DATA'!$A$1:$E$212,2,FALSE),"")</f>
        <v/>
      </c>
      <c r="D94" s="17" t="str">
        <f>IFERROR(VLOOKUP(B94,'MASTER DATA'!$A$1:$E$212,5,FALSE),"")</f>
        <v/>
      </c>
      <c r="E94" s="17"/>
      <c r="F94" s="17" t="str">
        <f>IFERROR(VLOOKUP(B94,'MASTER DATA'!$A$1:$E$212,4,FALSE),"")</f>
        <v/>
      </c>
      <c r="G94" s="17"/>
      <c r="H94" s="17"/>
      <c r="I94" s="17"/>
      <c r="J94" s="17" t="b">
        <v>0</v>
      </c>
    </row>
    <row r="95">
      <c r="A95" s="17"/>
      <c r="B95" s="17"/>
      <c r="C95" s="17" t="str">
        <f>IFERROR(VLOOKUP(B95,'MASTER DATA'!$A$1:$E$212,2,FALSE),"")</f>
        <v/>
      </c>
      <c r="D95" s="17" t="str">
        <f>IFERROR(VLOOKUP(B95,'MASTER DATA'!$A$1:$E$212,5,FALSE),"")</f>
        <v/>
      </c>
      <c r="E95" s="17"/>
      <c r="F95" s="17" t="str">
        <f>IFERROR(VLOOKUP(B95,'MASTER DATA'!$A$1:$E$212,4,FALSE),"")</f>
        <v/>
      </c>
      <c r="G95" s="17"/>
      <c r="H95" s="17"/>
      <c r="I95" s="17"/>
      <c r="J95" s="17" t="b">
        <v>0</v>
      </c>
    </row>
    <row r="96">
      <c r="A96" s="17"/>
      <c r="B96" s="17"/>
      <c r="C96" s="17" t="str">
        <f>IFERROR(VLOOKUP(B96,'MASTER DATA'!$A$1:$E$212,2,FALSE),"")</f>
        <v/>
      </c>
      <c r="D96" s="17" t="str">
        <f>IFERROR(VLOOKUP(B96,'MASTER DATA'!$A$1:$E$212,5,FALSE),"")</f>
        <v/>
      </c>
      <c r="E96" s="17"/>
      <c r="F96" s="17" t="str">
        <f>IFERROR(VLOOKUP(B96,'MASTER DATA'!$A$1:$E$212,4,FALSE),"")</f>
        <v/>
      </c>
      <c r="G96" s="17"/>
      <c r="H96" s="17"/>
      <c r="I96" s="17"/>
      <c r="J96" s="17" t="b">
        <v>0</v>
      </c>
    </row>
    <row r="97">
      <c r="A97" s="17"/>
      <c r="B97" s="17"/>
      <c r="C97" s="17" t="str">
        <f>IFERROR(VLOOKUP(B97,'MASTER DATA'!$A$1:$E$212,2,FALSE),"")</f>
        <v/>
      </c>
      <c r="D97" s="17" t="str">
        <f>IFERROR(VLOOKUP(B97,'MASTER DATA'!$A$1:$E$212,5,FALSE),"")</f>
        <v/>
      </c>
      <c r="E97" s="17"/>
      <c r="F97" s="17" t="str">
        <f>IFERROR(VLOOKUP(B97,'MASTER DATA'!$A$1:$E$212,4,FALSE),"")</f>
        <v/>
      </c>
      <c r="G97" s="17"/>
      <c r="H97" s="17"/>
      <c r="I97" s="17"/>
      <c r="J97" s="17" t="b">
        <v>0</v>
      </c>
    </row>
    <row r="98">
      <c r="A98" s="17"/>
      <c r="B98" s="17"/>
      <c r="C98" s="17" t="str">
        <f>IFERROR(VLOOKUP(B98,'MASTER DATA'!$A$1:$E$212,2,FALSE),"")</f>
        <v/>
      </c>
      <c r="D98" s="17" t="str">
        <f>IFERROR(VLOOKUP(B98,'MASTER DATA'!$A$1:$E$212,5,FALSE),"")</f>
        <v/>
      </c>
      <c r="E98" s="17"/>
      <c r="F98" s="17" t="str">
        <f>IFERROR(VLOOKUP(B98,'MASTER DATA'!$A$1:$E$212,4,FALSE),"")</f>
        <v/>
      </c>
      <c r="G98" s="17"/>
      <c r="H98" s="17"/>
      <c r="I98" s="17"/>
      <c r="J98" s="17" t="b">
        <v>0</v>
      </c>
    </row>
    <row r="99">
      <c r="A99" s="17"/>
      <c r="B99" s="17"/>
      <c r="C99" s="17" t="str">
        <f>IFERROR(VLOOKUP(B99,'MASTER DATA'!$A$1:$E$212,2,FALSE),"")</f>
        <v/>
      </c>
      <c r="D99" s="17" t="str">
        <f>IFERROR(VLOOKUP(B99,'MASTER DATA'!$A$1:$E$212,5,FALSE),"")</f>
        <v/>
      </c>
      <c r="E99" s="17"/>
      <c r="F99" s="17" t="str">
        <f>IFERROR(VLOOKUP(B99,'MASTER DATA'!$A$1:$E$212,4,FALSE),"")</f>
        <v/>
      </c>
      <c r="G99" s="17"/>
      <c r="H99" s="17"/>
      <c r="I99" s="17"/>
      <c r="J99" s="17" t="b">
        <v>0</v>
      </c>
    </row>
    <row r="100">
      <c r="A100" s="17"/>
      <c r="B100" s="17"/>
      <c r="C100" s="17" t="str">
        <f>IFERROR(VLOOKUP(B100,'MASTER DATA'!$A$1:$E$212,2,FALSE),"")</f>
        <v/>
      </c>
      <c r="D100" s="17" t="str">
        <f>IFERROR(VLOOKUP(B100,'MASTER DATA'!$A$1:$E$212,5,FALSE),"")</f>
        <v/>
      </c>
      <c r="E100" s="17"/>
      <c r="F100" s="17" t="str">
        <f>IFERROR(VLOOKUP(B100,'MASTER DATA'!$A$1:$E$212,4,FALSE),"")</f>
        <v/>
      </c>
      <c r="G100" s="17"/>
      <c r="H100" s="17"/>
      <c r="I100" s="17"/>
      <c r="J100" s="17" t="b">
        <v>0</v>
      </c>
    </row>
    <row r="101">
      <c r="A101" s="17"/>
      <c r="B101" s="17"/>
      <c r="C101" s="17" t="str">
        <f>IFERROR(VLOOKUP(B101,'MASTER DATA'!$A$1:$E$212,2,FALSE),"")</f>
        <v/>
      </c>
      <c r="D101" s="17" t="str">
        <f>IFERROR(VLOOKUP(B101,'MASTER DATA'!$A$1:$E$212,5,FALSE),"")</f>
        <v/>
      </c>
      <c r="E101" s="17"/>
      <c r="F101" s="17" t="str">
        <f>IFERROR(VLOOKUP(B101,'MASTER DATA'!$A$1:$E$212,4,FALSE),"")</f>
        <v/>
      </c>
      <c r="G101" s="17"/>
      <c r="H101" s="17"/>
      <c r="I101" s="17"/>
      <c r="J101" s="17" t="b">
        <v>0</v>
      </c>
    </row>
    <row r="102">
      <c r="A102" s="17"/>
      <c r="B102" s="17"/>
      <c r="C102" s="17" t="str">
        <f>IFERROR(VLOOKUP(B102,'MASTER DATA'!$A$1:$E$212,2,FALSE),"")</f>
        <v/>
      </c>
      <c r="D102" s="17" t="str">
        <f>IFERROR(VLOOKUP(B102,'MASTER DATA'!$A$1:$E$212,5,FALSE),"")</f>
        <v/>
      </c>
      <c r="E102" s="17"/>
      <c r="F102" s="17" t="str">
        <f>IFERROR(VLOOKUP(B102,'MASTER DATA'!$A$1:$E$212,4,FALSE),"")</f>
        <v/>
      </c>
      <c r="G102" s="17"/>
      <c r="H102" s="17"/>
      <c r="I102" s="17"/>
      <c r="J102" s="17" t="b">
        <v>0</v>
      </c>
    </row>
    <row r="103">
      <c r="A103" s="17"/>
      <c r="B103" s="17"/>
      <c r="C103" s="17" t="str">
        <f>IFERROR(VLOOKUP(B103,'MASTER DATA'!$A$1:$E$212,2,FALSE),"")</f>
        <v/>
      </c>
      <c r="D103" s="17" t="str">
        <f>IFERROR(VLOOKUP(B103,'MASTER DATA'!$A$1:$E$212,5,FALSE),"")</f>
        <v/>
      </c>
      <c r="E103" s="17"/>
      <c r="F103" s="17" t="str">
        <f>IFERROR(VLOOKUP(B103,'MASTER DATA'!$A$1:$E$212,4,FALSE),"")</f>
        <v/>
      </c>
      <c r="G103" s="17"/>
      <c r="H103" s="17"/>
      <c r="I103" s="17"/>
      <c r="J103" s="17" t="b">
        <v>0</v>
      </c>
    </row>
    <row r="104">
      <c r="A104" s="17"/>
      <c r="B104" s="17"/>
      <c r="C104" s="17" t="str">
        <f>IFERROR(VLOOKUP(B104,'MASTER DATA'!$A$1:$E$212,2,FALSE),"")</f>
        <v/>
      </c>
      <c r="D104" s="17" t="str">
        <f>IFERROR(VLOOKUP(B104,'MASTER DATA'!$A$1:$E$212,5,FALSE),"")</f>
        <v/>
      </c>
      <c r="E104" s="17"/>
      <c r="F104" s="17" t="str">
        <f>IFERROR(VLOOKUP(B104,'MASTER DATA'!$A$1:$E$212,4,FALSE),"")</f>
        <v/>
      </c>
      <c r="G104" s="17"/>
      <c r="H104" s="17"/>
      <c r="I104" s="17"/>
      <c r="J104" s="17" t="b">
        <v>0</v>
      </c>
    </row>
    <row r="105">
      <c r="A105" s="17"/>
      <c r="B105" s="17"/>
      <c r="C105" s="17" t="str">
        <f>IFERROR(VLOOKUP(B105,'MASTER DATA'!$A$1:$E$212,2,FALSE),"")</f>
        <v/>
      </c>
      <c r="D105" s="17" t="str">
        <f>IFERROR(VLOOKUP(B105,'MASTER DATA'!$A$1:$E$212,5,FALSE),"")</f>
        <v/>
      </c>
      <c r="E105" s="17"/>
      <c r="F105" s="17" t="str">
        <f>IFERROR(VLOOKUP(B105,'MASTER DATA'!$A$1:$E$212,4,FALSE),"")</f>
        <v/>
      </c>
      <c r="G105" s="17"/>
      <c r="H105" s="17"/>
      <c r="I105" s="17"/>
      <c r="J105" s="17" t="b">
        <v>0</v>
      </c>
    </row>
    <row r="106">
      <c r="A106" s="17"/>
      <c r="B106" s="17"/>
      <c r="C106" s="17" t="str">
        <f>IFERROR(VLOOKUP(B106,'MASTER DATA'!$A$1:$E$212,2,FALSE),"")</f>
        <v/>
      </c>
      <c r="D106" s="17" t="str">
        <f>IFERROR(VLOOKUP(B106,'MASTER DATA'!$A$1:$E$212,5,FALSE),"")</f>
        <v/>
      </c>
      <c r="E106" s="17"/>
      <c r="F106" s="17" t="str">
        <f>IFERROR(VLOOKUP(B106,'MASTER DATA'!$A$1:$E$212,4,FALSE),"")</f>
        <v/>
      </c>
      <c r="G106" s="17"/>
      <c r="H106" s="17"/>
      <c r="I106" s="17"/>
      <c r="J106" s="17" t="b">
        <v>0</v>
      </c>
    </row>
    <row r="107">
      <c r="A107" s="17"/>
      <c r="B107" s="17"/>
      <c r="C107" s="17" t="str">
        <f>IFERROR(VLOOKUP(B107,'MASTER DATA'!$A$1:$E$212,2,FALSE),"")</f>
        <v/>
      </c>
      <c r="D107" s="17" t="str">
        <f>IFERROR(VLOOKUP(B107,'MASTER DATA'!$A$1:$E$212,5,FALSE),"")</f>
        <v/>
      </c>
      <c r="E107" s="17"/>
      <c r="F107" s="17" t="str">
        <f>IFERROR(VLOOKUP(B107,'MASTER DATA'!$A$1:$E$212,4,FALSE),"")</f>
        <v/>
      </c>
      <c r="G107" s="17"/>
      <c r="H107" s="17"/>
      <c r="I107" s="17"/>
      <c r="J107" s="17" t="b">
        <v>0</v>
      </c>
    </row>
    <row r="108">
      <c r="A108" s="17"/>
      <c r="B108" s="17"/>
      <c r="C108" s="17" t="str">
        <f>IFERROR(VLOOKUP(B108,'MASTER DATA'!$A$1:$E$212,2,FALSE),"")</f>
        <v/>
      </c>
      <c r="D108" s="17" t="str">
        <f>IFERROR(VLOOKUP(B108,'MASTER DATA'!$A$1:$E$212,5,FALSE),"")</f>
        <v/>
      </c>
      <c r="E108" s="17"/>
      <c r="F108" s="17" t="str">
        <f>IFERROR(VLOOKUP(B108,'MASTER DATA'!$A$1:$E$212,4,FALSE),"")</f>
        <v/>
      </c>
      <c r="G108" s="17"/>
      <c r="H108" s="17"/>
      <c r="I108" s="17"/>
      <c r="J108" s="17" t="b">
        <v>0</v>
      </c>
    </row>
    <row r="109">
      <c r="A109" s="17"/>
      <c r="B109" s="17"/>
      <c r="C109" s="17" t="str">
        <f>IFERROR(VLOOKUP(B109,'MASTER DATA'!$A$1:$E$212,2,FALSE),"")</f>
        <v/>
      </c>
      <c r="D109" s="17" t="str">
        <f>IFERROR(VLOOKUP(B109,'MASTER DATA'!$A$1:$E$212,5,FALSE),"")</f>
        <v/>
      </c>
      <c r="E109" s="17"/>
      <c r="F109" s="17" t="str">
        <f>IFERROR(VLOOKUP(B109,'MASTER DATA'!$A$1:$E$212,4,FALSE),"")</f>
        <v/>
      </c>
      <c r="G109" s="17"/>
      <c r="H109" s="17"/>
      <c r="I109" s="17"/>
      <c r="J109" s="17" t="b">
        <v>0</v>
      </c>
    </row>
    <row r="110">
      <c r="A110" s="17"/>
      <c r="B110" s="17"/>
      <c r="C110" s="17" t="str">
        <f>IFERROR(VLOOKUP(B110,'MASTER DATA'!$A$1:$E$212,2,FALSE),"")</f>
        <v/>
      </c>
      <c r="D110" s="17" t="str">
        <f>IFERROR(VLOOKUP(B110,'MASTER DATA'!$A$1:$E$212,5,FALSE),"")</f>
        <v/>
      </c>
      <c r="E110" s="17"/>
      <c r="F110" s="17" t="str">
        <f>IFERROR(VLOOKUP(B110,'MASTER DATA'!$A$1:$E$212,4,FALSE),"")</f>
        <v/>
      </c>
      <c r="G110" s="17"/>
      <c r="H110" s="17"/>
      <c r="I110" s="17"/>
      <c r="J110" s="17" t="b">
        <v>0</v>
      </c>
    </row>
    <row r="111">
      <c r="A111" s="17"/>
      <c r="B111" s="17"/>
      <c r="C111" s="17" t="str">
        <f>IFERROR(VLOOKUP(B111,'MASTER DATA'!$A$1:$E$212,2,FALSE),"")</f>
        <v/>
      </c>
      <c r="D111" s="17" t="str">
        <f>IFERROR(VLOOKUP(B111,'MASTER DATA'!$A$1:$E$212,5,FALSE),"")</f>
        <v/>
      </c>
      <c r="E111" s="17"/>
      <c r="F111" s="17" t="str">
        <f>IFERROR(VLOOKUP(B111,'MASTER DATA'!$A$1:$E$212,4,FALSE),"")</f>
        <v/>
      </c>
      <c r="G111" s="17"/>
      <c r="H111" s="17"/>
      <c r="I111" s="17"/>
      <c r="J111" s="17" t="b">
        <v>0</v>
      </c>
    </row>
    <row r="112">
      <c r="A112" s="17"/>
      <c r="B112" s="17"/>
      <c r="C112" s="17" t="str">
        <f>IFERROR(VLOOKUP(B112,'MASTER DATA'!$A$1:$E$212,2,FALSE),"")</f>
        <v/>
      </c>
      <c r="D112" s="17" t="str">
        <f>IFERROR(VLOOKUP(B112,'MASTER DATA'!$A$1:$E$212,5,FALSE),"")</f>
        <v/>
      </c>
      <c r="E112" s="17"/>
      <c r="F112" s="17" t="str">
        <f>IFERROR(VLOOKUP(B112,'MASTER DATA'!$A$1:$E$212,4,FALSE),"")</f>
        <v/>
      </c>
      <c r="G112" s="17"/>
      <c r="H112" s="17"/>
      <c r="I112" s="17"/>
      <c r="J112" s="17" t="b">
        <v>0</v>
      </c>
    </row>
    <row r="113">
      <c r="A113" s="17"/>
      <c r="B113" s="17"/>
      <c r="C113" s="17" t="str">
        <f>IFERROR(VLOOKUP(B113,'MASTER DATA'!$A$1:$E$212,2,FALSE),"")</f>
        <v/>
      </c>
      <c r="D113" s="17" t="str">
        <f>IFERROR(VLOOKUP(B113,'MASTER DATA'!$A$1:$E$212,5,FALSE),"")</f>
        <v/>
      </c>
      <c r="E113" s="17"/>
      <c r="F113" s="17" t="str">
        <f>IFERROR(VLOOKUP(B113,'MASTER DATA'!$A$1:$E$212,4,FALSE),"")</f>
        <v/>
      </c>
      <c r="G113" s="17"/>
      <c r="H113" s="17"/>
      <c r="I113" s="17"/>
      <c r="J113" s="17" t="b">
        <v>0</v>
      </c>
    </row>
    <row r="114">
      <c r="A114" s="17"/>
      <c r="B114" s="17"/>
      <c r="C114" s="17" t="str">
        <f>IFERROR(VLOOKUP(B114,'MASTER DATA'!$A$1:$E$212,2,FALSE),"")</f>
        <v/>
      </c>
      <c r="D114" s="17" t="str">
        <f>IFERROR(VLOOKUP(B114,'MASTER DATA'!$A$1:$E$212,5,FALSE),"")</f>
        <v/>
      </c>
      <c r="E114" s="17"/>
      <c r="F114" s="17" t="str">
        <f>IFERROR(VLOOKUP(B114,'MASTER DATA'!$A$1:$E$212,4,FALSE),"")</f>
        <v/>
      </c>
      <c r="G114" s="17"/>
      <c r="H114" s="17"/>
      <c r="I114" s="17"/>
      <c r="J114" s="17" t="b">
        <v>0</v>
      </c>
    </row>
    <row r="115">
      <c r="A115" s="17"/>
      <c r="B115" s="17"/>
      <c r="C115" s="17" t="str">
        <f>IFERROR(VLOOKUP(B115,'MASTER DATA'!$A$1:$E$212,2,FALSE),"")</f>
        <v/>
      </c>
      <c r="D115" s="17" t="str">
        <f>IFERROR(VLOOKUP(B115,'MASTER DATA'!$A$1:$E$212,5,FALSE),"")</f>
        <v/>
      </c>
      <c r="E115" s="17"/>
      <c r="F115" s="17" t="str">
        <f>IFERROR(VLOOKUP(B115,'MASTER DATA'!$A$1:$E$212,4,FALSE),"")</f>
        <v/>
      </c>
      <c r="G115" s="17"/>
      <c r="H115" s="17"/>
      <c r="I115" s="17"/>
      <c r="J115" s="17" t="b">
        <v>0</v>
      </c>
    </row>
    <row r="116">
      <c r="A116" s="17"/>
      <c r="B116" s="17"/>
      <c r="C116" s="17" t="str">
        <f>IFERROR(VLOOKUP(B116,'MASTER DATA'!$A$1:$E$212,2,FALSE),"")</f>
        <v/>
      </c>
      <c r="D116" s="17" t="str">
        <f>IFERROR(VLOOKUP(B116,'MASTER DATA'!$A$1:$E$212,5,FALSE),"")</f>
        <v/>
      </c>
      <c r="E116" s="17"/>
      <c r="F116" s="17" t="str">
        <f>IFERROR(VLOOKUP(B116,'MASTER DATA'!$A$1:$E$212,4,FALSE),"")</f>
        <v/>
      </c>
      <c r="G116" s="17"/>
      <c r="H116" s="17"/>
      <c r="I116" s="17"/>
      <c r="J116" s="17" t="b">
        <v>0</v>
      </c>
    </row>
    <row r="117">
      <c r="A117" s="17"/>
      <c r="B117" s="17"/>
      <c r="C117" s="17" t="str">
        <f>IFERROR(VLOOKUP(B117,'MASTER DATA'!$A$1:$E$212,2,FALSE),"")</f>
        <v/>
      </c>
      <c r="D117" s="17" t="str">
        <f>IFERROR(VLOOKUP(B117,'MASTER DATA'!$A$1:$E$212,5,FALSE),"")</f>
        <v/>
      </c>
      <c r="E117" s="17"/>
      <c r="F117" s="17" t="str">
        <f>IFERROR(VLOOKUP(B117,'MASTER DATA'!$A$1:$E$212,4,FALSE),"")</f>
        <v/>
      </c>
      <c r="G117" s="17"/>
      <c r="H117" s="17"/>
      <c r="I117" s="17"/>
      <c r="J117" s="17" t="b">
        <v>0</v>
      </c>
    </row>
    <row r="118">
      <c r="A118" s="17"/>
      <c r="B118" s="17"/>
      <c r="C118" s="17" t="str">
        <f>IFERROR(VLOOKUP(B118,'MASTER DATA'!$A$1:$E$212,2,FALSE),"")</f>
        <v/>
      </c>
      <c r="D118" s="17" t="str">
        <f>IFERROR(VLOOKUP(B118,'MASTER DATA'!$A$1:$E$212,5,FALSE),"")</f>
        <v/>
      </c>
      <c r="E118" s="17"/>
      <c r="F118" s="17" t="str">
        <f>IFERROR(VLOOKUP(B118,'MASTER DATA'!$A$1:$E$212,4,FALSE),"")</f>
        <v/>
      </c>
      <c r="G118" s="17"/>
      <c r="H118" s="17"/>
      <c r="I118" s="17"/>
      <c r="J118" s="17" t="b">
        <v>0</v>
      </c>
    </row>
    <row r="119">
      <c r="A119" s="17"/>
      <c r="B119" s="17"/>
      <c r="C119" s="17" t="str">
        <f>IFERROR(VLOOKUP(B119,'MASTER DATA'!$A$1:$E$212,2,FALSE),"")</f>
        <v/>
      </c>
      <c r="D119" s="17" t="str">
        <f>IFERROR(VLOOKUP(B119,'MASTER DATA'!$A$1:$E$212,5,FALSE),"")</f>
        <v/>
      </c>
      <c r="E119" s="17"/>
      <c r="F119" s="17" t="str">
        <f>IFERROR(VLOOKUP(B119,'MASTER DATA'!$A$1:$E$212,4,FALSE),"")</f>
        <v/>
      </c>
      <c r="G119" s="17"/>
      <c r="H119" s="17"/>
      <c r="I119" s="17"/>
      <c r="J119" s="17" t="b">
        <v>0</v>
      </c>
    </row>
    <row r="120">
      <c r="A120" s="17"/>
      <c r="B120" s="17"/>
      <c r="C120" s="17" t="str">
        <f>IFERROR(VLOOKUP(B120,'MASTER DATA'!$A$1:$E$212,2,FALSE),"")</f>
        <v/>
      </c>
      <c r="D120" s="17" t="str">
        <f>IFERROR(VLOOKUP(B120,'MASTER DATA'!$A$1:$E$212,5,FALSE),"")</f>
        <v/>
      </c>
      <c r="E120" s="17"/>
      <c r="F120" s="17" t="str">
        <f>IFERROR(VLOOKUP(B120,'MASTER DATA'!$A$1:$E$212,4,FALSE),"")</f>
        <v/>
      </c>
      <c r="G120" s="17"/>
      <c r="H120" s="17"/>
      <c r="I120" s="17"/>
      <c r="J120" s="17" t="b">
        <v>0</v>
      </c>
    </row>
    <row r="121">
      <c r="A121" s="17"/>
      <c r="B121" s="17"/>
      <c r="C121" s="17" t="str">
        <f>IFERROR(VLOOKUP(B121,'MASTER DATA'!$A$1:$E$212,2,FALSE),"")</f>
        <v/>
      </c>
      <c r="D121" s="17" t="str">
        <f>IFERROR(VLOOKUP(B121,'MASTER DATA'!$A$1:$E$212,5,FALSE),"")</f>
        <v/>
      </c>
      <c r="E121" s="17"/>
      <c r="F121" s="17" t="str">
        <f>IFERROR(VLOOKUP(B121,'MASTER DATA'!$A$1:$E$212,4,FALSE),"")</f>
        <v/>
      </c>
      <c r="G121" s="17"/>
      <c r="H121" s="17"/>
      <c r="I121" s="17"/>
      <c r="J121" s="17" t="b">
        <v>0</v>
      </c>
    </row>
    <row r="122">
      <c r="A122" s="17"/>
      <c r="B122" s="17"/>
      <c r="C122" s="17" t="str">
        <f>IFERROR(VLOOKUP(B122,'MASTER DATA'!$A$1:$E$212,2,FALSE),"")</f>
        <v/>
      </c>
      <c r="D122" s="17" t="str">
        <f>IFERROR(VLOOKUP(B122,'MASTER DATA'!$A$1:$E$212,5,FALSE),"")</f>
        <v/>
      </c>
      <c r="E122" s="17"/>
      <c r="F122" s="17" t="str">
        <f>IFERROR(VLOOKUP(B122,'MASTER DATA'!$A$1:$E$212,4,FALSE),"")</f>
        <v/>
      </c>
      <c r="G122" s="17"/>
      <c r="H122" s="17"/>
      <c r="I122" s="17"/>
      <c r="J122" s="17" t="b">
        <v>0</v>
      </c>
    </row>
    <row r="123">
      <c r="A123" s="17"/>
      <c r="B123" s="17"/>
      <c r="C123" s="17" t="str">
        <f>IFERROR(VLOOKUP(B123,'MASTER DATA'!$A$1:$E$212,2,FALSE),"")</f>
        <v/>
      </c>
      <c r="D123" s="17" t="str">
        <f>IFERROR(VLOOKUP(B123,'MASTER DATA'!$A$1:$E$212,5,FALSE),"")</f>
        <v/>
      </c>
      <c r="E123" s="17"/>
      <c r="F123" s="17" t="str">
        <f>IFERROR(VLOOKUP(B123,'MASTER DATA'!$A$1:$E$212,4,FALSE),"")</f>
        <v/>
      </c>
      <c r="G123" s="17"/>
      <c r="H123" s="17"/>
      <c r="I123" s="17"/>
      <c r="J123" s="17" t="b">
        <v>0</v>
      </c>
    </row>
    <row r="124">
      <c r="A124" s="17"/>
      <c r="B124" s="17"/>
      <c r="C124" s="17" t="str">
        <f>IFERROR(VLOOKUP(B124,'MASTER DATA'!$A$1:$E$212,2,FALSE),"")</f>
        <v/>
      </c>
      <c r="D124" s="17" t="str">
        <f>IFERROR(VLOOKUP(B124,'MASTER DATA'!$A$1:$E$212,5,FALSE),"")</f>
        <v/>
      </c>
      <c r="E124" s="17"/>
      <c r="F124" s="17" t="str">
        <f>IFERROR(VLOOKUP(B124,'MASTER DATA'!$A$1:$E$212,4,FALSE),"")</f>
        <v/>
      </c>
      <c r="G124" s="17"/>
      <c r="H124" s="17"/>
      <c r="I124" s="17"/>
      <c r="J124" s="17" t="b">
        <v>0</v>
      </c>
    </row>
    <row r="125">
      <c r="A125" s="17"/>
      <c r="B125" s="17"/>
      <c r="C125" s="17" t="str">
        <f>IFERROR(VLOOKUP(B125,'MASTER DATA'!$A$1:$E$212,2,FALSE),"")</f>
        <v/>
      </c>
      <c r="D125" s="17" t="str">
        <f>IFERROR(VLOOKUP(B125,'MASTER DATA'!$A$1:$E$212,5,FALSE),"")</f>
        <v/>
      </c>
      <c r="E125" s="17"/>
      <c r="F125" s="17" t="str">
        <f>IFERROR(VLOOKUP(B125,'MASTER DATA'!$A$1:$E$212,4,FALSE),"")</f>
        <v/>
      </c>
      <c r="G125" s="17"/>
      <c r="H125" s="17"/>
      <c r="I125" s="17"/>
      <c r="J125" s="17" t="b">
        <v>0</v>
      </c>
    </row>
    <row r="126">
      <c r="A126" s="17"/>
      <c r="B126" s="17"/>
      <c r="C126" s="17" t="str">
        <f>IFERROR(VLOOKUP(B126,'MASTER DATA'!$A$1:$E$212,2,FALSE),"")</f>
        <v/>
      </c>
      <c r="D126" s="17" t="str">
        <f>IFERROR(VLOOKUP(B126,'MASTER DATA'!$A$1:$E$212,5,FALSE),"")</f>
        <v/>
      </c>
      <c r="E126" s="17"/>
      <c r="F126" s="17" t="str">
        <f>IFERROR(VLOOKUP(B126,'MASTER DATA'!$A$1:$E$212,4,FALSE),"")</f>
        <v/>
      </c>
      <c r="G126" s="17"/>
      <c r="H126" s="17"/>
      <c r="I126" s="17"/>
      <c r="J126" s="17" t="b">
        <v>0</v>
      </c>
    </row>
    <row r="127">
      <c r="A127" s="17"/>
      <c r="B127" s="17"/>
      <c r="C127" s="17" t="str">
        <f>IFERROR(VLOOKUP(B127,'MASTER DATA'!$A$1:$E$212,2,FALSE),"")</f>
        <v/>
      </c>
      <c r="D127" s="17" t="str">
        <f>IFERROR(VLOOKUP(B127,'MASTER DATA'!$A$1:$E$212,5,FALSE),"")</f>
        <v/>
      </c>
      <c r="E127" s="17"/>
      <c r="F127" s="17" t="str">
        <f>IFERROR(VLOOKUP(B127,'MASTER DATA'!$A$1:$E$212,4,FALSE),"")</f>
        <v/>
      </c>
      <c r="G127" s="17"/>
      <c r="H127" s="17"/>
      <c r="I127" s="17"/>
      <c r="J127" s="17" t="b">
        <v>0</v>
      </c>
    </row>
    <row r="128">
      <c r="A128" s="17"/>
      <c r="B128" s="17"/>
      <c r="C128" s="17" t="str">
        <f>IFERROR(VLOOKUP(B128,'MASTER DATA'!$A$1:$E$212,2,FALSE),"")</f>
        <v/>
      </c>
      <c r="D128" s="17" t="str">
        <f>IFERROR(VLOOKUP(B128,'MASTER DATA'!$A$1:$E$212,5,FALSE),"")</f>
        <v/>
      </c>
      <c r="E128" s="17"/>
      <c r="F128" s="17" t="str">
        <f>IFERROR(VLOOKUP(B128,'MASTER DATA'!$A$1:$E$212,4,FALSE),"")</f>
        <v/>
      </c>
      <c r="G128" s="17"/>
      <c r="H128" s="17"/>
      <c r="I128" s="17"/>
      <c r="J128" s="17" t="b">
        <v>0</v>
      </c>
    </row>
    <row r="129">
      <c r="A129" s="17"/>
      <c r="B129" s="17"/>
      <c r="C129" s="17" t="str">
        <f>IFERROR(VLOOKUP(B129,'MASTER DATA'!$A$1:$E$212,2,FALSE),"")</f>
        <v/>
      </c>
      <c r="D129" s="17" t="str">
        <f>IFERROR(VLOOKUP(B129,'MASTER DATA'!$A$1:$E$212,5,FALSE),"")</f>
        <v/>
      </c>
      <c r="E129" s="17"/>
      <c r="F129" s="17" t="str">
        <f>IFERROR(VLOOKUP(B129,'MASTER DATA'!$A$1:$E$212,4,FALSE),"")</f>
        <v/>
      </c>
      <c r="G129" s="17"/>
      <c r="H129" s="17"/>
      <c r="I129" s="17"/>
      <c r="J129" s="17" t="b">
        <v>0</v>
      </c>
    </row>
    <row r="130">
      <c r="A130" s="17"/>
      <c r="B130" s="17"/>
      <c r="C130" s="17" t="str">
        <f>IFERROR(VLOOKUP(B130,'MASTER DATA'!$A$1:$E$212,2,FALSE),"")</f>
        <v/>
      </c>
      <c r="D130" s="17" t="str">
        <f>IFERROR(VLOOKUP(B130,'MASTER DATA'!$A$1:$E$212,5,FALSE),"")</f>
        <v/>
      </c>
      <c r="E130" s="17"/>
      <c r="F130" s="17" t="str">
        <f>IFERROR(VLOOKUP(B130,'MASTER DATA'!$A$1:$E$212,4,FALSE),"")</f>
        <v/>
      </c>
      <c r="G130" s="17"/>
      <c r="H130" s="17"/>
      <c r="I130" s="17"/>
      <c r="J130" s="17" t="b">
        <v>0</v>
      </c>
    </row>
    <row r="131">
      <c r="A131" s="17"/>
      <c r="B131" s="17"/>
      <c r="C131" s="17" t="str">
        <f>IFERROR(VLOOKUP(B131,'MASTER DATA'!$A$1:$E$212,2,FALSE),"")</f>
        <v/>
      </c>
      <c r="D131" s="17" t="str">
        <f>IFERROR(VLOOKUP(B131,'MASTER DATA'!$A$1:$E$212,5,FALSE),"")</f>
        <v/>
      </c>
      <c r="E131" s="17"/>
      <c r="F131" s="17" t="str">
        <f>IFERROR(VLOOKUP(B131,'MASTER DATA'!$A$1:$E$212,4,FALSE),"")</f>
        <v/>
      </c>
      <c r="G131" s="17"/>
      <c r="H131" s="17"/>
      <c r="I131" s="17"/>
      <c r="J131" s="17" t="b">
        <v>0</v>
      </c>
    </row>
    <row r="132">
      <c r="A132" s="17"/>
      <c r="B132" s="17"/>
      <c r="C132" s="17" t="str">
        <f>IFERROR(VLOOKUP(B132,'MASTER DATA'!$A$1:$E$212,2,FALSE),"")</f>
        <v/>
      </c>
      <c r="D132" s="17" t="str">
        <f>IFERROR(VLOOKUP(B132,'MASTER DATA'!$A$1:$E$212,5,FALSE),"")</f>
        <v/>
      </c>
      <c r="E132" s="17"/>
      <c r="F132" s="17" t="str">
        <f>IFERROR(VLOOKUP(B132,'MASTER DATA'!$A$1:$E$212,4,FALSE),"")</f>
        <v/>
      </c>
      <c r="G132" s="17"/>
      <c r="H132" s="17"/>
      <c r="I132" s="17"/>
      <c r="J132" s="17" t="b">
        <v>0</v>
      </c>
    </row>
    <row r="133">
      <c r="A133" s="17"/>
      <c r="B133" s="17"/>
      <c r="C133" s="17" t="str">
        <f>IFERROR(VLOOKUP(B133,'MASTER DATA'!$A$1:$E$212,2,FALSE),"")</f>
        <v/>
      </c>
      <c r="D133" s="17" t="str">
        <f>IFERROR(VLOOKUP(B133,'MASTER DATA'!$A$1:$E$212,5,FALSE),"")</f>
        <v/>
      </c>
      <c r="E133" s="17"/>
      <c r="F133" s="17" t="str">
        <f>IFERROR(VLOOKUP(B133,'MASTER DATA'!$A$1:$E$212,4,FALSE),"")</f>
        <v/>
      </c>
      <c r="G133" s="17"/>
      <c r="H133" s="17"/>
      <c r="I133" s="17"/>
      <c r="J133" s="17" t="b">
        <v>0</v>
      </c>
    </row>
    <row r="134">
      <c r="A134" s="17"/>
      <c r="B134" s="17"/>
      <c r="C134" s="17" t="str">
        <f>IFERROR(VLOOKUP(B134,'MASTER DATA'!$A$1:$E$212,2,FALSE),"")</f>
        <v/>
      </c>
      <c r="D134" s="17" t="str">
        <f>IFERROR(VLOOKUP(B134,'MASTER DATA'!$A$1:$E$212,5,FALSE),"")</f>
        <v/>
      </c>
      <c r="E134" s="17"/>
      <c r="F134" s="17" t="str">
        <f>IFERROR(VLOOKUP(B134,'MASTER DATA'!$A$1:$E$212,4,FALSE),"")</f>
        <v/>
      </c>
      <c r="G134" s="17"/>
      <c r="H134" s="17"/>
      <c r="I134" s="17"/>
      <c r="J134" s="17" t="b">
        <v>0</v>
      </c>
    </row>
    <row r="135">
      <c r="A135" s="17"/>
      <c r="B135" s="17"/>
      <c r="C135" s="17" t="str">
        <f>IFERROR(VLOOKUP(B135,'MASTER DATA'!$A$1:$E$212,2,FALSE),"")</f>
        <v/>
      </c>
      <c r="D135" s="17" t="str">
        <f>IFERROR(VLOOKUP(B135,'MASTER DATA'!$A$1:$E$212,5,FALSE),"")</f>
        <v/>
      </c>
      <c r="E135" s="17"/>
      <c r="F135" s="17" t="str">
        <f>IFERROR(VLOOKUP(B135,'MASTER DATA'!$A$1:$E$212,4,FALSE),"")</f>
        <v/>
      </c>
      <c r="G135" s="17"/>
      <c r="H135" s="17"/>
      <c r="I135" s="17"/>
      <c r="J135" s="17" t="b">
        <v>0</v>
      </c>
    </row>
    <row r="136">
      <c r="A136" s="17"/>
      <c r="B136" s="17"/>
      <c r="C136" s="17" t="str">
        <f>IFERROR(VLOOKUP(B136,'MASTER DATA'!$A$1:$E$212,2,FALSE),"")</f>
        <v/>
      </c>
      <c r="D136" s="17" t="str">
        <f>IFERROR(VLOOKUP(B136,'MASTER DATA'!$A$1:$E$212,5,FALSE),"")</f>
        <v/>
      </c>
      <c r="E136" s="17"/>
      <c r="F136" s="17" t="str">
        <f>IFERROR(VLOOKUP(B136,'MASTER DATA'!$A$1:$E$212,4,FALSE),"")</f>
        <v/>
      </c>
      <c r="G136" s="17"/>
      <c r="H136" s="17"/>
      <c r="I136" s="17"/>
      <c r="J136" s="17" t="b">
        <v>0</v>
      </c>
    </row>
    <row r="137">
      <c r="A137" s="17"/>
      <c r="B137" s="17"/>
      <c r="C137" s="17" t="str">
        <f>IFERROR(VLOOKUP(B137,'MASTER DATA'!$A$1:$E$212,2,FALSE),"")</f>
        <v/>
      </c>
      <c r="D137" s="17" t="str">
        <f>IFERROR(VLOOKUP(B137,'MASTER DATA'!$A$1:$E$212,5,FALSE),"")</f>
        <v/>
      </c>
      <c r="E137" s="17"/>
      <c r="F137" s="17" t="str">
        <f>IFERROR(VLOOKUP(B137,'MASTER DATA'!$A$1:$E$212,4,FALSE),"")</f>
        <v/>
      </c>
      <c r="G137" s="17"/>
      <c r="H137" s="17"/>
      <c r="I137" s="17"/>
      <c r="J137" s="17" t="b">
        <v>0</v>
      </c>
    </row>
    <row r="138">
      <c r="A138" s="17"/>
      <c r="B138" s="17"/>
      <c r="C138" s="17" t="str">
        <f>IFERROR(VLOOKUP(B138,'MASTER DATA'!$A$1:$E$212,2,FALSE),"")</f>
        <v/>
      </c>
      <c r="D138" s="17" t="str">
        <f>IFERROR(VLOOKUP(B138,'MASTER DATA'!$A$1:$E$212,5,FALSE),"")</f>
        <v/>
      </c>
      <c r="E138" s="17"/>
      <c r="F138" s="17" t="str">
        <f>IFERROR(VLOOKUP(B138,'MASTER DATA'!$A$1:$E$212,4,FALSE),"")</f>
        <v/>
      </c>
      <c r="G138" s="17"/>
      <c r="H138" s="17"/>
      <c r="I138" s="17"/>
      <c r="J138" s="17" t="b">
        <v>0</v>
      </c>
    </row>
    <row r="139">
      <c r="A139" s="17"/>
      <c r="B139" s="17"/>
      <c r="C139" s="17" t="str">
        <f>IFERROR(VLOOKUP(B139,'MASTER DATA'!$A$1:$E$212,2,FALSE),"")</f>
        <v/>
      </c>
      <c r="D139" s="17" t="str">
        <f>IFERROR(VLOOKUP(B139,'MASTER DATA'!$A$1:$E$212,5,FALSE),"")</f>
        <v/>
      </c>
      <c r="E139" s="17"/>
      <c r="F139" s="17" t="str">
        <f>IFERROR(VLOOKUP(B139,'MASTER DATA'!$A$1:$E$212,4,FALSE),"")</f>
        <v/>
      </c>
      <c r="G139" s="17"/>
      <c r="H139" s="17"/>
      <c r="I139" s="17"/>
      <c r="J139" s="17" t="b">
        <v>0</v>
      </c>
    </row>
    <row r="140">
      <c r="A140" s="17"/>
      <c r="B140" s="17"/>
      <c r="C140" s="17" t="str">
        <f>IFERROR(VLOOKUP(B140,'MASTER DATA'!$A$1:$E$212,2,FALSE),"")</f>
        <v/>
      </c>
      <c r="D140" s="17" t="str">
        <f>IFERROR(VLOOKUP(B140,'MASTER DATA'!$A$1:$E$212,5,FALSE),"")</f>
        <v/>
      </c>
      <c r="E140" s="17"/>
      <c r="F140" s="17" t="str">
        <f>IFERROR(VLOOKUP(B140,'MASTER DATA'!$A$1:$E$212,4,FALSE),"")</f>
        <v/>
      </c>
      <c r="G140" s="17"/>
      <c r="H140" s="17"/>
      <c r="I140" s="17"/>
      <c r="J140" s="17" t="b">
        <v>0</v>
      </c>
    </row>
    <row r="141">
      <c r="A141" s="17"/>
      <c r="B141" s="17"/>
      <c r="C141" s="17" t="str">
        <f>IFERROR(VLOOKUP(B141,'MASTER DATA'!$A$1:$E$212,2,FALSE),"")</f>
        <v/>
      </c>
      <c r="D141" s="17" t="str">
        <f>IFERROR(VLOOKUP(B141,'MASTER DATA'!$A$1:$E$212,5,FALSE),"")</f>
        <v/>
      </c>
      <c r="E141" s="17"/>
      <c r="F141" s="17" t="str">
        <f>IFERROR(VLOOKUP(B141,'MASTER DATA'!$A$1:$E$212,4,FALSE),"")</f>
        <v/>
      </c>
      <c r="G141" s="17"/>
      <c r="H141" s="17"/>
      <c r="I141" s="17"/>
      <c r="J141" s="17" t="b">
        <v>0</v>
      </c>
    </row>
    <row r="142">
      <c r="A142" s="17"/>
      <c r="B142" s="17"/>
      <c r="C142" s="17" t="str">
        <f>IFERROR(VLOOKUP(B142,'MASTER DATA'!$A$1:$E$212,2,FALSE),"")</f>
        <v/>
      </c>
      <c r="D142" s="17" t="str">
        <f>IFERROR(VLOOKUP(B142,'MASTER DATA'!$A$1:$E$212,5,FALSE),"")</f>
        <v/>
      </c>
      <c r="E142" s="17"/>
      <c r="F142" s="17" t="str">
        <f>IFERROR(VLOOKUP(B142,'MASTER DATA'!$A$1:$E$212,4,FALSE),"")</f>
        <v/>
      </c>
      <c r="G142" s="17"/>
      <c r="H142" s="17"/>
      <c r="I142" s="17"/>
      <c r="J142" s="17" t="b">
        <v>0</v>
      </c>
    </row>
    <row r="143">
      <c r="A143" s="17"/>
      <c r="B143" s="17"/>
      <c r="C143" s="17" t="str">
        <f>IFERROR(VLOOKUP(B143,'MASTER DATA'!$A$1:$E$212,2,FALSE),"")</f>
        <v/>
      </c>
      <c r="D143" s="17" t="str">
        <f>IFERROR(VLOOKUP(B143,'MASTER DATA'!$A$1:$E$212,5,FALSE),"")</f>
        <v/>
      </c>
      <c r="E143" s="17"/>
      <c r="F143" s="17" t="str">
        <f>IFERROR(VLOOKUP(B143,'MASTER DATA'!$A$1:$E$212,4,FALSE),"")</f>
        <v/>
      </c>
      <c r="G143" s="17"/>
      <c r="H143" s="17"/>
      <c r="I143" s="17"/>
      <c r="J143" s="17" t="b">
        <v>0</v>
      </c>
    </row>
    <row r="144">
      <c r="A144" s="17"/>
      <c r="B144" s="17"/>
      <c r="C144" s="17" t="str">
        <f>IFERROR(VLOOKUP(B144,'MASTER DATA'!$A$1:$E$212,2,FALSE),"")</f>
        <v/>
      </c>
      <c r="D144" s="17" t="str">
        <f>IFERROR(VLOOKUP(B144,'MASTER DATA'!$A$1:$E$212,5,FALSE),"")</f>
        <v/>
      </c>
      <c r="E144" s="17"/>
      <c r="F144" s="17" t="str">
        <f>IFERROR(VLOOKUP(B144,'MASTER DATA'!$A$1:$E$212,4,FALSE),"")</f>
        <v/>
      </c>
      <c r="G144" s="17"/>
      <c r="H144" s="17"/>
      <c r="I144" s="17"/>
      <c r="J144" s="17" t="b">
        <v>0</v>
      </c>
    </row>
    <row r="145">
      <c r="A145" s="17"/>
      <c r="B145" s="17"/>
      <c r="C145" s="17" t="str">
        <f>IFERROR(VLOOKUP(B145,'MASTER DATA'!$A$1:$E$212,2,FALSE),"")</f>
        <v/>
      </c>
      <c r="D145" s="17" t="str">
        <f>IFERROR(VLOOKUP(B145,'MASTER DATA'!$A$1:$E$212,5,FALSE),"")</f>
        <v/>
      </c>
      <c r="E145" s="17"/>
      <c r="F145" s="17" t="str">
        <f>IFERROR(VLOOKUP(B145,'MASTER DATA'!$A$1:$E$212,4,FALSE),"")</f>
        <v/>
      </c>
      <c r="G145" s="17"/>
      <c r="H145" s="17"/>
      <c r="I145" s="17"/>
      <c r="J145" s="17" t="b">
        <v>0</v>
      </c>
    </row>
    <row r="146">
      <c r="A146" s="17"/>
      <c r="B146" s="17"/>
      <c r="C146" s="17" t="str">
        <f>IFERROR(VLOOKUP(B146,'MASTER DATA'!$A$1:$E$212,2,FALSE),"")</f>
        <v/>
      </c>
      <c r="D146" s="17" t="str">
        <f>IFERROR(VLOOKUP(B146,'MASTER DATA'!$A$1:$E$212,5,FALSE),"")</f>
        <v/>
      </c>
      <c r="E146" s="17"/>
      <c r="F146" s="17" t="str">
        <f>IFERROR(VLOOKUP(B146,'MASTER DATA'!$A$1:$E$212,4,FALSE),"")</f>
        <v/>
      </c>
      <c r="G146" s="17"/>
      <c r="H146" s="17"/>
      <c r="I146" s="17"/>
      <c r="J146" s="17" t="b">
        <v>0</v>
      </c>
    </row>
    <row r="147">
      <c r="A147" s="17"/>
      <c r="B147" s="17"/>
      <c r="C147" s="17" t="str">
        <f>IFERROR(VLOOKUP(B147,'MASTER DATA'!$A$1:$E$212,2,FALSE),"")</f>
        <v/>
      </c>
      <c r="D147" s="17" t="str">
        <f>IFERROR(VLOOKUP(B147,'MASTER DATA'!$A$1:$E$212,5,FALSE),"")</f>
        <v/>
      </c>
      <c r="E147" s="17"/>
      <c r="F147" s="17" t="str">
        <f>IFERROR(VLOOKUP(B147,'MASTER DATA'!$A$1:$E$212,4,FALSE),"")</f>
        <v/>
      </c>
      <c r="G147" s="17"/>
      <c r="H147" s="17"/>
      <c r="I147" s="17"/>
      <c r="J147" s="17" t="b">
        <v>0</v>
      </c>
    </row>
    <row r="148">
      <c r="A148" s="17"/>
      <c r="B148" s="17"/>
      <c r="C148" s="17" t="str">
        <f>IFERROR(VLOOKUP(B148,'MASTER DATA'!$A$1:$E$212,2,FALSE),"")</f>
        <v/>
      </c>
      <c r="D148" s="17" t="str">
        <f>IFERROR(VLOOKUP(B148,'MASTER DATA'!$A$1:$E$212,5,FALSE),"")</f>
        <v/>
      </c>
      <c r="E148" s="17"/>
      <c r="F148" s="17" t="str">
        <f>IFERROR(VLOOKUP(B148,'MASTER DATA'!$A$1:$E$212,4,FALSE),"")</f>
        <v/>
      </c>
      <c r="G148" s="17"/>
      <c r="H148" s="17"/>
      <c r="I148" s="17"/>
      <c r="J148" s="17" t="b">
        <v>0</v>
      </c>
    </row>
    <row r="149">
      <c r="A149" s="17"/>
      <c r="B149" s="17"/>
      <c r="C149" s="17" t="str">
        <f>IFERROR(VLOOKUP(B149,'MASTER DATA'!$A$1:$E$212,2,FALSE),"")</f>
        <v/>
      </c>
      <c r="D149" s="17" t="str">
        <f>IFERROR(VLOOKUP(B149,'MASTER DATA'!$A$1:$E$212,5,FALSE),"")</f>
        <v/>
      </c>
      <c r="E149" s="17"/>
      <c r="F149" s="17" t="str">
        <f>IFERROR(VLOOKUP(B149,'MASTER DATA'!$A$1:$E$212,4,FALSE),"")</f>
        <v/>
      </c>
      <c r="G149" s="17"/>
      <c r="H149" s="17"/>
      <c r="I149" s="17"/>
      <c r="J149" s="17" t="b">
        <v>0</v>
      </c>
    </row>
    <row r="150">
      <c r="A150" s="17"/>
      <c r="B150" s="17"/>
      <c r="C150" s="17" t="str">
        <f>IFERROR(VLOOKUP(B150,'MASTER DATA'!$A$1:$E$212,2,FALSE),"")</f>
        <v/>
      </c>
      <c r="D150" s="17" t="str">
        <f>IFERROR(VLOOKUP(B150,'MASTER DATA'!$A$1:$E$212,5,FALSE),"")</f>
        <v/>
      </c>
      <c r="E150" s="17"/>
      <c r="F150" s="17" t="str">
        <f>IFERROR(VLOOKUP(B150,'MASTER DATA'!$A$1:$E$212,4,FALSE),"")</f>
        <v/>
      </c>
      <c r="G150" s="17"/>
      <c r="H150" s="17"/>
      <c r="I150" s="17"/>
      <c r="J150" s="17" t="b">
        <v>0</v>
      </c>
    </row>
    <row r="151">
      <c r="A151" s="17"/>
      <c r="B151" s="17"/>
      <c r="C151" s="17" t="str">
        <f>IFERROR(VLOOKUP(B151,'MASTER DATA'!$A$1:$E$212,2,FALSE),"")</f>
        <v/>
      </c>
      <c r="D151" s="17" t="str">
        <f>IFERROR(VLOOKUP(B151,'MASTER DATA'!$A$1:$E$212,5,FALSE),"")</f>
        <v/>
      </c>
      <c r="E151" s="17"/>
      <c r="F151" s="17" t="str">
        <f>IFERROR(VLOOKUP(B151,'MASTER DATA'!$A$1:$E$212,4,FALSE),"")</f>
        <v/>
      </c>
      <c r="G151" s="17"/>
      <c r="H151" s="17"/>
      <c r="I151" s="17"/>
      <c r="J151" s="17" t="b">
        <v>0</v>
      </c>
    </row>
    <row r="152">
      <c r="A152" s="17"/>
      <c r="B152" s="17"/>
      <c r="C152" s="17" t="str">
        <f>IFERROR(VLOOKUP(B152,'MASTER DATA'!$A$1:$E$212,2,FALSE),"")</f>
        <v/>
      </c>
      <c r="D152" s="17" t="str">
        <f>IFERROR(VLOOKUP(B152,'MASTER DATA'!$A$1:$E$212,5,FALSE),"")</f>
        <v/>
      </c>
      <c r="E152" s="17"/>
      <c r="F152" s="17" t="str">
        <f>IFERROR(VLOOKUP(B152,'MASTER DATA'!$A$1:$E$212,4,FALSE),"")</f>
        <v/>
      </c>
      <c r="G152" s="17"/>
      <c r="H152" s="17"/>
      <c r="I152" s="17"/>
      <c r="J152" s="17" t="b">
        <v>0</v>
      </c>
    </row>
    <row r="153">
      <c r="A153" s="17"/>
      <c r="B153" s="17"/>
      <c r="C153" s="17" t="str">
        <f>IFERROR(VLOOKUP(B153,'MASTER DATA'!$A$1:$E$212,2,FALSE),"")</f>
        <v/>
      </c>
      <c r="D153" s="17" t="str">
        <f>IFERROR(VLOOKUP(B153,'MASTER DATA'!$A$1:$E$212,5,FALSE),"")</f>
        <v/>
      </c>
      <c r="E153" s="17"/>
      <c r="F153" s="17" t="str">
        <f>IFERROR(VLOOKUP(B153,'MASTER DATA'!$A$1:$E$212,4,FALSE),"")</f>
        <v/>
      </c>
      <c r="G153" s="17"/>
      <c r="H153" s="17"/>
      <c r="I153" s="17"/>
      <c r="J153" s="17" t="b">
        <v>0</v>
      </c>
    </row>
    <row r="154">
      <c r="A154" s="17"/>
      <c r="B154" s="17"/>
      <c r="C154" s="17" t="str">
        <f>IFERROR(VLOOKUP(B154,'MASTER DATA'!$A$1:$E$212,2,FALSE),"")</f>
        <v/>
      </c>
      <c r="D154" s="17" t="str">
        <f>IFERROR(VLOOKUP(B154,'MASTER DATA'!$A$1:$E$212,5,FALSE),"")</f>
        <v/>
      </c>
      <c r="E154" s="17"/>
      <c r="F154" s="17" t="str">
        <f>IFERROR(VLOOKUP(B154,'MASTER DATA'!$A$1:$E$212,4,FALSE),"")</f>
        <v/>
      </c>
      <c r="G154" s="17"/>
      <c r="H154" s="17"/>
      <c r="I154" s="17"/>
      <c r="J154" s="17" t="b">
        <v>0</v>
      </c>
    </row>
    <row r="155">
      <c r="A155" s="17"/>
      <c r="B155" s="17"/>
      <c r="C155" s="17" t="str">
        <f>IFERROR(VLOOKUP(B155,'MASTER DATA'!$A$1:$E$212,2,FALSE),"")</f>
        <v/>
      </c>
      <c r="D155" s="17" t="str">
        <f>IFERROR(VLOOKUP(B155,'MASTER DATA'!$A$1:$E$212,5,FALSE),"")</f>
        <v/>
      </c>
      <c r="E155" s="17"/>
      <c r="F155" s="17" t="str">
        <f>IFERROR(VLOOKUP(B155,'MASTER DATA'!$A$1:$E$212,4,FALSE),"")</f>
        <v/>
      </c>
      <c r="G155" s="17"/>
      <c r="H155" s="17"/>
      <c r="I155" s="17"/>
      <c r="J155" s="17" t="b">
        <v>0</v>
      </c>
    </row>
    <row r="156">
      <c r="A156" s="17"/>
      <c r="B156" s="17"/>
      <c r="C156" s="17" t="str">
        <f>IFERROR(VLOOKUP(B156,'MASTER DATA'!$A$1:$E$212,2,FALSE),"")</f>
        <v/>
      </c>
      <c r="D156" s="17" t="str">
        <f>IFERROR(VLOOKUP(B156,'MASTER DATA'!$A$1:$E$212,5,FALSE),"")</f>
        <v/>
      </c>
      <c r="E156" s="17"/>
      <c r="F156" s="17" t="str">
        <f>IFERROR(VLOOKUP(B156,'MASTER DATA'!$A$1:$E$212,4,FALSE),"")</f>
        <v/>
      </c>
      <c r="G156" s="17"/>
      <c r="H156" s="17"/>
      <c r="I156" s="17"/>
      <c r="J156" s="17" t="b">
        <v>0</v>
      </c>
    </row>
    <row r="157">
      <c r="A157" s="17"/>
      <c r="B157" s="17"/>
      <c r="C157" s="17" t="str">
        <f>IFERROR(VLOOKUP(B157,'MASTER DATA'!$A$1:$E$212,2,FALSE),"")</f>
        <v/>
      </c>
      <c r="D157" s="17" t="str">
        <f>IFERROR(VLOOKUP(B157,'MASTER DATA'!$A$1:$E$212,5,FALSE),"")</f>
        <v/>
      </c>
      <c r="E157" s="17"/>
      <c r="F157" s="17" t="str">
        <f>IFERROR(VLOOKUP(B157,'MASTER DATA'!$A$1:$E$212,4,FALSE),"")</f>
        <v/>
      </c>
      <c r="G157" s="17"/>
      <c r="H157" s="17"/>
      <c r="I157" s="17"/>
      <c r="J157" s="17" t="b">
        <v>0</v>
      </c>
    </row>
    <row r="158">
      <c r="A158" s="17"/>
      <c r="B158" s="17"/>
      <c r="C158" s="17" t="str">
        <f>IFERROR(VLOOKUP(B158,'MASTER DATA'!$A$1:$E$212,2,FALSE),"")</f>
        <v/>
      </c>
      <c r="D158" s="17" t="str">
        <f>IFERROR(VLOOKUP(B158,'MASTER DATA'!$A$1:$E$212,5,FALSE),"")</f>
        <v/>
      </c>
      <c r="E158" s="17"/>
      <c r="F158" s="17" t="str">
        <f>IFERROR(VLOOKUP(B158,'MASTER DATA'!$A$1:$E$212,4,FALSE),"")</f>
        <v/>
      </c>
      <c r="G158" s="17"/>
      <c r="H158" s="17"/>
      <c r="I158" s="17"/>
      <c r="J158" s="17" t="b">
        <v>0</v>
      </c>
    </row>
    <row r="159">
      <c r="A159" s="17"/>
      <c r="B159" s="17"/>
      <c r="C159" s="17" t="str">
        <f>IFERROR(VLOOKUP(B159,'MASTER DATA'!$A$1:$E$212,2,FALSE),"")</f>
        <v/>
      </c>
      <c r="D159" s="17" t="str">
        <f>IFERROR(VLOOKUP(B159,'MASTER DATA'!$A$1:$E$212,5,FALSE),"")</f>
        <v/>
      </c>
      <c r="E159" s="17"/>
      <c r="F159" s="17" t="str">
        <f>IFERROR(VLOOKUP(B159,'MASTER DATA'!$A$1:$E$212,4,FALSE),"")</f>
        <v/>
      </c>
      <c r="G159" s="17"/>
      <c r="H159" s="17"/>
      <c r="I159" s="17"/>
      <c r="J159" s="17" t="b">
        <v>0</v>
      </c>
    </row>
    <row r="160">
      <c r="A160" s="17"/>
      <c r="B160" s="17"/>
      <c r="C160" s="17" t="str">
        <f>IFERROR(VLOOKUP(B160,'MASTER DATA'!$A$1:$E$212,2,FALSE),"")</f>
        <v/>
      </c>
      <c r="D160" s="17" t="str">
        <f>IFERROR(VLOOKUP(B160,'MASTER DATA'!$A$1:$E$212,5,FALSE),"")</f>
        <v/>
      </c>
      <c r="E160" s="17"/>
      <c r="F160" s="17" t="str">
        <f>IFERROR(VLOOKUP(B160,'MASTER DATA'!$A$1:$E$212,4,FALSE),"")</f>
        <v/>
      </c>
      <c r="G160" s="17"/>
      <c r="H160" s="17"/>
      <c r="I160" s="17"/>
      <c r="J160" s="17" t="b">
        <v>0</v>
      </c>
    </row>
    <row r="161">
      <c r="A161" s="17"/>
      <c r="B161" s="17"/>
      <c r="C161" s="17" t="str">
        <f>IFERROR(VLOOKUP(B161,'MASTER DATA'!$A$1:$E$212,2,FALSE),"")</f>
        <v/>
      </c>
      <c r="D161" s="17" t="str">
        <f>IFERROR(VLOOKUP(B161,'MASTER DATA'!$A$1:$E$212,5,FALSE),"")</f>
        <v/>
      </c>
      <c r="E161" s="17"/>
      <c r="F161" s="17" t="str">
        <f>IFERROR(VLOOKUP(B161,'MASTER DATA'!$A$1:$E$212,4,FALSE),"")</f>
        <v/>
      </c>
      <c r="G161" s="17"/>
      <c r="H161" s="17"/>
      <c r="I161" s="17"/>
      <c r="J161" s="17" t="b">
        <v>0</v>
      </c>
    </row>
    <row r="162">
      <c r="A162" s="17"/>
      <c r="B162" s="17"/>
      <c r="C162" s="17" t="str">
        <f>IFERROR(VLOOKUP(B162,'MASTER DATA'!$A$1:$E$212,2,FALSE),"")</f>
        <v/>
      </c>
      <c r="D162" s="17" t="str">
        <f>IFERROR(VLOOKUP(B162,'MASTER DATA'!$A$1:$E$212,5,FALSE),"")</f>
        <v/>
      </c>
      <c r="E162" s="17"/>
      <c r="F162" s="17" t="str">
        <f>IFERROR(VLOOKUP(B162,'MASTER DATA'!$A$1:$E$212,4,FALSE),"")</f>
        <v/>
      </c>
      <c r="G162" s="17"/>
      <c r="H162" s="17"/>
      <c r="I162" s="17"/>
      <c r="J162" s="17" t="b">
        <v>0</v>
      </c>
    </row>
    <row r="163">
      <c r="A163" s="17"/>
      <c r="B163" s="17"/>
      <c r="C163" s="17" t="str">
        <f>IFERROR(VLOOKUP(B163,'MASTER DATA'!$A$1:$E$212,2,FALSE),"")</f>
        <v/>
      </c>
      <c r="D163" s="17" t="str">
        <f>IFERROR(VLOOKUP(B163,'MASTER DATA'!$A$1:$E$212,5,FALSE),"")</f>
        <v/>
      </c>
      <c r="E163" s="17"/>
      <c r="F163" s="17" t="str">
        <f>IFERROR(VLOOKUP(B163,'MASTER DATA'!$A$1:$E$212,4,FALSE),"")</f>
        <v/>
      </c>
      <c r="G163" s="17"/>
      <c r="H163" s="17"/>
      <c r="I163" s="17"/>
      <c r="J163" s="17" t="b">
        <v>0</v>
      </c>
    </row>
    <row r="164">
      <c r="A164" s="17"/>
      <c r="B164" s="17"/>
      <c r="C164" s="17" t="str">
        <f>IFERROR(VLOOKUP(B164,'MASTER DATA'!$A$1:$E$212,2,FALSE),"")</f>
        <v/>
      </c>
      <c r="D164" s="17" t="str">
        <f>IFERROR(VLOOKUP(B164,'MASTER DATA'!$A$1:$E$212,5,FALSE),"")</f>
        <v/>
      </c>
      <c r="E164" s="17"/>
      <c r="F164" s="17" t="str">
        <f>IFERROR(VLOOKUP(B164,'MASTER DATA'!$A$1:$E$212,4,FALSE),"")</f>
        <v/>
      </c>
      <c r="G164" s="17"/>
      <c r="H164" s="17"/>
      <c r="I164" s="17"/>
      <c r="J164" s="17" t="b">
        <v>0</v>
      </c>
    </row>
    <row r="165">
      <c r="A165" s="17"/>
      <c r="B165" s="17"/>
      <c r="C165" s="17" t="str">
        <f>IFERROR(VLOOKUP(B165,'MASTER DATA'!$A$1:$E$212,2,FALSE),"")</f>
        <v/>
      </c>
      <c r="D165" s="17" t="str">
        <f>IFERROR(VLOOKUP(B165,'MASTER DATA'!$A$1:$E$212,5,FALSE),"")</f>
        <v/>
      </c>
      <c r="E165" s="17"/>
      <c r="F165" s="17" t="str">
        <f>IFERROR(VLOOKUP(B165,'MASTER DATA'!$A$1:$E$212,4,FALSE),"")</f>
        <v/>
      </c>
      <c r="G165" s="17"/>
      <c r="H165" s="17"/>
      <c r="I165" s="17"/>
      <c r="J165" s="17" t="b">
        <v>0</v>
      </c>
    </row>
    <row r="166">
      <c r="A166" s="17"/>
      <c r="B166" s="17"/>
      <c r="C166" s="17" t="str">
        <f>IFERROR(VLOOKUP(B166,'MASTER DATA'!$A$1:$E$212,2,FALSE),"")</f>
        <v/>
      </c>
      <c r="D166" s="17" t="str">
        <f>IFERROR(VLOOKUP(B166,'MASTER DATA'!$A$1:$E$212,5,FALSE),"")</f>
        <v/>
      </c>
      <c r="E166" s="17"/>
      <c r="F166" s="17" t="str">
        <f>IFERROR(VLOOKUP(B166,'MASTER DATA'!$A$1:$E$212,4,FALSE),"")</f>
        <v/>
      </c>
      <c r="G166" s="17"/>
      <c r="H166" s="17"/>
      <c r="I166" s="17"/>
      <c r="J166" s="17" t="b">
        <v>0</v>
      </c>
    </row>
    <row r="167">
      <c r="A167" s="17"/>
      <c r="B167" s="17"/>
      <c r="C167" s="17" t="str">
        <f>IFERROR(VLOOKUP(B167,'MASTER DATA'!$A$1:$E$212,2,FALSE),"")</f>
        <v/>
      </c>
      <c r="D167" s="17" t="str">
        <f>IFERROR(VLOOKUP(B167,'MASTER DATA'!$A$1:$E$212,5,FALSE),"")</f>
        <v/>
      </c>
      <c r="E167" s="17"/>
      <c r="F167" s="17" t="str">
        <f>IFERROR(VLOOKUP(B167,'MASTER DATA'!$A$1:$E$212,4,FALSE),"")</f>
        <v/>
      </c>
      <c r="G167" s="17"/>
      <c r="H167" s="17"/>
      <c r="I167" s="17"/>
      <c r="J167" s="17" t="b">
        <v>0</v>
      </c>
    </row>
    <row r="168">
      <c r="A168" s="17"/>
      <c r="B168" s="17"/>
      <c r="C168" s="17" t="str">
        <f>IFERROR(VLOOKUP(B168,'MASTER DATA'!$A$1:$E$212,2,FALSE),"")</f>
        <v/>
      </c>
      <c r="D168" s="17" t="str">
        <f>IFERROR(VLOOKUP(B168,'MASTER DATA'!$A$1:$E$212,5,FALSE),"")</f>
        <v/>
      </c>
      <c r="E168" s="17"/>
      <c r="F168" s="17" t="str">
        <f>IFERROR(VLOOKUP(B168,'MASTER DATA'!$A$1:$E$212,4,FALSE),"")</f>
        <v/>
      </c>
      <c r="G168" s="17"/>
      <c r="H168" s="17"/>
      <c r="I168" s="17"/>
      <c r="J168" s="17" t="b">
        <v>0</v>
      </c>
    </row>
    <row r="169">
      <c r="A169" s="17"/>
      <c r="B169" s="17"/>
      <c r="C169" s="17" t="str">
        <f>IFERROR(VLOOKUP(B169,'MASTER DATA'!$A$1:$E$212,2,FALSE),"")</f>
        <v/>
      </c>
      <c r="D169" s="17" t="str">
        <f>IFERROR(VLOOKUP(B169,'MASTER DATA'!$A$1:$E$212,5,FALSE),"")</f>
        <v/>
      </c>
      <c r="E169" s="17"/>
      <c r="F169" s="17" t="str">
        <f>IFERROR(VLOOKUP(B169,'MASTER DATA'!$A$1:$E$212,4,FALSE),"")</f>
        <v/>
      </c>
      <c r="G169" s="17"/>
      <c r="H169" s="17"/>
      <c r="I169" s="17"/>
      <c r="J169" s="17" t="b">
        <v>0</v>
      </c>
    </row>
    <row r="170">
      <c r="A170" s="17"/>
      <c r="B170" s="17"/>
      <c r="C170" s="17" t="str">
        <f>IFERROR(VLOOKUP(B170,'MASTER DATA'!$A$1:$E$212,2,FALSE),"")</f>
        <v/>
      </c>
      <c r="D170" s="17" t="str">
        <f>IFERROR(VLOOKUP(B170,'MASTER DATA'!$A$1:$E$212,5,FALSE),"")</f>
        <v/>
      </c>
      <c r="E170" s="17"/>
      <c r="F170" s="17" t="str">
        <f>IFERROR(VLOOKUP(B170,'MASTER DATA'!$A$1:$E$212,4,FALSE),"")</f>
        <v/>
      </c>
      <c r="G170" s="17"/>
      <c r="H170" s="17"/>
      <c r="I170" s="17"/>
      <c r="J170" s="17" t="b">
        <v>0</v>
      </c>
    </row>
    <row r="171">
      <c r="A171" s="17"/>
      <c r="B171" s="17"/>
      <c r="C171" s="17" t="str">
        <f>IFERROR(VLOOKUP(B171,'MASTER DATA'!$A$1:$E$212,2,FALSE),"")</f>
        <v/>
      </c>
      <c r="D171" s="17" t="str">
        <f>IFERROR(VLOOKUP(B171,'MASTER DATA'!$A$1:$E$212,5,FALSE),"")</f>
        <v/>
      </c>
      <c r="E171" s="17"/>
      <c r="F171" s="17" t="str">
        <f>IFERROR(VLOOKUP(B171,'MASTER DATA'!$A$1:$E$212,4,FALSE),"")</f>
        <v/>
      </c>
      <c r="G171" s="17"/>
      <c r="H171" s="17"/>
      <c r="I171" s="17"/>
      <c r="J171" s="17" t="b">
        <v>0</v>
      </c>
    </row>
    <row r="172">
      <c r="A172" s="17"/>
      <c r="B172" s="17"/>
      <c r="C172" s="17" t="str">
        <f>IFERROR(VLOOKUP(B172,'MASTER DATA'!$A$1:$E$212,2,FALSE),"")</f>
        <v/>
      </c>
      <c r="D172" s="17" t="str">
        <f>IFERROR(VLOOKUP(B172,'MASTER DATA'!$A$1:$E$212,5,FALSE),"")</f>
        <v/>
      </c>
      <c r="E172" s="17"/>
      <c r="F172" s="17" t="str">
        <f>IFERROR(VLOOKUP(B172,'MASTER DATA'!$A$1:$E$212,4,FALSE),"")</f>
        <v/>
      </c>
      <c r="G172" s="17"/>
      <c r="H172" s="17"/>
      <c r="I172" s="17"/>
      <c r="J172" s="17" t="b">
        <v>0</v>
      </c>
    </row>
    <row r="173">
      <c r="A173" s="17"/>
      <c r="B173" s="17"/>
      <c r="C173" s="17" t="str">
        <f>IFERROR(VLOOKUP(B173,'MASTER DATA'!$A$1:$E$212,2,FALSE),"")</f>
        <v/>
      </c>
      <c r="D173" s="17" t="str">
        <f>IFERROR(VLOOKUP(B173,'MASTER DATA'!$A$1:$E$212,5,FALSE),"")</f>
        <v/>
      </c>
      <c r="E173" s="17"/>
      <c r="F173" s="17" t="str">
        <f>IFERROR(VLOOKUP(B173,'MASTER DATA'!$A$1:$E$212,4,FALSE),"")</f>
        <v/>
      </c>
      <c r="G173" s="17"/>
      <c r="H173" s="17"/>
      <c r="I173" s="17"/>
      <c r="J173" s="17" t="b">
        <v>0</v>
      </c>
    </row>
    <row r="174">
      <c r="A174" s="17"/>
      <c r="B174" s="17"/>
      <c r="C174" s="17" t="str">
        <f>IFERROR(VLOOKUP(B174,'MASTER DATA'!$A$1:$E$212,2,FALSE),"")</f>
        <v/>
      </c>
      <c r="D174" s="17" t="str">
        <f>IFERROR(VLOOKUP(B174,'MASTER DATA'!$A$1:$E$212,5,FALSE),"")</f>
        <v/>
      </c>
      <c r="E174" s="17"/>
      <c r="F174" s="17" t="str">
        <f>IFERROR(VLOOKUP(B174,'MASTER DATA'!$A$1:$E$212,4,FALSE),"")</f>
        <v/>
      </c>
      <c r="G174" s="17"/>
      <c r="H174" s="17"/>
      <c r="I174" s="17"/>
      <c r="J174" s="17" t="b">
        <v>0</v>
      </c>
    </row>
    <row r="175">
      <c r="A175" s="17"/>
      <c r="B175" s="17"/>
      <c r="C175" s="17" t="str">
        <f>IFERROR(VLOOKUP(B175,'MASTER DATA'!$A$1:$E$212,2,FALSE),"")</f>
        <v/>
      </c>
      <c r="D175" s="17" t="str">
        <f>IFERROR(VLOOKUP(B175,'MASTER DATA'!$A$1:$E$212,5,FALSE),"")</f>
        <v/>
      </c>
      <c r="E175" s="17"/>
      <c r="F175" s="17" t="str">
        <f>IFERROR(VLOOKUP(B175,'MASTER DATA'!$A$1:$E$212,4,FALSE),"")</f>
        <v/>
      </c>
      <c r="G175" s="17"/>
      <c r="H175" s="17"/>
      <c r="I175" s="17"/>
      <c r="J175" s="17" t="b">
        <v>0</v>
      </c>
    </row>
    <row r="176">
      <c r="A176" s="17"/>
      <c r="B176" s="17"/>
      <c r="C176" s="17" t="str">
        <f>IFERROR(VLOOKUP(B176,'MASTER DATA'!$A$1:$E$212,2,FALSE),"")</f>
        <v/>
      </c>
      <c r="D176" s="17" t="str">
        <f>IFERROR(VLOOKUP(B176,'MASTER DATA'!$A$1:$E$212,5,FALSE),"")</f>
        <v/>
      </c>
      <c r="E176" s="17"/>
      <c r="F176" s="17" t="str">
        <f>IFERROR(VLOOKUP(B176,'MASTER DATA'!$A$1:$E$212,4,FALSE),"")</f>
        <v/>
      </c>
      <c r="G176" s="17"/>
      <c r="H176" s="17"/>
      <c r="I176" s="17"/>
      <c r="J176" s="17" t="b">
        <v>0</v>
      </c>
    </row>
    <row r="177">
      <c r="A177" s="17"/>
      <c r="B177" s="17"/>
      <c r="C177" s="17" t="str">
        <f>IFERROR(VLOOKUP(B177,'MASTER DATA'!$A$1:$E$212,2,FALSE),"")</f>
        <v/>
      </c>
      <c r="D177" s="17" t="str">
        <f>IFERROR(VLOOKUP(B177,'MASTER DATA'!$A$1:$E$212,5,FALSE),"")</f>
        <v/>
      </c>
      <c r="E177" s="17"/>
      <c r="F177" s="17" t="str">
        <f>IFERROR(VLOOKUP(B177,'MASTER DATA'!$A$1:$E$212,4,FALSE),"")</f>
        <v/>
      </c>
      <c r="G177" s="17"/>
      <c r="H177" s="17"/>
      <c r="I177" s="17"/>
      <c r="J177" s="17" t="b">
        <v>0</v>
      </c>
    </row>
    <row r="178">
      <c r="A178" s="17"/>
      <c r="B178" s="17"/>
      <c r="C178" s="17" t="str">
        <f>IFERROR(VLOOKUP(B178,'MASTER DATA'!$A$1:$E$212,2,FALSE),"")</f>
        <v/>
      </c>
      <c r="D178" s="17" t="str">
        <f>IFERROR(VLOOKUP(B178,'MASTER DATA'!$A$1:$E$212,5,FALSE),"")</f>
        <v/>
      </c>
      <c r="E178" s="17"/>
      <c r="F178" s="17" t="str">
        <f>IFERROR(VLOOKUP(B178,'MASTER DATA'!$A$1:$E$212,4,FALSE),"")</f>
        <v/>
      </c>
      <c r="G178" s="17"/>
      <c r="H178" s="17"/>
      <c r="I178" s="17"/>
      <c r="J178" s="17" t="b">
        <v>0</v>
      </c>
    </row>
    <row r="179">
      <c r="A179" s="17"/>
      <c r="B179" s="17"/>
      <c r="C179" s="17" t="str">
        <f>IFERROR(VLOOKUP(B179,'MASTER DATA'!$A$1:$E$212,2,FALSE),"")</f>
        <v/>
      </c>
      <c r="D179" s="17" t="str">
        <f>IFERROR(VLOOKUP(B179,'MASTER DATA'!$A$1:$E$212,5,FALSE),"")</f>
        <v/>
      </c>
      <c r="E179" s="17"/>
      <c r="F179" s="17" t="str">
        <f>IFERROR(VLOOKUP(B179,'MASTER DATA'!$A$1:$E$212,4,FALSE),"")</f>
        <v/>
      </c>
      <c r="G179" s="17"/>
      <c r="H179" s="17"/>
      <c r="I179" s="17"/>
      <c r="J179" s="17" t="b">
        <v>0</v>
      </c>
    </row>
    <row r="180">
      <c r="A180" s="17"/>
      <c r="B180" s="17"/>
      <c r="C180" s="17" t="str">
        <f>IFERROR(VLOOKUP(B180,'MASTER DATA'!$A$1:$E$212,2,FALSE),"")</f>
        <v/>
      </c>
      <c r="D180" s="17" t="str">
        <f>IFERROR(VLOOKUP(B180,'MASTER DATA'!$A$1:$E$212,5,FALSE),"")</f>
        <v/>
      </c>
      <c r="E180" s="17"/>
      <c r="F180" s="17" t="str">
        <f>IFERROR(VLOOKUP(B180,'MASTER DATA'!$A$1:$E$212,4,FALSE),"")</f>
        <v/>
      </c>
      <c r="G180" s="17"/>
      <c r="H180" s="17"/>
      <c r="I180" s="17"/>
      <c r="J180" s="17" t="b">
        <v>0</v>
      </c>
    </row>
    <row r="181">
      <c r="A181" s="17"/>
      <c r="B181" s="17"/>
      <c r="C181" s="17" t="str">
        <f>IFERROR(VLOOKUP(B181,'MASTER DATA'!$A$1:$E$212,2,FALSE),"")</f>
        <v/>
      </c>
      <c r="D181" s="17" t="str">
        <f>IFERROR(VLOOKUP(B181,'MASTER DATA'!$A$1:$E$212,5,FALSE),"")</f>
        <v/>
      </c>
      <c r="E181" s="17"/>
      <c r="F181" s="17" t="str">
        <f>IFERROR(VLOOKUP(B181,'MASTER DATA'!$A$1:$E$212,4,FALSE),"")</f>
        <v/>
      </c>
      <c r="G181" s="17"/>
      <c r="H181" s="17"/>
      <c r="I181" s="17"/>
      <c r="J181" s="17" t="b">
        <v>0</v>
      </c>
    </row>
    <row r="182">
      <c r="A182" s="17"/>
      <c r="B182" s="17"/>
      <c r="C182" s="17" t="str">
        <f>IFERROR(VLOOKUP(B182,'MASTER DATA'!$A$1:$E$212,2,FALSE),"")</f>
        <v/>
      </c>
      <c r="D182" s="17" t="str">
        <f>IFERROR(VLOOKUP(B182,'MASTER DATA'!$A$1:$E$212,5,FALSE),"")</f>
        <v/>
      </c>
      <c r="E182" s="17"/>
      <c r="F182" s="17" t="str">
        <f>IFERROR(VLOOKUP(B182,'MASTER DATA'!$A$1:$E$212,4,FALSE),"")</f>
        <v/>
      </c>
      <c r="G182" s="17"/>
      <c r="H182" s="17"/>
      <c r="I182" s="17"/>
      <c r="J182" s="17" t="b">
        <v>0</v>
      </c>
    </row>
    <row r="183">
      <c r="A183" s="17"/>
      <c r="B183" s="17"/>
      <c r="C183" s="17" t="str">
        <f>IFERROR(VLOOKUP(B183,'MASTER DATA'!$A$1:$E$212,2,FALSE),"")</f>
        <v/>
      </c>
      <c r="D183" s="17" t="str">
        <f>IFERROR(VLOOKUP(B183,'MASTER DATA'!$A$1:$E$212,5,FALSE),"")</f>
        <v/>
      </c>
      <c r="E183" s="17"/>
      <c r="F183" s="17" t="str">
        <f>IFERROR(VLOOKUP(B183,'MASTER DATA'!$A$1:$E$212,4,FALSE),"")</f>
        <v/>
      </c>
      <c r="G183" s="17"/>
      <c r="H183" s="17"/>
      <c r="I183" s="17"/>
      <c r="J183" s="17" t="b">
        <v>0</v>
      </c>
    </row>
    <row r="184">
      <c r="A184" s="17"/>
      <c r="B184" s="17"/>
      <c r="C184" s="17" t="str">
        <f>IFERROR(VLOOKUP(B184,'MASTER DATA'!$A$1:$E$212,2,FALSE),"")</f>
        <v/>
      </c>
      <c r="D184" s="17" t="str">
        <f>IFERROR(VLOOKUP(B184,'MASTER DATA'!$A$1:$E$212,5,FALSE),"")</f>
        <v/>
      </c>
      <c r="E184" s="17"/>
      <c r="F184" s="17" t="str">
        <f>IFERROR(VLOOKUP(B184,'MASTER DATA'!$A$1:$E$212,4,FALSE),"")</f>
        <v/>
      </c>
      <c r="G184" s="17"/>
      <c r="H184" s="17"/>
      <c r="I184" s="17"/>
      <c r="J184" s="17" t="b">
        <v>0</v>
      </c>
    </row>
    <row r="185">
      <c r="A185" s="17"/>
      <c r="B185" s="17"/>
      <c r="C185" s="17" t="str">
        <f>IFERROR(VLOOKUP(B185,'MASTER DATA'!$A$1:$E$212,2,FALSE),"")</f>
        <v/>
      </c>
      <c r="D185" s="17" t="str">
        <f>IFERROR(VLOOKUP(B185,'MASTER DATA'!$A$1:$E$212,5,FALSE),"")</f>
        <v/>
      </c>
      <c r="E185" s="17"/>
      <c r="F185" s="17" t="str">
        <f>IFERROR(VLOOKUP(B185,'MASTER DATA'!$A$1:$E$212,4,FALSE),"")</f>
        <v/>
      </c>
      <c r="G185" s="17"/>
      <c r="H185" s="17"/>
      <c r="I185" s="17"/>
      <c r="J185" s="17" t="b">
        <v>0</v>
      </c>
    </row>
    <row r="186">
      <c r="A186" s="17"/>
      <c r="B186" s="17"/>
      <c r="C186" s="17" t="str">
        <f>IFERROR(VLOOKUP(B186,'MASTER DATA'!$A$1:$E$212,2,FALSE),"")</f>
        <v/>
      </c>
      <c r="D186" s="17" t="str">
        <f>IFERROR(VLOOKUP(B186,'MASTER DATA'!$A$1:$E$212,5,FALSE),"")</f>
        <v/>
      </c>
      <c r="E186" s="17"/>
      <c r="F186" s="17" t="str">
        <f>IFERROR(VLOOKUP(B186,'MASTER DATA'!$A$1:$E$212,4,FALSE),"")</f>
        <v/>
      </c>
      <c r="G186" s="17"/>
      <c r="H186" s="17"/>
      <c r="I186" s="17"/>
      <c r="J186" s="17" t="b">
        <v>0</v>
      </c>
    </row>
    <row r="187">
      <c r="A187" s="17"/>
      <c r="B187" s="17"/>
      <c r="C187" s="17" t="str">
        <f>IFERROR(VLOOKUP(B187,'MASTER DATA'!$A$1:$E$212,2,FALSE),"")</f>
        <v/>
      </c>
      <c r="D187" s="17" t="str">
        <f>IFERROR(VLOOKUP(B187,'MASTER DATA'!$A$1:$E$212,5,FALSE),"")</f>
        <v/>
      </c>
      <c r="E187" s="17"/>
      <c r="F187" s="17" t="str">
        <f>IFERROR(VLOOKUP(B187,'MASTER DATA'!$A$1:$E$212,4,FALSE),"")</f>
        <v/>
      </c>
      <c r="G187" s="17"/>
      <c r="H187" s="17"/>
      <c r="I187" s="17"/>
      <c r="J187" s="17" t="b">
        <v>0</v>
      </c>
    </row>
    <row r="188">
      <c r="A188" s="17"/>
      <c r="B188" s="17"/>
      <c r="C188" s="17" t="str">
        <f>IFERROR(VLOOKUP(B188,'MASTER DATA'!$A$1:$E$212,2,FALSE),"")</f>
        <v/>
      </c>
      <c r="D188" s="17" t="str">
        <f>IFERROR(VLOOKUP(B188,'MASTER DATA'!$A$1:$E$212,5,FALSE),"")</f>
        <v/>
      </c>
      <c r="E188" s="17"/>
      <c r="F188" s="17" t="str">
        <f>IFERROR(VLOOKUP(B188,'MASTER DATA'!$A$1:$E$212,4,FALSE),"")</f>
        <v/>
      </c>
      <c r="G188" s="17"/>
      <c r="H188" s="17"/>
      <c r="I188" s="17"/>
      <c r="J188" s="17" t="b">
        <v>0</v>
      </c>
    </row>
    <row r="189">
      <c r="A189" s="17"/>
      <c r="B189" s="17"/>
      <c r="C189" s="17" t="str">
        <f>IFERROR(VLOOKUP(B189,'MASTER DATA'!$A$1:$E$212,2,FALSE),"")</f>
        <v/>
      </c>
      <c r="D189" s="17" t="str">
        <f>IFERROR(VLOOKUP(B189,'MASTER DATA'!$A$1:$E$212,5,FALSE),"")</f>
        <v/>
      </c>
      <c r="E189" s="17"/>
      <c r="F189" s="17" t="str">
        <f>IFERROR(VLOOKUP(B189,'MASTER DATA'!$A$1:$E$212,4,FALSE),"")</f>
        <v/>
      </c>
      <c r="G189" s="17"/>
      <c r="H189" s="17"/>
      <c r="I189" s="17"/>
      <c r="J189" s="17" t="b">
        <v>0</v>
      </c>
    </row>
    <row r="190">
      <c r="A190" s="17"/>
      <c r="B190" s="17"/>
      <c r="C190" s="17" t="str">
        <f>IFERROR(VLOOKUP(B190,'MASTER DATA'!$A$1:$E$212,2,FALSE),"")</f>
        <v/>
      </c>
      <c r="D190" s="17" t="str">
        <f>IFERROR(VLOOKUP(B190,'MASTER DATA'!$A$1:$E$212,5,FALSE),"")</f>
        <v/>
      </c>
      <c r="E190" s="17"/>
      <c r="F190" s="17" t="str">
        <f>IFERROR(VLOOKUP(B190,'MASTER DATA'!$A$1:$E$212,4,FALSE),"")</f>
        <v/>
      </c>
      <c r="G190" s="17"/>
      <c r="H190" s="17"/>
      <c r="I190" s="17"/>
      <c r="J190" s="17" t="b">
        <v>0</v>
      </c>
    </row>
    <row r="191">
      <c r="A191" s="17"/>
      <c r="B191" s="17"/>
      <c r="C191" s="17" t="str">
        <f>IFERROR(VLOOKUP(B191,'MASTER DATA'!$A$1:$E$212,2,FALSE),"")</f>
        <v/>
      </c>
      <c r="D191" s="17" t="str">
        <f>IFERROR(VLOOKUP(B191,'MASTER DATA'!$A$1:$E$212,5,FALSE),"")</f>
        <v/>
      </c>
      <c r="E191" s="17"/>
      <c r="F191" s="17" t="str">
        <f>IFERROR(VLOOKUP(B191,'MASTER DATA'!$A$1:$E$212,4,FALSE),"")</f>
        <v/>
      </c>
      <c r="G191" s="17"/>
      <c r="H191" s="17"/>
      <c r="I191" s="17"/>
      <c r="J191" s="17" t="b">
        <v>0</v>
      </c>
    </row>
    <row r="192">
      <c r="A192" s="17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 t="str">
        <f>IFERROR(VLOOKUP(B192,'MASTER DATA'!$A$1:$E$212,4,FALSE),"")</f>
        <v/>
      </c>
      <c r="G192" s="17"/>
      <c r="H192" s="17"/>
      <c r="I192" s="17"/>
      <c r="J192" s="17" t="b">
        <v>0</v>
      </c>
    </row>
    <row r="193">
      <c r="A193" s="17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 t="str">
        <f>IFERROR(VLOOKUP(B193,'MASTER DATA'!$A$1:$E$212,4,FALSE),"")</f>
        <v/>
      </c>
      <c r="G193" s="17"/>
      <c r="H193" s="17"/>
      <c r="I193" s="17"/>
      <c r="J193" s="17" t="b">
        <v>0</v>
      </c>
    </row>
    <row r="194">
      <c r="A194" s="17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 t="str">
        <f>IFERROR(VLOOKUP(B194,'MASTER DATA'!$A$1:$E$212,4,FALSE),"")</f>
        <v/>
      </c>
      <c r="G194" s="17"/>
      <c r="H194" s="17"/>
      <c r="I194" s="17"/>
      <c r="J194" s="17" t="b">
        <v>0</v>
      </c>
    </row>
    <row r="195">
      <c r="A195" s="17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 t="str">
        <f>IFERROR(VLOOKUP(B195,'MASTER DATA'!$A$1:$E$212,4,FALSE),"")</f>
        <v/>
      </c>
      <c r="G195" s="17"/>
      <c r="H195" s="17"/>
      <c r="I195" s="17"/>
      <c r="J195" s="17" t="b">
        <v>0</v>
      </c>
    </row>
    <row r="196">
      <c r="A196" s="17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 t="str">
        <f>IFERROR(VLOOKUP(B196,'MASTER DATA'!$A$1:$E$212,4,FALSE),"")</f>
        <v/>
      </c>
      <c r="G196" s="17"/>
      <c r="H196" s="17"/>
      <c r="I196" s="17"/>
      <c r="J196" s="17" t="b">
        <v>0</v>
      </c>
    </row>
    <row r="197">
      <c r="A197" s="17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 t="str">
        <f>IFERROR(VLOOKUP(B197,'MASTER DATA'!$A$1:$E$212,4,FALSE),"")</f>
        <v/>
      </c>
      <c r="G197" s="17"/>
      <c r="H197" s="17"/>
      <c r="I197" s="17"/>
      <c r="J197" s="17" t="b">
        <v>0</v>
      </c>
    </row>
    <row r="198">
      <c r="A198" s="17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 t="str">
        <f>IFERROR(VLOOKUP(B198,'MASTER DATA'!$A$1:$E$212,4,FALSE),"")</f>
        <v/>
      </c>
      <c r="G198" s="17"/>
      <c r="H198" s="17"/>
      <c r="I198" s="17"/>
      <c r="J198" s="17" t="b">
        <v>0</v>
      </c>
    </row>
    <row r="199">
      <c r="A199" s="17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 t="str">
        <f>IFERROR(VLOOKUP(B199,'MASTER DATA'!$A$1:$E$212,4,FALSE),"")</f>
        <v/>
      </c>
      <c r="G199" s="17"/>
      <c r="H199" s="17"/>
      <c r="I199" s="17"/>
      <c r="J199" s="17" t="b">
        <v>0</v>
      </c>
    </row>
    <row r="200">
      <c r="A200" s="17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 t="str">
        <f>IFERROR(VLOOKUP(B200,'MASTER DATA'!$A$1:$E$212,4,FALSE),"")</f>
        <v/>
      </c>
      <c r="G200" s="17"/>
      <c r="H200" s="17"/>
      <c r="I200" s="17"/>
      <c r="J200" s="17" t="b">
        <v>0</v>
      </c>
    </row>
    <row r="201">
      <c r="A201" s="17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 t="str">
        <f>IFERROR(VLOOKUP(B201,'MASTER DATA'!$A$1:$E$212,4,FALSE),"")</f>
        <v/>
      </c>
      <c r="G201" s="17"/>
      <c r="H201" s="17"/>
      <c r="I201" s="17"/>
      <c r="J201" s="17" t="b">
        <v>0</v>
      </c>
    </row>
    <row r="202">
      <c r="A202" s="17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 t="str">
        <f>IFERROR(VLOOKUP(B202,'MASTER DATA'!$A$1:$E$212,4,FALSE),"")</f>
        <v/>
      </c>
      <c r="G202" s="17"/>
      <c r="H202" s="17"/>
      <c r="I202" s="17"/>
      <c r="J202" s="17" t="b">
        <v>0</v>
      </c>
    </row>
    <row r="203">
      <c r="A203" s="17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 t="str">
        <f>IFERROR(VLOOKUP(B203,'MASTER DATA'!$A$1:$E$212,4,FALSE),"")</f>
        <v/>
      </c>
      <c r="G203" s="17"/>
      <c r="H203" s="17"/>
      <c r="I203" s="17"/>
      <c r="J203" s="17" t="b">
        <v>0</v>
      </c>
    </row>
    <row r="204">
      <c r="A204" s="17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 t="str">
        <f>IFERROR(VLOOKUP(B204,'MASTER DATA'!$A$1:$E$212,4,FALSE),"")</f>
        <v/>
      </c>
      <c r="G204" s="17"/>
      <c r="H204" s="17"/>
      <c r="I204" s="17"/>
      <c r="J204" s="17" t="b">
        <v>0</v>
      </c>
    </row>
    <row r="205">
      <c r="A205" s="17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 t="str">
        <f>IFERROR(VLOOKUP(B205,'MASTER DATA'!$A$1:$E$212,4,FALSE),"")</f>
        <v/>
      </c>
      <c r="G205" s="17"/>
      <c r="H205" s="17"/>
      <c r="I205" s="17"/>
      <c r="J205" s="17" t="b">
        <v>0</v>
      </c>
    </row>
    <row r="206">
      <c r="A206" s="17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 t="str">
        <f>IFERROR(VLOOKUP(B206,'MASTER DATA'!$A$1:$E$212,4,FALSE),"")</f>
        <v/>
      </c>
      <c r="G206" s="17"/>
      <c r="H206" s="17"/>
      <c r="I206" s="17"/>
      <c r="J206" s="17" t="b">
        <v>0</v>
      </c>
    </row>
    <row r="207">
      <c r="A207" s="17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 t="str">
        <f>IFERROR(VLOOKUP(B207,'MASTER DATA'!$A$1:$E$212,4,FALSE),"")</f>
        <v/>
      </c>
      <c r="G207" s="17"/>
      <c r="H207" s="17"/>
      <c r="I207" s="17"/>
      <c r="J207" s="17" t="b">
        <v>0</v>
      </c>
    </row>
    <row r="208">
      <c r="A208" s="17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 t="str">
        <f>IFERROR(VLOOKUP(B208,'MASTER DATA'!$A$1:$E$212,4,FALSE),"")</f>
        <v/>
      </c>
      <c r="G208" s="17"/>
      <c r="H208" s="17"/>
      <c r="I208" s="17"/>
      <c r="J208" s="17" t="b">
        <v>0</v>
      </c>
    </row>
    <row r="209">
      <c r="A209" s="17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 t="str">
        <f>IFERROR(VLOOKUP(B209,'MASTER DATA'!$A$1:$E$212,4,FALSE),"")</f>
        <v/>
      </c>
      <c r="G209" s="17"/>
      <c r="H209" s="17"/>
      <c r="I209" s="17"/>
      <c r="J209" s="17" t="b">
        <v>0</v>
      </c>
    </row>
    <row r="210">
      <c r="A210" s="17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 t="str">
        <f>IFERROR(VLOOKUP(B210,'MASTER DATA'!$A$1:$E$212,4,FALSE),"")</f>
        <v/>
      </c>
      <c r="G210" s="17"/>
      <c r="H210" s="17"/>
      <c r="I210" s="17"/>
      <c r="J210" s="17" t="b">
        <v>0</v>
      </c>
    </row>
    <row r="211">
      <c r="A211" s="17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 t="str">
        <f>IFERROR(VLOOKUP(B211,'MASTER DATA'!$A$1:$E$212,4,FALSE),"")</f>
        <v/>
      </c>
      <c r="G211" s="17"/>
      <c r="H211" s="17"/>
      <c r="I211" s="17"/>
      <c r="J211" s="17" t="b">
        <v>0</v>
      </c>
    </row>
    <row r="212">
      <c r="A212" s="17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 t="str">
        <f>IFERROR(VLOOKUP(B212,'MASTER DATA'!$A$1:$E$212,4,FALSE),"")</f>
        <v/>
      </c>
      <c r="G212" s="17"/>
      <c r="H212" s="17"/>
      <c r="I212" s="17"/>
      <c r="J212" s="17" t="b">
        <v>0</v>
      </c>
    </row>
    <row r="213">
      <c r="A213" s="17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 t="str">
        <f>IFERROR(VLOOKUP(B213,'MASTER DATA'!$A$1:$E$212,4,FALSE),"")</f>
        <v/>
      </c>
      <c r="G213" s="17"/>
      <c r="H213" s="17"/>
      <c r="I213" s="17"/>
      <c r="J213" s="17" t="b">
        <v>0</v>
      </c>
    </row>
    <row r="214">
      <c r="A214" s="17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 t="str">
        <f>IFERROR(VLOOKUP(B214,'MASTER DATA'!$A$1:$E$212,4,FALSE),"")</f>
        <v/>
      </c>
      <c r="G214" s="17"/>
      <c r="H214" s="17"/>
      <c r="I214" s="17"/>
      <c r="J214" s="17" t="b">
        <v>0</v>
      </c>
    </row>
    <row r="215">
      <c r="A215" s="17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 t="str">
        <f>IFERROR(VLOOKUP(B215,'MASTER DATA'!$A$1:$E$212,4,FALSE),"")</f>
        <v/>
      </c>
      <c r="G215" s="17"/>
      <c r="H215" s="17"/>
      <c r="I215" s="17"/>
      <c r="J215" s="17" t="b">
        <v>0</v>
      </c>
    </row>
    <row r="216">
      <c r="A216" s="17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 t="str">
        <f>IFERROR(VLOOKUP(B216,'MASTER DATA'!$A$1:$E$212,4,FALSE),"")</f>
        <v/>
      </c>
      <c r="G216" s="17"/>
      <c r="H216" s="17"/>
      <c r="I216" s="17"/>
      <c r="J216" s="17" t="b">
        <v>0</v>
      </c>
    </row>
    <row r="217">
      <c r="A217" s="17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 t="str">
        <f>IFERROR(VLOOKUP(B217,'MASTER DATA'!$A$1:$E$212,4,FALSE),"")</f>
        <v/>
      </c>
      <c r="G217" s="17"/>
      <c r="H217" s="17"/>
      <c r="I217" s="17"/>
      <c r="J217" s="17" t="b">
        <v>0</v>
      </c>
    </row>
    <row r="218">
      <c r="A218" s="17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 t="str">
        <f>IFERROR(VLOOKUP(B218,'MASTER DATA'!$A$1:$E$212,4,FALSE),"")</f>
        <v/>
      </c>
      <c r="G218" s="17"/>
      <c r="H218" s="17"/>
      <c r="I218" s="17"/>
      <c r="J218" s="17" t="b">
        <v>0</v>
      </c>
    </row>
    <row r="219">
      <c r="A219" s="17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 t="str">
        <f>IFERROR(VLOOKUP(B219,'MASTER DATA'!$A$1:$E$212,4,FALSE),"")</f>
        <v/>
      </c>
      <c r="G219" s="17"/>
      <c r="H219" s="17"/>
      <c r="I219" s="17"/>
      <c r="J219" s="17" t="b">
        <v>0</v>
      </c>
    </row>
    <row r="220">
      <c r="A220" s="17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 t="str">
        <f>IFERROR(VLOOKUP(B220,'MASTER DATA'!$A$1:$E$212,4,FALSE),"")</f>
        <v/>
      </c>
      <c r="G220" s="17"/>
      <c r="H220" s="17"/>
      <c r="I220" s="17"/>
      <c r="J220" s="17" t="b">
        <v>0</v>
      </c>
    </row>
    <row r="221">
      <c r="A221" s="17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 t="str">
        <f>IFERROR(VLOOKUP(B221,'MASTER DATA'!$A$1:$E$212,4,FALSE),"")</f>
        <v/>
      </c>
      <c r="G221" s="17"/>
      <c r="H221" s="17"/>
      <c r="I221" s="17"/>
      <c r="J221" s="17" t="b">
        <v>0</v>
      </c>
    </row>
    <row r="222">
      <c r="A222" s="17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 t="str">
        <f>IFERROR(VLOOKUP(B222,'MASTER DATA'!$A$1:$E$212,4,FALSE),"")</f>
        <v/>
      </c>
      <c r="G222" s="17"/>
      <c r="H222" s="17"/>
      <c r="I222" s="17"/>
      <c r="J222" s="17" t="b">
        <v>0</v>
      </c>
    </row>
    <row r="223">
      <c r="A223" s="17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 t="str">
        <f>IFERROR(VLOOKUP(B223,'MASTER DATA'!$A$1:$E$212,4,FALSE),"")</f>
        <v/>
      </c>
      <c r="G223" s="17"/>
      <c r="H223" s="17"/>
      <c r="I223" s="17"/>
      <c r="J223" s="17" t="b">
        <v>0</v>
      </c>
    </row>
    <row r="224">
      <c r="A224" s="17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 t="str">
        <f>IFERROR(VLOOKUP(B224,'MASTER DATA'!$A$1:$E$212,4,FALSE),"")</f>
        <v/>
      </c>
      <c r="G224" s="17"/>
      <c r="H224" s="17"/>
      <c r="I224" s="17"/>
      <c r="J224" s="17" t="b">
        <v>0</v>
      </c>
    </row>
    <row r="225">
      <c r="A225" s="17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 t="str">
        <f>IFERROR(VLOOKUP(B225,'MASTER DATA'!$A$1:$E$212,4,FALSE),"")</f>
        <v/>
      </c>
      <c r="G225" s="17"/>
      <c r="H225" s="17"/>
      <c r="I225" s="17"/>
      <c r="J225" s="17" t="b">
        <v>0</v>
      </c>
    </row>
    <row r="226">
      <c r="A226" s="17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 t="str">
        <f>IFERROR(VLOOKUP(B226,'MASTER DATA'!$A$1:$E$212,4,FALSE),"")</f>
        <v/>
      </c>
      <c r="G226" s="17"/>
      <c r="H226" s="17"/>
      <c r="I226" s="17"/>
      <c r="J226" s="17" t="b">
        <v>0</v>
      </c>
    </row>
    <row r="227">
      <c r="A227" s="17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 t="str">
        <f>IFERROR(VLOOKUP(B227,'MASTER DATA'!$A$1:$E$212,4,FALSE),"")</f>
        <v/>
      </c>
      <c r="G227" s="17"/>
      <c r="H227" s="17"/>
      <c r="I227" s="17"/>
      <c r="J227" s="17" t="b">
        <v>0</v>
      </c>
    </row>
    <row r="228">
      <c r="A228" s="17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 t="str">
        <f>IFERROR(VLOOKUP(B228,'MASTER DATA'!$A$1:$E$212,4,FALSE),"")</f>
        <v/>
      </c>
      <c r="G228" s="17"/>
      <c r="H228" s="17"/>
      <c r="I228" s="17"/>
      <c r="J228" s="17" t="b">
        <v>0</v>
      </c>
    </row>
    <row r="229">
      <c r="A229" s="17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 t="str">
        <f>IFERROR(VLOOKUP(B229,'MASTER DATA'!$A$1:$E$212,4,FALSE),"")</f>
        <v/>
      </c>
      <c r="G229" s="17"/>
      <c r="H229" s="17"/>
      <c r="I229" s="17"/>
      <c r="J229" s="17" t="b">
        <v>0</v>
      </c>
    </row>
    <row r="230">
      <c r="A230" s="17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 t="str">
        <f>IFERROR(VLOOKUP(B230,'MASTER DATA'!$A$1:$E$212,4,FALSE),"")</f>
        <v/>
      </c>
      <c r="G230" s="17"/>
      <c r="H230" s="17"/>
      <c r="I230" s="17"/>
      <c r="J230" s="17" t="b">
        <v>0</v>
      </c>
    </row>
    <row r="231">
      <c r="A231" s="17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 t="str">
        <f>IFERROR(VLOOKUP(B231,'MASTER DATA'!$A$1:$E$212,4,FALSE),"")</f>
        <v/>
      </c>
      <c r="G231" s="17"/>
      <c r="H231" s="17"/>
      <c r="I231" s="17"/>
      <c r="J231" s="17" t="b">
        <v>0</v>
      </c>
    </row>
    <row r="232">
      <c r="A232" s="17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 t="str">
        <f>IFERROR(VLOOKUP(B232,'MASTER DATA'!$A$1:$E$212,4,FALSE),"")</f>
        <v/>
      </c>
      <c r="G232" s="17"/>
      <c r="H232" s="17"/>
      <c r="I232" s="17"/>
      <c r="J232" s="17" t="b">
        <v>0</v>
      </c>
    </row>
    <row r="233">
      <c r="A233" s="17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 t="str">
        <f>IFERROR(VLOOKUP(B233,'MASTER DATA'!$A$1:$E$212,4,FALSE),"")</f>
        <v/>
      </c>
      <c r="G233" s="17"/>
      <c r="H233" s="17"/>
      <c r="I233" s="17"/>
      <c r="J233" s="17" t="b">
        <v>0</v>
      </c>
    </row>
    <row r="234">
      <c r="A234" s="17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 t="str">
        <f>IFERROR(VLOOKUP(B234,'MASTER DATA'!$A$1:$E$212,4,FALSE),"")</f>
        <v/>
      </c>
      <c r="G234" s="17"/>
      <c r="H234" s="17"/>
      <c r="I234" s="17"/>
      <c r="J234" s="17" t="b">
        <v>0</v>
      </c>
    </row>
    <row r="235">
      <c r="A235" s="17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 t="str">
        <f>IFERROR(VLOOKUP(B235,'MASTER DATA'!$A$1:$E$212,4,FALSE),"")</f>
        <v/>
      </c>
      <c r="G235" s="17"/>
      <c r="H235" s="17"/>
      <c r="I235" s="17"/>
      <c r="J235" s="17" t="b">
        <v>0</v>
      </c>
    </row>
    <row r="236">
      <c r="A236" s="17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 t="str">
        <f>IFERROR(VLOOKUP(B236,'MASTER DATA'!$A$1:$E$212,4,FALSE),"")</f>
        <v/>
      </c>
      <c r="G236" s="17"/>
      <c r="H236" s="17"/>
      <c r="I236" s="17"/>
      <c r="J236" s="17" t="b">
        <v>0</v>
      </c>
    </row>
    <row r="237">
      <c r="A237" s="17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 t="str">
        <f>IFERROR(VLOOKUP(B237,'MASTER DATA'!$A$1:$E$212,4,FALSE),"")</f>
        <v/>
      </c>
      <c r="G237" s="17"/>
      <c r="H237" s="17"/>
      <c r="I237" s="17"/>
      <c r="J237" s="17" t="b">
        <v>0</v>
      </c>
    </row>
    <row r="238">
      <c r="A238" s="17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 t="str">
        <f>IFERROR(VLOOKUP(B238,'MASTER DATA'!$A$1:$E$212,4,FALSE),"")</f>
        <v/>
      </c>
      <c r="G238" s="17"/>
      <c r="H238" s="17"/>
      <c r="I238" s="17"/>
      <c r="J238" s="17" t="b">
        <v>0</v>
      </c>
    </row>
    <row r="239">
      <c r="A239" s="17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 t="str">
        <f>IFERROR(VLOOKUP(B239,'MASTER DATA'!$A$1:$E$212,4,FALSE),"")</f>
        <v/>
      </c>
      <c r="G239" s="17"/>
      <c r="H239" s="17"/>
      <c r="I239" s="17"/>
      <c r="J239" s="17" t="b">
        <v>0</v>
      </c>
    </row>
    <row r="240">
      <c r="A240" s="17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 t="str">
        <f>IFERROR(VLOOKUP(B240,'MASTER DATA'!$A$1:$E$212,4,FALSE),"")</f>
        <v/>
      </c>
      <c r="G240" s="17"/>
      <c r="H240" s="17"/>
      <c r="I240" s="17"/>
      <c r="J240" s="17" t="b">
        <v>0</v>
      </c>
    </row>
    <row r="241">
      <c r="A241" s="17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 t="str">
        <f>IFERROR(VLOOKUP(B241,'MASTER DATA'!$A$1:$E$212,4,FALSE),"")</f>
        <v/>
      </c>
      <c r="G241" s="17"/>
      <c r="H241" s="17"/>
      <c r="I241" s="17"/>
      <c r="J241" s="17" t="b">
        <v>0</v>
      </c>
    </row>
    <row r="242">
      <c r="A242" s="17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 t="str">
        <f>IFERROR(VLOOKUP(B242,'MASTER DATA'!$A$1:$E$212,4,FALSE),"")</f>
        <v/>
      </c>
      <c r="G242" s="17"/>
      <c r="H242" s="17"/>
      <c r="I242" s="17"/>
      <c r="J242" s="17" t="b">
        <v>0</v>
      </c>
    </row>
    <row r="243">
      <c r="A243" s="17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 t="str">
        <f>IFERROR(VLOOKUP(B243,'MASTER DATA'!$A$1:$E$212,4,FALSE),"")</f>
        <v/>
      </c>
      <c r="G243" s="17"/>
      <c r="H243" s="17"/>
      <c r="I243" s="17"/>
      <c r="J243" s="17" t="b">
        <v>0</v>
      </c>
    </row>
    <row r="244">
      <c r="A244" s="17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 t="str">
        <f>IFERROR(VLOOKUP(B244,'MASTER DATA'!$A$1:$E$212,4,FALSE),"")</f>
        <v/>
      </c>
      <c r="G244" s="17"/>
      <c r="H244" s="17"/>
      <c r="I244" s="17"/>
      <c r="J244" s="17" t="b">
        <v>0</v>
      </c>
    </row>
    <row r="245">
      <c r="A245" s="17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 t="str">
        <f>IFERROR(VLOOKUP(B245,'MASTER DATA'!$A$1:$E$212,4,FALSE),"")</f>
        <v/>
      </c>
      <c r="G245" s="17"/>
      <c r="H245" s="17"/>
      <c r="I245" s="17"/>
      <c r="J245" s="17" t="b">
        <v>0</v>
      </c>
    </row>
    <row r="246">
      <c r="A246" s="17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 t="str">
        <f>IFERROR(VLOOKUP(B246,'MASTER DATA'!$A$1:$E$212,4,FALSE),"")</f>
        <v/>
      </c>
      <c r="G246" s="17"/>
      <c r="H246" s="17"/>
      <c r="I246" s="17"/>
      <c r="J246" s="17" t="b">
        <v>0</v>
      </c>
    </row>
    <row r="247">
      <c r="A247" s="17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 t="str">
        <f>IFERROR(VLOOKUP(B247,'MASTER DATA'!$A$1:$E$212,4,FALSE),"")</f>
        <v/>
      </c>
      <c r="G247" s="17"/>
      <c r="H247" s="17"/>
      <c r="I247" s="17"/>
      <c r="J247" s="17" t="b">
        <v>0</v>
      </c>
    </row>
    <row r="248">
      <c r="A248" s="17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 t="str">
        <f>IFERROR(VLOOKUP(B248,'MASTER DATA'!$A$1:$E$212,4,FALSE),"")</f>
        <v/>
      </c>
      <c r="G248" s="17"/>
      <c r="H248" s="17"/>
      <c r="I248" s="17"/>
      <c r="J248" s="17" t="b">
        <v>0</v>
      </c>
    </row>
    <row r="249">
      <c r="A249" s="17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 t="str">
        <f>IFERROR(VLOOKUP(B249,'MASTER DATA'!$A$1:$E$212,4,FALSE),"")</f>
        <v/>
      </c>
      <c r="G249" s="17"/>
      <c r="H249" s="17"/>
      <c r="I249" s="17"/>
      <c r="J249" s="17" t="b">
        <v>0</v>
      </c>
    </row>
    <row r="250">
      <c r="A250" s="17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 t="str">
        <f>IFERROR(VLOOKUP(B250,'MASTER DATA'!$A$1:$E$212,4,FALSE),"")</f>
        <v/>
      </c>
      <c r="G250" s="17"/>
      <c r="H250" s="17"/>
      <c r="I250" s="17"/>
      <c r="J250" s="17" t="b">
        <v>0</v>
      </c>
    </row>
    <row r="251">
      <c r="A251" s="17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 t="str">
        <f>IFERROR(VLOOKUP(B251,'MASTER DATA'!$A$1:$E$212,4,FALSE),"")</f>
        <v/>
      </c>
      <c r="G251" s="17"/>
      <c r="H251" s="17"/>
      <c r="I251" s="17"/>
      <c r="J251" s="17" t="b">
        <v>0</v>
      </c>
    </row>
    <row r="252">
      <c r="A252" s="17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 t="str">
        <f>IFERROR(VLOOKUP(B252,'MASTER DATA'!$A$1:$E$212,4,FALSE),"")</f>
        <v/>
      </c>
      <c r="G252" s="17"/>
      <c r="H252" s="17"/>
      <c r="I252" s="17"/>
      <c r="J252" s="17" t="b">
        <v>0</v>
      </c>
    </row>
    <row r="253">
      <c r="A253" s="17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 t="str">
        <f>IFERROR(VLOOKUP(B253,'MASTER DATA'!$A$1:$E$212,4,FALSE),"")</f>
        <v/>
      </c>
      <c r="G253" s="17"/>
      <c r="H253" s="17"/>
      <c r="I253" s="17"/>
      <c r="J253" s="17" t="b">
        <v>0</v>
      </c>
    </row>
    <row r="254">
      <c r="A254" s="17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 t="str">
        <f>IFERROR(VLOOKUP(B254,'MASTER DATA'!$A$1:$E$212,4,FALSE),"")</f>
        <v/>
      </c>
      <c r="G254" s="17"/>
      <c r="H254" s="17"/>
      <c r="I254" s="17"/>
      <c r="J254" s="17" t="b">
        <v>0</v>
      </c>
    </row>
    <row r="255">
      <c r="A255" s="17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 t="str">
        <f>IFERROR(VLOOKUP(B255,'MASTER DATA'!$A$1:$E$212,4,FALSE),"")</f>
        <v/>
      </c>
      <c r="G255" s="17"/>
      <c r="H255" s="17"/>
      <c r="I255" s="17"/>
      <c r="J255" s="17" t="b">
        <v>0</v>
      </c>
    </row>
    <row r="256">
      <c r="A256" s="17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 t="str">
        <f>IFERROR(VLOOKUP(B256,'MASTER DATA'!$A$1:$E$212,4,FALSE),"")</f>
        <v/>
      </c>
      <c r="G256" s="17"/>
      <c r="H256" s="17"/>
      <c r="I256" s="17"/>
      <c r="J256" s="17" t="b">
        <v>0</v>
      </c>
    </row>
    <row r="257">
      <c r="A257" s="17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 t="str">
        <f>IFERROR(VLOOKUP(B257,'MASTER DATA'!$A$1:$E$212,4,FALSE),"")</f>
        <v/>
      </c>
      <c r="G257" s="17"/>
      <c r="H257" s="17"/>
      <c r="I257" s="17"/>
      <c r="J257" s="17" t="b">
        <v>0</v>
      </c>
    </row>
    <row r="258">
      <c r="A258" s="17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 t="str">
        <f>IFERROR(VLOOKUP(B258,'MASTER DATA'!$A$1:$E$212,4,FALSE),"")</f>
        <v/>
      </c>
      <c r="G258" s="17"/>
      <c r="H258" s="17"/>
      <c r="I258" s="17"/>
      <c r="J258" s="17" t="b">
        <v>0</v>
      </c>
    </row>
    <row r="259">
      <c r="A259" s="17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 t="str">
        <f>IFERROR(VLOOKUP(B259,'MASTER DATA'!$A$1:$E$212,4,FALSE),"")</f>
        <v/>
      </c>
      <c r="G259" s="17"/>
      <c r="H259" s="17"/>
      <c r="I259" s="17"/>
      <c r="J259" s="17" t="b">
        <v>0</v>
      </c>
    </row>
    <row r="260">
      <c r="A260" s="17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 t="str">
        <f>IFERROR(VLOOKUP(B260,'MASTER DATA'!$A$1:$E$212,4,FALSE),"")</f>
        <v/>
      </c>
      <c r="G260" s="17"/>
      <c r="H260" s="17"/>
      <c r="I260" s="17"/>
      <c r="J260" s="17" t="b">
        <v>0</v>
      </c>
    </row>
    <row r="261">
      <c r="A261" s="17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 t="str">
        <f>IFERROR(VLOOKUP(B261,'MASTER DATA'!$A$1:$E$212,4,FALSE),"")</f>
        <v/>
      </c>
      <c r="G261" s="17"/>
      <c r="H261" s="17"/>
      <c r="I261" s="17"/>
      <c r="J261" s="17" t="b">
        <v>0</v>
      </c>
    </row>
    <row r="262">
      <c r="A262" s="17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 t="str">
        <f>IFERROR(VLOOKUP(B262,'MASTER DATA'!$A$1:$E$212,4,FALSE),"")</f>
        <v/>
      </c>
      <c r="G262" s="17"/>
      <c r="H262" s="17"/>
      <c r="I262" s="17"/>
      <c r="J262" s="17" t="b">
        <v>0</v>
      </c>
    </row>
    <row r="263">
      <c r="A263" s="17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 t="str">
        <f>IFERROR(VLOOKUP(B263,'MASTER DATA'!$A$1:$E$212,4,FALSE),"")</f>
        <v/>
      </c>
      <c r="G263" s="17"/>
      <c r="H263" s="17"/>
      <c r="I263" s="17"/>
      <c r="J263" s="17" t="b">
        <v>0</v>
      </c>
    </row>
    <row r="264">
      <c r="A264" s="17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 t="str">
        <f>IFERROR(VLOOKUP(B264,'MASTER DATA'!$A$1:$E$212,4,FALSE),"")</f>
        <v/>
      </c>
      <c r="G264" s="17"/>
      <c r="H264" s="17"/>
      <c r="I264" s="17"/>
      <c r="J264" s="17" t="b">
        <v>0</v>
      </c>
    </row>
    <row r="265">
      <c r="A265" s="17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 t="str">
        <f>IFERROR(VLOOKUP(B265,'MASTER DATA'!$A$1:$E$212,4,FALSE),"")</f>
        <v/>
      </c>
      <c r="G265" s="17"/>
      <c r="H265" s="17"/>
      <c r="I265" s="17"/>
      <c r="J265" s="17" t="b">
        <v>0</v>
      </c>
    </row>
    <row r="266">
      <c r="A266" s="17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 t="str">
        <f>IFERROR(VLOOKUP(B266,'MASTER DATA'!$A$1:$E$212,4,FALSE),"")</f>
        <v/>
      </c>
      <c r="G266" s="17"/>
      <c r="H266" s="17"/>
      <c r="I266" s="17"/>
      <c r="J266" s="17" t="b">
        <v>0</v>
      </c>
    </row>
    <row r="267">
      <c r="A267" s="17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 t="str">
        <f>IFERROR(VLOOKUP(B267,'MASTER DATA'!$A$1:$E$212,4,FALSE),"")</f>
        <v/>
      </c>
      <c r="G267" s="17"/>
      <c r="H267" s="17"/>
      <c r="I267" s="17"/>
      <c r="J267" s="17" t="b">
        <v>0</v>
      </c>
    </row>
    <row r="268">
      <c r="A268" s="17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 t="str">
        <f>IFERROR(VLOOKUP(B268,'MASTER DATA'!$A$1:$E$212,4,FALSE),"")</f>
        <v/>
      </c>
      <c r="G268" s="17"/>
      <c r="H268" s="17"/>
      <c r="I268" s="17"/>
      <c r="J268" s="17" t="b">
        <v>0</v>
      </c>
    </row>
    <row r="269">
      <c r="A269" s="17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 t="str">
        <f>IFERROR(VLOOKUP(B269,'MASTER DATA'!$A$1:$E$212,4,FALSE),"")</f>
        <v/>
      </c>
      <c r="G269" s="17"/>
      <c r="H269" s="17"/>
      <c r="I269" s="17"/>
      <c r="J269" s="17" t="b">
        <v>0</v>
      </c>
    </row>
    <row r="270">
      <c r="A270" s="17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 t="str">
        <f>IFERROR(VLOOKUP(B270,'MASTER DATA'!$A$1:$E$212,4,FALSE),"")</f>
        <v/>
      </c>
      <c r="G270" s="17"/>
      <c r="H270" s="17"/>
      <c r="I270" s="17"/>
      <c r="J270" s="17" t="b">
        <v>0</v>
      </c>
    </row>
    <row r="271">
      <c r="A271" s="17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 t="str">
        <f>IFERROR(VLOOKUP(B271,'MASTER DATA'!$A$1:$E$212,4,FALSE),"")</f>
        <v/>
      </c>
      <c r="G271" s="17"/>
      <c r="H271" s="17"/>
      <c r="I271" s="17"/>
      <c r="J271" s="17" t="b">
        <v>0</v>
      </c>
    </row>
    <row r="272">
      <c r="A272" s="17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 t="str">
        <f>IFERROR(VLOOKUP(B272,'MASTER DATA'!$A$1:$E$212,4,FALSE),"")</f>
        <v/>
      </c>
      <c r="G272" s="17"/>
      <c r="H272" s="17"/>
      <c r="I272" s="17"/>
      <c r="J272" s="17" t="b">
        <v>0</v>
      </c>
    </row>
    <row r="273">
      <c r="A273" s="17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 t="str">
        <f>IFERROR(VLOOKUP(B273,'MASTER DATA'!$A$1:$E$212,4,FALSE),"")</f>
        <v/>
      </c>
      <c r="G273" s="17"/>
      <c r="H273" s="17"/>
      <c r="I273" s="17"/>
      <c r="J273" s="17" t="b">
        <v>0</v>
      </c>
    </row>
    <row r="274">
      <c r="A274" s="17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 t="str">
        <f>IFERROR(VLOOKUP(B274,'MASTER DATA'!$A$1:$E$212,4,FALSE),"")</f>
        <v/>
      </c>
      <c r="G274" s="17"/>
      <c r="H274" s="17"/>
      <c r="I274" s="17"/>
      <c r="J274" s="17" t="b">
        <v>0</v>
      </c>
    </row>
    <row r="275">
      <c r="A275" s="17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 t="str">
        <f>IFERROR(VLOOKUP(B275,'MASTER DATA'!$A$1:$E$212,4,FALSE),"")</f>
        <v/>
      </c>
      <c r="G275" s="17"/>
      <c r="H275" s="17"/>
      <c r="I275" s="17"/>
      <c r="J275" s="17" t="b">
        <v>0</v>
      </c>
    </row>
    <row r="276">
      <c r="A276" s="17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 t="str">
        <f>IFERROR(VLOOKUP(B276,'MASTER DATA'!$A$1:$E$212,4,FALSE),"")</f>
        <v/>
      </c>
      <c r="G276" s="17"/>
      <c r="H276" s="17"/>
      <c r="I276" s="17"/>
      <c r="J276" s="17" t="b">
        <v>0</v>
      </c>
    </row>
    <row r="277">
      <c r="A277" s="17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 t="str">
        <f>IFERROR(VLOOKUP(B277,'MASTER DATA'!$A$1:$E$212,4,FALSE),"")</f>
        <v/>
      </c>
      <c r="G277" s="17"/>
      <c r="H277" s="17"/>
      <c r="I277" s="17"/>
      <c r="J277" s="17" t="b">
        <v>0</v>
      </c>
    </row>
    <row r="278">
      <c r="A278" s="17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 t="str">
        <f>IFERROR(VLOOKUP(B278,'MASTER DATA'!$A$1:$E$212,4,FALSE),"")</f>
        <v/>
      </c>
      <c r="G278" s="17"/>
      <c r="H278" s="17"/>
      <c r="I278" s="17"/>
      <c r="J278" s="17" t="b">
        <v>0</v>
      </c>
    </row>
    <row r="279">
      <c r="A279" s="17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 t="str">
        <f>IFERROR(VLOOKUP(B279,'MASTER DATA'!$A$1:$E$212,4,FALSE),"")</f>
        <v/>
      </c>
      <c r="G279" s="17"/>
      <c r="H279" s="17"/>
      <c r="I279" s="17"/>
      <c r="J279" s="17" t="b">
        <v>0</v>
      </c>
    </row>
    <row r="280">
      <c r="A280" s="17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 t="str">
        <f>IFERROR(VLOOKUP(B280,'MASTER DATA'!$A$1:$E$212,4,FALSE),"")</f>
        <v/>
      </c>
      <c r="G280" s="17"/>
      <c r="H280" s="17"/>
      <c r="I280" s="17"/>
      <c r="J280" s="17" t="b">
        <v>0</v>
      </c>
    </row>
    <row r="281">
      <c r="A281" s="17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 t="str">
        <f>IFERROR(VLOOKUP(B281,'MASTER DATA'!$A$1:$E$212,4,FALSE),"")</f>
        <v/>
      </c>
      <c r="G281" s="17"/>
      <c r="H281" s="17"/>
      <c r="I281" s="17"/>
      <c r="J281" s="17" t="b">
        <v>0</v>
      </c>
    </row>
    <row r="282">
      <c r="A282" s="17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 t="str">
        <f>IFERROR(VLOOKUP(B282,'MASTER DATA'!$A$1:$E$212,4,FALSE),"")</f>
        <v/>
      </c>
      <c r="G282" s="17"/>
      <c r="H282" s="17"/>
      <c r="I282" s="17"/>
      <c r="J282" s="17" t="b">
        <v>0</v>
      </c>
    </row>
    <row r="283">
      <c r="A283" s="17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 t="str">
        <f>IFERROR(VLOOKUP(B283,'MASTER DATA'!$A$1:$E$212,4,FALSE),"")</f>
        <v/>
      </c>
      <c r="G283" s="17"/>
      <c r="H283" s="17"/>
      <c r="I283" s="17"/>
      <c r="J283" s="17" t="b">
        <v>0</v>
      </c>
    </row>
    <row r="284">
      <c r="A284" s="17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 t="str">
        <f>IFERROR(VLOOKUP(B284,'MASTER DATA'!$A$1:$E$212,4,FALSE),"")</f>
        <v/>
      </c>
      <c r="G284" s="17"/>
      <c r="H284" s="17"/>
      <c r="I284" s="17"/>
      <c r="J284" s="17" t="b">
        <v>0</v>
      </c>
    </row>
    <row r="285">
      <c r="A285" s="17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 t="str">
        <f>IFERROR(VLOOKUP(B285,'MASTER DATA'!$A$1:$E$212,4,FALSE),"")</f>
        <v/>
      </c>
      <c r="G285" s="17"/>
      <c r="H285" s="17"/>
      <c r="I285" s="17"/>
      <c r="J285" s="17" t="b">
        <v>0</v>
      </c>
    </row>
    <row r="286">
      <c r="A286" s="17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 t="str">
        <f>IFERROR(VLOOKUP(B286,'MASTER DATA'!$A$1:$E$212,4,FALSE),"")</f>
        <v/>
      </c>
      <c r="G286" s="17"/>
      <c r="H286" s="17"/>
      <c r="I286" s="17"/>
      <c r="J286" s="17" t="b">
        <v>0</v>
      </c>
    </row>
    <row r="287">
      <c r="A287" s="17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 t="str">
        <f>IFERROR(VLOOKUP(B287,'MASTER DATA'!$A$1:$E$212,4,FALSE),"")</f>
        <v/>
      </c>
      <c r="G287" s="17"/>
      <c r="H287" s="17"/>
      <c r="I287" s="17"/>
      <c r="J287" s="17" t="b">
        <v>0</v>
      </c>
    </row>
    <row r="288">
      <c r="A288" s="17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 t="str">
        <f>IFERROR(VLOOKUP(B288,'MASTER DATA'!$A$1:$E$212,4,FALSE),"")</f>
        <v/>
      </c>
      <c r="G288" s="17"/>
      <c r="H288" s="17"/>
      <c r="I288" s="17"/>
      <c r="J288" s="17" t="b">
        <v>0</v>
      </c>
    </row>
    <row r="289">
      <c r="A289" s="17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 t="str">
        <f>IFERROR(VLOOKUP(B289,'MASTER DATA'!$A$1:$E$212,4,FALSE),"")</f>
        <v/>
      </c>
      <c r="G289" s="17"/>
      <c r="H289" s="17"/>
      <c r="I289" s="17"/>
      <c r="J289" s="17" t="b">
        <v>0</v>
      </c>
    </row>
    <row r="290">
      <c r="A290" s="17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 t="str">
        <f>IFERROR(VLOOKUP(B290,'MASTER DATA'!$A$1:$E$212,4,FALSE),"")</f>
        <v/>
      </c>
      <c r="G290" s="17"/>
      <c r="H290" s="17"/>
      <c r="I290" s="17"/>
      <c r="J290" s="17" t="b">
        <v>0</v>
      </c>
    </row>
    <row r="291">
      <c r="A291" s="17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 t="str">
        <f>IFERROR(VLOOKUP(B291,'MASTER DATA'!$A$1:$E$212,4,FALSE),"")</f>
        <v/>
      </c>
      <c r="G291" s="17"/>
      <c r="H291" s="17"/>
      <c r="I291" s="17"/>
      <c r="J291" s="17" t="b">
        <v>0</v>
      </c>
    </row>
    <row r="292">
      <c r="A292" s="17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 t="str">
        <f>IFERROR(VLOOKUP(B292,'MASTER DATA'!$A$1:$E$212,4,FALSE),"")</f>
        <v/>
      </c>
      <c r="G292" s="17"/>
      <c r="H292" s="17"/>
      <c r="I292" s="17"/>
      <c r="J292" s="17" t="b">
        <v>0</v>
      </c>
    </row>
    <row r="293">
      <c r="A293" s="17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 t="str">
        <f>IFERROR(VLOOKUP(B293,'MASTER DATA'!$A$1:$E$212,4,FALSE),"")</f>
        <v/>
      </c>
      <c r="G293" s="17"/>
      <c r="H293" s="17"/>
      <c r="I293" s="17"/>
      <c r="J293" s="17" t="b">
        <v>0</v>
      </c>
    </row>
    <row r="294">
      <c r="A294" s="17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 t="str">
        <f>IFERROR(VLOOKUP(B294,'MASTER DATA'!$A$1:$E$212,4,FALSE),"")</f>
        <v/>
      </c>
      <c r="G294" s="17"/>
      <c r="H294" s="17"/>
      <c r="I294" s="17"/>
      <c r="J294" s="17" t="b">
        <v>0</v>
      </c>
    </row>
    <row r="295">
      <c r="A295" s="17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 t="str">
        <f>IFERROR(VLOOKUP(B295,'MASTER DATA'!$A$1:$E$212,4,FALSE),"")</f>
        <v/>
      </c>
      <c r="G295" s="17"/>
      <c r="H295" s="17"/>
      <c r="I295" s="17"/>
      <c r="J295" s="17" t="b">
        <v>0</v>
      </c>
    </row>
    <row r="296">
      <c r="A296" s="17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 t="str">
        <f>IFERROR(VLOOKUP(B296,'MASTER DATA'!$A$1:$E$212,4,FALSE),"")</f>
        <v/>
      </c>
      <c r="G296" s="17"/>
      <c r="H296" s="17"/>
      <c r="I296" s="17"/>
      <c r="J296" s="17" t="b">
        <v>0</v>
      </c>
    </row>
    <row r="297">
      <c r="A297" s="17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 t="str">
        <f>IFERROR(VLOOKUP(B297,'MASTER DATA'!$A$1:$E$212,4,FALSE),"")</f>
        <v/>
      </c>
      <c r="G297" s="17"/>
      <c r="H297" s="17"/>
      <c r="I297" s="17"/>
      <c r="J297" s="17" t="b">
        <v>0</v>
      </c>
    </row>
    <row r="298">
      <c r="A298" s="17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 t="str">
        <f>IFERROR(VLOOKUP(B298,'MASTER DATA'!$A$1:$E$212,4,FALSE),"")</f>
        <v/>
      </c>
      <c r="G298" s="17"/>
      <c r="H298" s="17"/>
      <c r="I298" s="17"/>
      <c r="J298" s="17" t="b">
        <v>0</v>
      </c>
    </row>
    <row r="299">
      <c r="A299" s="17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 t="str">
        <f>IFERROR(VLOOKUP(B299,'MASTER DATA'!$A$1:$E$212,4,FALSE),"")</f>
        <v/>
      </c>
      <c r="G299" s="17"/>
      <c r="H299" s="17"/>
      <c r="I299" s="17"/>
      <c r="J299" s="17" t="b">
        <v>0</v>
      </c>
    </row>
    <row r="300">
      <c r="A300" s="17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 t="str">
        <f>IFERROR(VLOOKUP(B300,'MASTER DATA'!$A$1:$E$212,4,FALSE),"")</f>
        <v/>
      </c>
      <c r="G300" s="17"/>
      <c r="H300" s="17"/>
      <c r="I300" s="17"/>
      <c r="J300" s="17" t="b">
        <v>0</v>
      </c>
    </row>
    <row r="301">
      <c r="A301" s="17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 t="str">
        <f>IFERROR(VLOOKUP(B301,'MASTER DATA'!$A$1:$E$212,4,FALSE),"")</f>
        <v/>
      </c>
      <c r="G301" s="17"/>
      <c r="H301" s="17"/>
      <c r="I301" s="17"/>
      <c r="J301" s="17" t="b">
        <v>0</v>
      </c>
    </row>
    <row r="302">
      <c r="A302" s="17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 t="str">
        <f>IFERROR(VLOOKUP(B302,'MASTER DATA'!$A$1:$E$212,4,FALSE),"")</f>
        <v/>
      </c>
      <c r="G302" s="17"/>
      <c r="H302" s="17"/>
      <c r="I302" s="17"/>
      <c r="J302" s="17" t="b">
        <v>0</v>
      </c>
    </row>
    <row r="303">
      <c r="A303" s="17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 t="str">
        <f>IFERROR(VLOOKUP(B303,'MASTER DATA'!$A$1:$E$212,4,FALSE),"")</f>
        <v/>
      </c>
      <c r="G303" s="17"/>
      <c r="H303" s="17"/>
      <c r="I303" s="17"/>
      <c r="J303" s="17" t="b">
        <v>0</v>
      </c>
    </row>
    <row r="304">
      <c r="A304" s="17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 t="str">
        <f>IFERROR(VLOOKUP(B304,'MASTER DATA'!$A$1:$E$212,4,FALSE),"")</f>
        <v/>
      </c>
      <c r="G304" s="17"/>
      <c r="H304" s="17"/>
      <c r="I304" s="17"/>
      <c r="J304" s="17" t="b">
        <v>0</v>
      </c>
    </row>
    <row r="305">
      <c r="A305" s="17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 t="str">
        <f>IFERROR(VLOOKUP(B305,'MASTER DATA'!$A$1:$E$212,4,FALSE),"")</f>
        <v/>
      </c>
      <c r="G305" s="17"/>
      <c r="H305" s="17"/>
      <c r="I305" s="17"/>
      <c r="J305" s="17" t="b">
        <v>0</v>
      </c>
    </row>
    <row r="306">
      <c r="A306" s="17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 t="str">
        <f>IFERROR(VLOOKUP(B306,'MASTER DATA'!$A$1:$E$212,4,FALSE),"")</f>
        <v/>
      </c>
      <c r="G306" s="17"/>
      <c r="H306" s="17"/>
      <c r="I306" s="17"/>
      <c r="J306" s="17" t="b">
        <v>0</v>
      </c>
    </row>
    <row r="307">
      <c r="A307" s="17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 t="str">
        <f>IFERROR(VLOOKUP(B307,'MASTER DATA'!$A$1:$E$212,4,FALSE),"")</f>
        <v/>
      </c>
      <c r="G307" s="17"/>
      <c r="H307" s="17"/>
      <c r="I307" s="17"/>
      <c r="J307" s="17" t="b">
        <v>0</v>
      </c>
    </row>
    <row r="308">
      <c r="A308" s="17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 t="str">
        <f>IFERROR(VLOOKUP(B308,'MASTER DATA'!$A$1:$E$212,4,FALSE),"")</f>
        <v/>
      </c>
      <c r="G308" s="17"/>
      <c r="H308" s="17"/>
      <c r="I308" s="17"/>
      <c r="J308" s="17" t="b">
        <v>0</v>
      </c>
    </row>
    <row r="309">
      <c r="A309" s="17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 t="str">
        <f>IFERROR(VLOOKUP(B309,'MASTER DATA'!$A$1:$E$212,4,FALSE),"")</f>
        <v/>
      </c>
      <c r="G309" s="17"/>
      <c r="H309" s="17"/>
      <c r="I309" s="17"/>
      <c r="J309" s="17" t="b">
        <v>0</v>
      </c>
    </row>
    <row r="310">
      <c r="A310" s="17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 t="str">
        <f>IFERROR(VLOOKUP(B310,'MASTER DATA'!$A$1:$E$212,4,FALSE),"")</f>
        <v/>
      </c>
      <c r="G310" s="17"/>
      <c r="H310" s="17"/>
      <c r="I310" s="17"/>
      <c r="J310" s="17" t="b">
        <v>0</v>
      </c>
    </row>
    <row r="311">
      <c r="A311" s="17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 t="str">
        <f>IFERROR(VLOOKUP(B311,'MASTER DATA'!$A$1:$E$212,4,FALSE),"")</f>
        <v/>
      </c>
      <c r="G311" s="17"/>
      <c r="H311" s="17"/>
      <c r="I311" s="17"/>
      <c r="J311" s="17" t="b">
        <v>0</v>
      </c>
    </row>
    <row r="312">
      <c r="A312" s="17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 t="str">
        <f>IFERROR(VLOOKUP(B312,'MASTER DATA'!$A$1:$E$212,4,FALSE),"")</f>
        <v/>
      </c>
      <c r="G312" s="17"/>
      <c r="H312" s="17"/>
      <c r="I312" s="17"/>
      <c r="J312" s="17" t="b">
        <v>0</v>
      </c>
    </row>
    <row r="313">
      <c r="A313" s="17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 t="str">
        <f>IFERROR(VLOOKUP(B313,'MASTER DATA'!$A$1:$E$212,4,FALSE),"")</f>
        <v/>
      </c>
      <c r="G313" s="17"/>
      <c r="H313" s="17"/>
      <c r="I313" s="17"/>
      <c r="J313" s="17" t="b">
        <v>0</v>
      </c>
    </row>
    <row r="314">
      <c r="A314" s="17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 t="str">
        <f>IFERROR(VLOOKUP(B314,'MASTER DATA'!$A$1:$E$212,4,FALSE),"")</f>
        <v/>
      </c>
      <c r="G314" s="17"/>
      <c r="H314" s="17"/>
      <c r="I314" s="17"/>
      <c r="J314" s="17" t="b">
        <v>0</v>
      </c>
    </row>
    <row r="315">
      <c r="A315" s="17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 t="str">
        <f>IFERROR(VLOOKUP(B315,'MASTER DATA'!$A$1:$E$212,4,FALSE),"")</f>
        <v/>
      </c>
      <c r="G315" s="17"/>
      <c r="H315" s="17"/>
      <c r="I315" s="17"/>
      <c r="J315" s="17" t="b">
        <v>0</v>
      </c>
    </row>
    <row r="316">
      <c r="A316" s="17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 t="str">
        <f>IFERROR(VLOOKUP(B316,'MASTER DATA'!$A$1:$E$212,4,FALSE),"")</f>
        <v/>
      </c>
      <c r="G316" s="17"/>
      <c r="H316" s="17"/>
      <c r="I316" s="17"/>
      <c r="J316" s="17" t="b">
        <v>0</v>
      </c>
    </row>
    <row r="317">
      <c r="A317" s="17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 t="str">
        <f>IFERROR(VLOOKUP(B317,'MASTER DATA'!$A$1:$E$212,4,FALSE),"")</f>
        <v/>
      </c>
      <c r="G317" s="17"/>
      <c r="H317" s="17"/>
      <c r="I317" s="17"/>
      <c r="J317" s="17" t="b">
        <v>0</v>
      </c>
    </row>
    <row r="318">
      <c r="A318" s="17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 t="str">
        <f>IFERROR(VLOOKUP(B318,'MASTER DATA'!$A$1:$E$212,4,FALSE),"")</f>
        <v/>
      </c>
      <c r="G318" s="17"/>
      <c r="H318" s="17"/>
      <c r="I318" s="17"/>
      <c r="J318" s="17" t="b">
        <v>0</v>
      </c>
    </row>
    <row r="319">
      <c r="A319" s="17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 t="str">
        <f>IFERROR(VLOOKUP(B319,'MASTER DATA'!$A$1:$E$212,4,FALSE),"")</f>
        <v/>
      </c>
      <c r="G319" s="17"/>
      <c r="H319" s="17"/>
      <c r="I319" s="17"/>
      <c r="J319" s="17" t="b">
        <v>0</v>
      </c>
    </row>
    <row r="320">
      <c r="A320" s="17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 t="str">
        <f>IFERROR(VLOOKUP(B320,'MASTER DATA'!$A$1:$E$212,4,FALSE),"")</f>
        <v/>
      </c>
      <c r="G320" s="17"/>
      <c r="H320" s="17"/>
      <c r="I320" s="17"/>
      <c r="J320" s="17" t="b">
        <v>0</v>
      </c>
    </row>
    <row r="321">
      <c r="A321" s="17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 t="str">
        <f>IFERROR(VLOOKUP(B321,'MASTER DATA'!$A$1:$E$212,4,FALSE),"")</f>
        <v/>
      </c>
      <c r="G321" s="17"/>
      <c r="H321" s="17"/>
      <c r="I321" s="17"/>
      <c r="J321" s="17" t="b">
        <v>0</v>
      </c>
    </row>
    <row r="322">
      <c r="A322" s="17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 t="str">
        <f>IFERROR(VLOOKUP(B322,'MASTER DATA'!$A$1:$E$212,4,FALSE),"")</f>
        <v/>
      </c>
      <c r="G322" s="17"/>
      <c r="H322" s="17"/>
      <c r="I322" s="17"/>
      <c r="J322" s="17" t="b">
        <v>0</v>
      </c>
    </row>
    <row r="323">
      <c r="A323" s="17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 t="str">
        <f>IFERROR(VLOOKUP(B323,'MASTER DATA'!$A$1:$E$212,4,FALSE),"")</f>
        <v/>
      </c>
      <c r="G323" s="17"/>
      <c r="H323" s="17"/>
      <c r="I323" s="17"/>
      <c r="J323" s="17" t="b">
        <v>0</v>
      </c>
    </row>
    <row r="324">
      <c r="A324" s="17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 t="str">
        <f>IFERROR(VLOOKUP(B324,'MASTER DATA'!$A$1:$E$212,4,FALSE),"")</f>
        <v/>
      </c>
      <c r="G324" s="17"/>
      <c r="H324" s="17"/>
      <c r="I324" s="17"/>
      <c r="J324" s="17" t="b">
        <v>0</v>
      </c>
    </row>
    <row r="325">
      <c r="A325" s="17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 t="str">
        <f>IFERROR(VLOOKUP(B325,'MASTER DATA'!$A$1:$E$212,4,FALSE),"")</f>
        <v/>
      </c>
      <c r="G325" s="17"/>
      <c r="H325" s="17"/>
      <c r="I325" s="17"/>
      <c r="J325" s="17" t="b">
        <v>0</v>
      </c>
    </row>
    <row r="326">
      <c r="A326" s="17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 t="str">
        <f>IFERROR(VLOOKUP(B326,'MASTER DATA'!$A$1:$E$212,4,FALSE),"")</f>
        <v/>
      </c>
      <c r="G326" s="17"/>
      <c r="H326" s="17"/>
      <c r="I326" s="17"/>
      <c r="J326" s="17" t="b">
        <v>0</v>
      </c>
    </row>
    <row r="327">
      <c r="A327" s="17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 t="str">
        <f>IFERROR(VLOOKUP(B327,'MASTER DATA'!$A$1:$E$212,4,FALSE),"")</f>
        <v/>
      </c>
      <c r="G327" s="17"/>
      <c r="H327" s="17"/>
      <c r="I327" s="17"/>
      <c r="J327" s="17" t="b">
        <v>0</v>
      </c>
    </row>
    <row r="328">
      <c r="A328" s="17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 t="str">
        <f>IFERROR(VLOOKUP(B328,'MASTER DATA'!$A$1:$E$212,4,FALSE),"")</f>
        <v/>
      </c>
      <c r="G328" s="17"/>
      <c r="H328" s="17"/>
      <c r="I328" s="17"/>
      <c r="J328" s="17" t="b">
        <v>0</v>
      </c>
    </row>
    <row r="329">
      <c r="A329" s="17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 t="str">
        <f>IFERROR(VLOOKUP(B329,'MASTER DATA'!$A$1:$E$212,4,FALSE),"")</f>
        <v/>
      </c>
      <c r="G329" s="17"/>
      <c r="H329" s="17"/>
      <c r="I329" s="17"/>
      <c r="J329" s="17" t="b">
        <v>0</v>
      </c>
    </row>
    <row r="330">
      <c r="A330" s="17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 t="str">
        <f>IFERROR(VLOOKUP(B330,'MASTER DATA'!$A$1:$E$212,4,FALSE),"")</f>
        <v/>
      </c>
      <c r="G330" s="17"/>
      <c r="H330" s="17"/>
      <c r="I330" s="17"/>
      <c r="J330" s="17" t="b">
        <v>0</v>
      </c>
    </row>
    <row r="331">
      <c r="A331" s="17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 t="str">
        <f>IFERROR(VLOOKUP(B331,'MASTER DATA'!$A$1:$E$212,4,FALSE),"")</f>
        <v/>
      </c>
      <c r="G331" s="17"/>
      <c r="H331" s="17"/>
      <c r="I331" s="17"/>
      <c r="J331" s="17" t="b">
        <v>0</v>
      </c>
    </row>
    <row r="332">
      <c r="A332" s="17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 t="str">
        <f>IFERROR(VLOOKUP(B332,'MASTER DATA'!$A$1:$E$212,4,FALSE),"")</f>
        <v/>
      </c>
      <c r="G332" s="17"/>
      <c r="H332" s="17"/>
      <c r="I332" s="17"/>
      <c r="J332" s="17" t="b">
        <v>0</v>
      </c>
    </row>
    <row r="333">
      <c r="A333" s="17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 t="str">
        <f>IFERROR(VLOOKUP(B333,'MASTER DATA'!$A$1:$E$212,4,FALSE),"")</f>
        <v/>
      </c>
      <c r="G333" s="17"/>
      <c r="H333" s="17"/>
      <c r="I333" s="17"/>
      <c r="J333" s="17" t="b">
        <v>0</v>
      </c>
    </row>
    <row r="334">
      <c r="A334" s="17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 t="str">
        <f>IFERROR(VLOOKUP(B334,'MASTER DATA'!$A$1:$E$212,4,FALSE),"")</f>
        <v/>
      </c>
      <c r="G334" s="17"/>
      <c r="H334" s="17"/>
      <c r="I334" s="17"/>
      <c r="J334" s="17" t="b">
        <v>0</v>
      </c>
    </row>
    <row r="335">
      <c r="A335" s="17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 t="str">
        <f>IFERROR(VLOOKUP(B335,'MASTER DATA'!$A$1:$E$212,4,FALSE),"")</f>
        <v/>
      </c>
      <c r="G335" s="17"/>
      <c r="H335" s="17"/>
      <c r="I335" s="17"/>
      <c r="J335" s="17" t="b">
        <v>0</v>
      </c>
    </row>
    <row r="336">
      <c r="A336" s="17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 t="str">
        <f>IFERROR(VLOOKUP(B336,'MASTER DATA'!$A$1:$E$212,4,FALSE),"")</f>
        <v/>
      </c>
      <c r="G336" s="17"/>
      <c r="H336" s="17"/>
      <c r="I336" s="17"/>
      <c r="J336" s="17" t="b">
        <v>0</v>
      </c>
    </row>
    <row r="337">
      <c r="A337" s="17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 t="str">
        <f>IFERROR(VLOOKUP(B337,'MASTER DATA'!$A$1:$E$212,4,FALSE),"")</f>
        <v/>
      </c>
      <c r="G337" s="17"/>
      <c r="H337" s="17"/>
      <c r="I337" s="17"/>
      <c r="J337" s="17" t="b">
        <v>0</v>
      </c>
    </row>
    <row r="338">
      <c r="A338" s="17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 t="str">
        <f>IFERROR(VLOOKUP(B338,'MASTER DATA'!$A$1:$E$212,4,FALSE),"")</f>
        <v/>
      </c>
      <c r="G338" s="17"/>
      <c r="H338" s="17"/>
      <c r="I338" s="17"/>
      <c r="J338" s="17" t="b">
        <v>0</v>
      </c>
    </row>
    <row r="339">
      <c r="A339" s="17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 t="str">
        <f>IFERROR(VLOOKUP(B339,'MASTER DATA'!$A$1:$E$212,4,FALSE),"")</f>
        <v/>
      </c>
      <c r="G339" s="17"/>
      <c r="H339" s="17"/>
      <c r="I339" s="17"/>
      <c r="J339" s="17" t="b">
        <v>0</v>
      </c>
    </row>
    <row r="340">
      <c r="A340" s="17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 t="str">
        <f>IFERROR(VLOOKUP(B340,'MASTER DATA'!$A$1:$E$212,4,FALSE),"")</f>
        <v/>
      </c>
      <c r="G340" s="17"/>
      <c r="H340" s="17"/>
      <c r="I340" s="17"/>
      <c r="J340" s="17" t="b">
        <v>0</v>
      </c>
    </row>
    <row r="341">
      <c r="A341" s="17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 t="str">
        <f>IFERROR(VLOOKUP(B341,'MASTER DATA'!$A$1:$E$212,4,FALSE),"")</f>
        <v/>
      </c>
      <c r="G341" s="17"/>
      <c r="H341" s="17"/>
      <c r="I341" s="17"/>
      <c r="J341" s="17" t="b">
        <v>0</v>
      </c>
    </row>
    <row r="342">
      <c r="A342" s="17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 t="str">
        <f>IFERROR(VLOOKUP(B342,'MASTER DATA'!$A$1:$E$212,4,FALSE),"")</f>
        <v/>
      </c>
      <c r="G342" s="17"/>
      <c r="H342" s="17"/>
      <c r="I342" s="17"/>
      <c r="J342" s="17" t="b">
        <v>0</v>
      </c>
    </row>
    <row r="343">
      <c r="A343" s="17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 t="str">
        <f>IFERROR(VLOOKUP(B343,'MASTER DATA'!$A$1:$E$212,4,FALSE),"")</f>
        <v/>
      </c>
      <c r="G343" s="17"/>
      <c r="H343" s="17"/>
      <c r="I343" s="17"/>
      <c r="J343" s="17" t="b">
        <v>0</v>
      </c>
    </row>
    <row r="344">
      <c r="A344" s="17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 t="str">
        <f>IFERROR(VLOOKUP(B344,'MASTER DATA'!$A$1:$E$212,4,FALSE),"")</f>
        <v/>
      </c>
      <c r="G344" s="17"/>
      <c r="H344" s="17"/>
      <c r="I344" s="17"/>
      <c r="J344" s="17" t="b">
        <v>0</v>
      </c>
    </row>
    <row r="345">
      <c r="A345" s="17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 t="str">
        <f>IFERROR(VLOOKUP(B345,'MASTER DATA'!$A$1:$E$212,4,FALSE),"")</f>
        <v/>
      </c>
      <c r="G345" s="17"/>
      <c r="H345" s="17"/>
      <c r="I345" s="17"/>
      <c r="J345" s="17" t="b">
        <v>0</v>
      </c>
    </row>
    <row r="346">
      <c r="A346" s="17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 t="str">
        <f>IFERROR(VLOOKUP(B346,'MASTER DATA'!$A$1:$E$212,4,FALSE),"")</f>
        <v/>
      </c>
      <c r="G346" s="17"/>
      <c r="H346" s="17"/>
      <c r="I346" s="17"/>
      <c r="J346" s="17" t="b">
        <v>0</v>
      </c>
    </row>
    <row r="347">
      <c r="A347" s="17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 t="str">
        <f>IFERROR(VLOOKUP(B347,'MASTER DATA'!$A$1:$E$212,4,FALSE),"")</f>
        <v/>
      </c>
      <c r="G347" s="17"/>
      <c r="H347" s="17"/>
      <c r="I347" s="17"/>
      <c r="J347" s="17" t="b">
        <v>0</v>
      </c>
    </row>
    <row r="348">
      <c r="A348" s="17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 t="str">
        <f>IFERROR(VLOOKUP(B348,'MASTER DATA'!$A$1:$E$212,4,FALSE),"")</f>
        <v/>
      </c>
      <c r="G348" s="17"/>
      <c r="H348" s="17"/>
      <c r="I348" s="17"/>
      <c r="J348" s="17" t="b">
        <v>0</v>
      </c>
    </row>
    <row r="349">
      <c r="A349" s="17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 t="str">
        <f>IFERROR(VLOOKUP(B349,'MASTER DATA'!$A$1:$E$212,4,FALSE),"")</f>
        <v/>
      </c>
      <c r="G349" s="17"/>
      <c r="H349" s="17"/>
      <c r="I349" s="17"/>
      <c r="J349" s="17" t="b">
        <v>0</v>
      </c>
    </row>
    <row r="350">
      <c r="A350" s="17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 t="str">
        <f>IFERROR(VLOOKUP(B350,'MASTER DATA'!$A$1:$E$212,4,FALSE),"")</f>
        <v/>
      </c>
      <c r="G350" s="17"/>
      <c r="H350" s="17"/>
      <c r="I350" s="17"/>
      <c r="J350" s="17" t="b">
        <v>0</v>
      </c>
    </row>
    <row r="351">
      <c r="A351" s="17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 t="str">
        <f>IFERROR(VLOOKUP(B351,'MASTER DATA'!$A$1:$E$212,4,FALSE),"")</f>
        <v/>
      </c>
      <c r="G351" s="17"/>
      <c r="H351" s="17"/>
      <c r="I351" s="17"/>
      <c r="J351" s="17" t="b">
        <v>0</v>
      </c>
    </row>
    <row r="352">
      <c r="A352" s="17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 t="str">
        <f>IFERROR(VLOOKUP(B352,'MASTER DATA'!$A$1:$E$212,4,FALSE),"")</f>
        <v/>
      </c>
      <c r="G352" s="17"/>
      <c r="H352" s="17"/>
      <c r="I352" s="17"/>
      <c r="J352" s="17" t="b">
        <v>0</v>
      </c>
    </row>
    <row r="353">
      <c r="A353" s="17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 t="str">
        <f>IFERROR(VLOOKUP(B353,'MASTER DATA'!$A$1:$E$212,4,FALSE),"")</f>
        <v/>
      </c>
      <c r="G353" s="17"/>
      <c r="H353" s="17"/>
      <c r="I353" s="17"/>
      <c r="J353" s="17" t="b">
        <v>0</v>
      </c>
    </row>
    <row r="354">
      <c r="A354" s="17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 t="str">
        <f>IFERROR(VLOOKUP(B354,'MASTER DATA'!$A$1:$E$212,4,FALSE),"")</f>
        <v/>
      </c>
      <c r="G354" s="17"/>
      <c r="H354" s="17"/>
      <c r="I354" s="17"/>
      <c r="J354" s="17" t="b">
        <v>0</v>
      </c>
    </row>
    <row r="355">
      <c r="A355" s="17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 t="str">
        <f>IFERROR(VLOOKUP(B355,'MASTER DATA'!$A$1:$E$212,4,FALSE),"")</f>
        <v/>
      </c>
      <c r="G355" s="17"/>
      <c r="H355" s="17"/>
      <c r="I355" s="17"/>
      <c r="J355" s="17" t="b">
        <v>0</v>
      </c>
    </row>
    <row r="356">
      <c r="A356" s="17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 t="str">
        <f>IFERROR(VLOOKUP(B356,'MASTER DATA'!$A$1:$E$212,4,FALSE),"")</f>
        <v/>
      </c>
      <c r="G356" s="17"/>
      <c r="H356" s="17"/>
      <c r="I356" s="17"/>
      <c r="J356" s="17" t="b">
        <v>0</v>
      </c>
    </row>
    <row r="357">
      <c r="A357" s="17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 t="str">
        <f>IFERROR(VLOOKUP(B357,'MASTER DATA'!$A$1:$E$212,4,FALSE),"")</f>
        <v/>
      </c>
      <c r="G357" s="17"/>
      <c r="H357" s="17"/>
      <c r="I357" s="17"/>
      <c r="J357" s="17" t="b">
        <v>0</v>
      </c>
    </row>
    <row r="358">
      <c r="A358" s="17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 t="str">
        <f>IFERROR(VLOOKUP(B358,'MASTER DATA'!$A$1:$E$212,4,FALSE),"")</f>
        <v/>
      </c>
      <c r="G358" s="17"/>
      <c r="H358" s="17"/>
      <c r="I358" s="17"/>
      <c r="J358" s="17" t="b">
        <v>0</v>
      </c>
    </row>
    <row r="359">
      <c r="A359" s="17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 t="str">
        <f>IFERROR(VLOOKUP(B359,'MASTER DATA'!$A$1:$E$212,4,FALSE),"")</f>
        <v/>
      </c>
      <c r="G359" s="17"/>
      <c r="H359" s="17"/>
      <c r="I359" s="17"/>
      <c r="J359" s="17" t="b">
        <v>0</v>
      </c>
    </row>
    <row r="360">
      <c r="A360" s="17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 t="str">
        <f>IFERROR(VLOOKUP(B360,'MASTER DATA'!$A$1:$E$212,4,FALSE),"")</f>
        <v/>
      </c>
      <c r="G360" s="17"/>
      <c r="H360" s="17"/>
      <c r="I360" s="17"/>
      <c r="J360" s="17" t="b">
        <v>0</v>
      </c>
    </row>
    <row r="361">
      <c r="A361" s="17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 t="str">
        <f>IFERROR(VLOOKUP(B361,'MASTER DATA'!$A$1:$E$212,4,FALSE),"")</f>
        <v/>
      </c>
      <c r="G361" s="17"/>
      <c r="H361" s="17"/>
      <c r="I361" s="17"/>
      <c r="J361" s="17" t="b">
        <v>0</v>
      </c>
    </row>
    <row r="362">
      <c r="A362" s="17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 t="str">
        <f>IFERROR(VLOOKUP(B362,'MASTER DATA'!$A$1:$E$212,4,FALSE),"")</f>
        <v/>
      </c>
      <c r="G362" s="17"/>
      <c r="H362" s="17"/>
      <c r="I362" s="17"/>
      <c r="J362" s="17" t="b">
        <v>0</v>
      </c>
    </row>
    <row r="363">
      <c r="A363" s="17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 t="str">
        <f>IFERROR(VLOOKUP(B363,'MASTER DATA'!$A$1:$E$212,4,FALSE),"")</f>
        <v/>
      </c>
      <c r="G363" s="17"/>
      <c r="H363" s="17"/>
      <c r="I363" s="17"/>
      <c r="J363" s="17" t="b">
        <v>0</v>
      </c>
    </row>
    <row r="364">
      <c r="A364" s="17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 t="str">
        <f>IFERROR(VLOOKUP(B364,'MASTER DATA'!$A$1:$E$212,4,FALSE),"")</f>
        <v/>
      </c>
      <c r="G364" s="17"/>
      <c r="H364" s="17"/>
      <c r="I364" s="17"/>
      <c r="J364" s="17" t="b">
        <v>0</v>
      </c>
    </row>
    <row r="365">
      <c r="A365" s="17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 t="str">
        <f>IFERROR(VLOOKUP(B365,'MASTER DATA'!$A$1:$E$212,4,FALSE),"")</f>
        <v/>
      </c>
      <c r="G365" s="17"/>
      <c r="H365" s="17"/>
      <c r="I365" s="17"/>
      <c r="J365" s="17" t="b">
        <v>0</v>
      </c>
    </row>
    <row r="366">
      <c r="A366" s="17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 t="str">
        <f>IFERROR(VLOOKUP(B366,'MASTER DATA'!$A$1:$E$212,4,FALSE),"")</f>
        <v/>
      </c>
      <c r="G366" s="17"/>
      <c r="H366" s="17"/>
      <c r="I366" s="17"/>
      <c r="J366" s="17" t="b">
        <v>0</v>
      </c>
    </row>
    <row r="367">
      <c r="A367" s="17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 t="str">
        <f>IFERROR(VLOOKUP(B367,'MASTER DATA'!$A$1:$E$212,4,FALSE),"")</f>
        <v/>
      </c>
      <c r="G367" s="17"/>
      <c r="H367" s="17"/>
      <c r="I367" s="17"/>
      <c r="J367" s="17" t="b">
        <v>0</v>
      </c>
    </row>
    <row r="368">
      <c r="A368" s="17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 t="str">
        <f>IFERROR(VLOOKUP(B368,'MASTER DATA'!$A$1:$E$212,4,FALSE),"")</f>
        <v/>
      </c>
      <c r="G368" s="17"/>
      <c r="H368" s="17"/>
      <c r="I368" s="17"/>
      <c r="J368" s="17" t="b">
        <v>0</v>
      </c>
    </row>
    <row r="369">
      <c r="A369" s="17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 t="str">
        <f>IFERROR(VLOOKUP(B369,'MASTER DATA'!$A$1:$E$212,4,FALSE),"")</f>
        <v/>
      </c>
      <c r="G369" s="17"/>
      <c r="H369" s="17"/>
      <c r="I369" s="17"/>
      <c r="J369" s="17" t="b">
        <v>0</v>
      </c>
    </row>
    <row r="370">
      <c r="A370" s="17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 t="str">
        <f>IFERROR(VLOOKUP(B370,'MASTER DATA'!$A$1:$E$212,4,FALSE),"")</f>
        <v/>
      </c>
      <c r="G370" s="17"/>
      <c r="H370" s="17"/>
      <c r="I370" s="17"/>
      <c r="J370" s="17" t="b">
        <v>0</v>
      </c>
    </row>
    <row r="371">
      <c r="A371" s="17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 t="str">
        <f>IFERROR(VLOOKUP(B371,'MASTER DATA'!$A$1:$E$212,4,FALSE),"")</f>
        <v/>
      </c>
      <c r="G371" s="17"/>
      <c r="H371" s="17"/>
      <c r="I371" s="17"/>
      <c r="J371" s="17" t="b">
        <v>0</v>
      </c>
    </row>
    <row r="372">
      <c r="A372" s="17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 t="str">
        <f>IFERROR(VLOOKUP(B372,'MASTER DATA'!$A$1:$E$212,4,FALSE),"")</f>
        <v/>
      </c>
      <c r="G372" s="17"/>
      <c r="H372" s="17"/>
      <c r="I372" s="17"/>
      <c r="J372" s="17" t="b">
        <v>0</v>
      </c>
    </row>
    <row r="373">
      <c r="A373" s="17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 t="str">
        <f>IFERROR(VLOOKUP(B373,'MASTER DATA'!$A$1:$E$212,4,FALSE),"")</f>
        <v/>
      </c>
      <c r="G373" s="17"/>
      <c r="H373" s="17"/>
      <c r="I373" s="17"/>
      <c r="J373" s="17" t="b">
        <v>0</v>
      </c>
    </row>
    <row r="374">
      <c r="A374" s="17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 t="str">
        <f>IFERROR(VLOOKUP(B374,'MASTER DATA'!$A$1:$E$212,4,FALSE),"")</f>
        <v/>
      </c>
      <c r="G374" s="17"/>
      <c r="H374" s="17"/>
      <c r="I374" s="17"/>
      <c r="J374" s="17" t="b">
        <v>0</v>
      </c>
    </row>
    <row r="375">
      <c r="A375" s="17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 t="str">
        <f>IFERROR(VLOOKUP(B375,'MASTER DATA'!$A$1:$E$212,4,FALSE),"")</f>
        <v/>
      </c>
      <c r="G375" s="17"/>
      <c r="H375" s="17"/>
      <c r="I375" s="17"/>
      <c r="J375" s="17" t="b">
        <v>0</v>
      </c>
    </row>
    <row r="376">
      <c r="A376" s="17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 t="str">
        <f>IFERROR(VLOOKUP(B376,'MASTER DATA'!$A$1:$E$212,4,FALSE),"")</f>
        <v/>
      </c>
      <c r="G376" s="17"/>
      <c r="H376" s="17"/>
      <c r="I376" s="17"/>
      <c r="J376" s="17" t="b">
        <v>0</v>
      </c>
    </row>
    <row r="377">
      <c r="A377" s="17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 t="str">
        <f>IFERROR(VLOOKUP(B377,'MASTER DATA'!$A$1:$E$212,4,FALSE),"")</f>
        <v/>
      </c>
      <c r="G377" s="17"/>
      <c r="H377" s="17"/>
      <c r="I377" s="17"/>
      <c r="J377" s="17" t="b">
        <v>0</v>
      </c>
    </row>
    <row r="378">
      <c r="A378" s="17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 t="str">
        <f>IFERROR(VLOOKUP(B378,'MASTER DATA'!$A$1:$E$212,4,FALSE),"")</f>
        <v/>
      </c>
      <c r="G378" s="17"/>
      <c r="H378" s="17"/>
      <c r="I378" s="17"/>
      <c r="J378" s="17" t="b">
        <v>0</v>
      </c>
    </row>
    <row r="379">
      <c r="A379" s="17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 t="str">
        <f>IFERROR(VLOOKUP(B379,'MASTER DATA'!$A$1:$E$212,4,FALSE),"")</f>
        <v/>
      </c>
      <c r="G379" s="17"/>
      <c r="H379" s="17"/>
      <c r="I379" s="17"/>
      <c r="J379" s="17" t="b">
        <v>0</v>
      </c>
    </row>
    <row r="380">
      <c r="A380" s="17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 t="str">
        <f>IFERROR(VLOOKUP(B380,'MASTER DATA'!$A$1:$E$212,4,FALSE),"")</f>
        <v/>
      </c>
      <c r="G380" s="17"/>
      <c r="H380" s="17"/>
      <c r="I380" s="17"/>
      <c r="J380" s="17" t="b">
        <v>0</v>
      </c>
    </row>
    <row r="381">
      <c r="A381" s="17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 t="str">
        <f>IFERROR(VLOOKUP(B381,'MASTER DATA'!$A$1:$E$212,4,FALSE),"")</f>
        <v/>
      </c>
      <c r="G381" s="17"/>
      <c r="H381" s="17"/>
      <c r="I381" s="17"/>
      <c r="J381" s="17" t="b">
        <v>0</v>
      </c>
    </row>
    <row r="382">
      <c r="A382" s="17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 t="str">
        <f>IFERROR(VLOOKUP(B382,'MASTER DATA'!$A$1:$E$212,4,FALSE),"")</f>
        <v/>
      </c>
      <c r="G382" s="17"/>
      <c r="H382" s="17"/>
      <c r="I382" s="17"/>
      <c r="J382" s="17" t="b">
        <v>0</v>
      </c>
    </row>
    <row r="383">
      <c r="A383" s="17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 t="str">
        <f>IFERROR(VLOOKUP(B383,'MASTER DATA'!$A$1:$E$212,4,FALSE),"")</f>
        <v/>
      </c>
      <c r="G383" s="17"/>
      <c r="H383" s="17"/>
      <c r="I383" s="17"/>
      <c r="J383" s="17" t="b">
        <v>0</v>
      </c>
    </row>
    <row r="384">
      <c r="A384" s="17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 t="str">
        <f>IFERROR(VLOOKUP(B384,'MASTER DATA'!$A$1:$E$212,4,FALSE),"")</f>
        <v/>
      </c>
      <c r="G384" s="17"/>
      <c r="H384" s="17"/>
      <c r="I384" s="17"/>
      <c r="J384" s="17" t="b">
        <v>0</v>
      </c>
    </row>
    <row r="385">
      <c r="A385" s="17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 t="str">
        <f>IFERROR(VLOOKUP(B385,'MASTER DATA'!$A$1:$E$212,4,FALSE),"")</f>
        <v/>
      </c>
      <c r="G385" s="17"/>
      <c r="H385" s="17"/>
      <c r="I385" s="17"/>
      <c r="J385" s="17" t="b">
        <v>0</v>
      </c>
    </row>
    <row r="386">
      <c r="A386" s="17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 t="str">
        <f>IFERROR(VLOOKUP(B386,'MASTER DATA'!$A$1:$E$212,4,FALSE),"")</f>
        <v/>
      </c>
      <c r="G386" s="17"/>
      <c r="H386" s="17"/>
      <c r="I386" s="17"/>
      <c r="J386" s="17" t="b">
        <v>0</v>
      </c>
    </row>
    <row r="387">
      <c r="A387" s="17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 t="str">
        <f>IFERROR(VLOOKUP(B387,'MASTER DATA'!$A$1:$E$212,4,FALSE),"")</f>
        <v/>
      </c>
      <c r="G387" s="17"/>
      <c r="H387" s="17"/>
      <c r="I387" s="17"/>
      <c r="J387" s="17" t="b">
        <v>0</v>
      </c>
    </row>
    <row r="388">
      <c r="A388" s="17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 t="str">
        <f>IFERROR(VLOOKUP(B388,'MASTER DATA'!$A$1:$E$212,4,FALSE),"")</f>
        <v/>
      </c>
      <c r="G388" s="17"/>
      <c r="H388" s="17"/>
      <c r="I388" s="17"/>
      <c r="J388" s="17" t="b">
        <v>0</v>
      </c>
    </row>
    <row r="389">
      <c r="A389" s="17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 t="str">
        <f>IFERROR(VLOOKUP(B389,'MASTER DATA'!$A$1:$E$212,4,FALSE),"")</f>
        <v/>
      </c>
      <c r="G389" s="17"/>
      <c r="H389" s="17"/>
      <c r="I389" s="17"/>
      <c r="J389" s="17" t="b">
        <v>0</v>
      </c>
    </row>
    <row r="390">
      <c r="A390" s="17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 t="str">
        <f>IFERROR(VLOOKUP(B390,'MASTER DATA'!$A$1:$E$212,4,FALSE),"")</f>
        <v/>
      </c>
      <c r="G390" s="17"/>
      <c r="H390" s="17"/>
      <c r="I390" s="17"/>
      <c r="J390" s="17" t="b">
        <v>0</v>
      </c>
    </row>
    <row r="391">
      <c r="A391" s="17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 t="str">
        <f>IFERROR(VLOOKUP(B391,'MASTER DATA'!$A$1:$E$212,4,FALSE),"")</f>
        <v/>
      </c>
      <c r="G391" s="17"/>
      <c r="H391" s="17"/>
      <c r="I391" s="17"/>
      <c r="J391" s="17" t="b">
        <v>0</v>
      </c>
    </row>
    <row r="392">
      <c r="A392" s="17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 t="str">
        <f>IFERROR(VLOOKUP(B392,'MASTER DATA'!$A$1:$E$212,4,FALSE),"")</f>
        <v/>
      </c>
      <c r="G392" s="17"/>
      <c r="H392" s="17"/>
      <c r="I392" s="17"/>
      <c r="J392" s="17" t="b">
        <v>0</v>
      </c>
    </row>
    <row r="393">
      <c r="A393" s="17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 t="str">
        <f>IFERROR(VLOOKUP(B393,'MASTER DATA'!$A$1:$E$212,4,FALSE),"")</f>
        <v/>
      </c>
      <c r="G393" s="17"/>
      <c r="H393" s="17"/>
      <c r="I393" s="17"/>
      <c r="J393" s="17" t="b">
        <v>0</v>
      </c>
    </row>
    <row r="394">
      <c r="A394" s="17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 t="str">
        <f>IFERROR(VLOOKUP(B394,'MASTER DATA'!$A$1:$E$212,4,FALSE),"")</f>
        <v/>
      </c>
      <c r="G394" s="17"/>
      <c r="H394" s="17"/>
      <c r="I394" s="17"/>
      <c r="J394" s="17" t="b">
        <v>0</v>
      </c>
    </row>
    <row r="395">
      <c r="A395" s="17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 t="str">
        <f>IFERROR(VLOOKUP(B395,'MASTER DATA'!$A$1:$E$212,4,FALSE),"")</f>
        <v/>
      </c>
      <c r="G395" s="17"/>
      <c r="H395" s="17"/>
      <c r="I395" s="17"/>
      <c r="J395" s="17" t="b">
        <v>0</v>
      </c>
    </row>
    <row r="396">
      <c r="A396" s="17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 t="str">
        <f>IFERROR(VLOOKUP(B396,'MASTER DATA'!$A$1:$E$212,4,FALSE),"")</f>
        <v/>
      </c>
      <c r="G396" s="17"/>
      <c r="H396" s="17"/>
      <c r="I396" s="17"/>
      <c r="J396" s="17" t="b">
        <v>0</v>
      </c>
    </row>
    <row r="397">
      <c r="A397" s="17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 t="str">
        <f>IFERROR(VLOOKUP(B397,'MASTER DATA'!$A$1:$E$212,4,FALSE),"")</f>
        <v/>
      </c>
      <c r="G397" s="17"/>
      <c r="H397" s="17"/>
      <c r="I397" s="17"/>
      <c r="J397" s="17" t="b">
        <v>0</v>
      </c>
    </row>
    <row r="398">
      <c r="A398" s="17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 t="str">
        <f>IFERROR(VLOOKUP(B398,'MASTER DATA'!$A$1:$E$212,4,FALSE),"")</f>
        <v/>
      </c>
      <c r="G398" s="17"/>
      <c r="H398" s="17"/>
      <c r="I398" s="17"/>
      <c r="J398" s="17" t="b">
        <v>0</v>
      </c>
    </row>
    <row r="399">
      <c r="A399" s="17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 t="str">
        <f>IFERROR(VLOOKUP(B399,'MASTER DATA'!$A$1:$E$212,4,FALSE),"")</f>
        <v/>
      </c>
      <c r="G399" s="17"/>
      <c r="H399" s="17"/>
      <c r="I399" s="17"/>
      <c r="J399" s="17" t="b">
        <v>0</v>
      </c>
    </row>
    <row r="400">
      <c r="A400" s="17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 t="str">
        <f>IFERROR(VLOOKUP(B400,'MASTER DATA'!$A$1:$E$212,4,FALSE),"")</f>
        <v/>
      </c>
      <c r="G400" s="17"/>
      <c r="H400" s="17"/>
      <c r="I400" s="17"/>
      <c r="J400" s="17" t="b">
        <v>0</v>
      </c>
    </row>
    <row r="401">
      <c r="A401" s="17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 t="str">
        <f>IFERROR(VLOOKUP(B401,'MASTER DATA'!$A$1:$E$212,4,FALSE),"")</f>
        <v/>
      </c>
      <c r="G401" s="17"/>
      <c r="H401" s="17"/>
      <c r="I401" s="17"/>
      <c r="J401" s="17" t="b">
        <v>0</v>
      </c>
    </row>
    <row r="402">
      <c r="A402" s="17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 t="str">
        <f>IFERROR(VLOOKUP(B402,'MASTER DATA'!$A$1:$E$212,4,FALSE),"")</f>
        <v/>
      </c>
      <c r="G402" s="17"/>
      <c r="H402" s="17"/>
      <c r="I402" s="17"/>
      <c r="J402" s="17" t="b">
        <v>0</v>
      </c>
    </row>
    <row r="403">
      <c r="A403" s="17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 t="str">
        <f>IFERROR(VLOOKUP(B403,'MASTER DATA'!$A$1:$E$212,4,FALSE),"")</f>
        <v/>
      </c>
      <c r="G403" s="17"/>
      <c r="H403" s="17"/>
      <c r="I403" s="17"/>
      <c r="J403" s="17" t="b">
        <v>0</v>
      </c>
    </row>
    <row r="404">
      <c r="A404" s="17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 t="str">
        <f>IFERROR(VLOOKUP(B404,'MASTER DATA'!$A$1:$E$212,4,FALSE),"")</f>
        <v/>
      </c>
      <c r="G404" s="17"/>
      <c r="H404" s="17"/>
      <c r="I404" s="17"/>
      <c r="J404" s="17" t="b">
        <v>0</v>
      </c>
    </row>
    <row r="405">
      <c r="A405" s="17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 t="str">
        <f>IFERROR(VLOOKUP(B405,'MASTER DATA'!$A$1:$E$212,4,FALSE),"")</f>
        <v/>
      </c>
      <c r="G405" s="17"/>
      <c r="H405" s="17"/>
      <c r="I405" s="17"/>
      <c r="J405" s="17" t="b">
        <v>0</v>
      </c>
    </row>
    <row r="406">
      <c r="A406" s="17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 t="str">
        <f>IFERROR(VLOOKUP(B406,'MASTER DATA'!$A$1:$E$212,4,FALSE),"")</f>
        <v/>
      </c>
      <c r="G406" s="17"/>
      <c r="H406" s="17"/>
      <c r="I406" s="17"/>
      <c r="J406" s="17" t="b">
        <v>0</v>
      </c>
    </row>
    <row r="407">
      <c r="A407" s="17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 t="str">
        <f>IFERROR(VLOOKUP(B407,'MASTER DATA'!$A$1:$E$212,4,FALSE),"")</f>
        <v/>
      </c>
      <c r="G407" s="17"/>
      <c r="H407" s="17"/>
      <c r="I407" s="17"/>
      <c r="J407" s="17" t="b">
        <v>0</v>
      </c>
    </row>
    <row r="408">
      <c r="A408" s="17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 t="str">
        <f>IFERROR(VLOOKUP(B408,'MASTER DATA'!$A$1:$E$212,4,FALSE),"")</f>
        <v/>
      </c>
      <c r="G408" s="17"/>
      <c r="H408" s="17"/>
      <c r="I408" s="17"/>
      <c r="J408" s="17" t="b">
        <v>0</v>
      </c>
    </row>
    <row r="409">
      <c r="A409" s="17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 t="str">
        <f>IFERROR(VLOOKUP(B409,'MASTER DATA'!$A$1:$E$212,4,FALSE),"")</f>
        <v/>
      </c>
      <c r="G409" s="17"/>
      <c r="H409" s="17"/>
      <c r="I409" s="17"/>
      <c r="J409" s="17" t="b">
        <v>0</v>
      </c>
    </row>
    <row r="410">
      <c r="A410" s="17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 t="str">
        <f>IFERROR(VLOOKUP(B410,'MASTER DATA'!$A$1:$E$212,4,FALSE),"")</f>
        <v/>
      </c>
      <c r="G410" s="17"/>
      <c r="H410" s="17"/>
      <c r="I410" s="17"/>
      <c r="J410" s="17" t="b">
        <v>0</v>
      </c>
    </row>
    <row r="411">
      <c r="A411" s="17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 t="str">
        <f>IFERROR(VLOOKUP(B411,'MASTER DATA'!$A$1:$E$212,4,FALSE),"")</f>
        <v/>
      </c>
      <c r="G411" s="17"/>
      <c r="H411" s="17"/>
      <c r="I411" s="17"/>
      <c r="J411" s="17" t="b">
        <v>0</v>
      </c>
    </row>
    <row r="412">
      <c r="A412" s="17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 t="str">
        <f>IFERROR(VLOOKUP(B412,'MASTER DATA'!$A$1:$E$212,4,FALSE),"")</f>
        <v/>
      </c>
      <c r="G412" s="17"/>
      <c r="H412" s="17"/>
      <c r="I412" s="17"/>
      <c r="J412" s="17" t="b">
        <v>0</v>
      </c>
    </row>
    <row r="413">
      <c r="A413" s="17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 t="str">
        <f>IFERROR(VLOOKUP(B413,'MASTER DATA'!$A$1:$E$212,4,FALSE),"")</f>
        <v/>
      </c>
      <c r="G413" s="17"/>
      <c r="H413" s="17"/>
      <c r="I413" s="17"/>
      <c r="J413" s="17" t="b">
        <v>0</v>
      </c>
    </row>
    <row r="414">
      <c r="A414" s="17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 t="str">
        <f>IFERROR(VLOOKUP(B414,'MASTER DATA'!$A$1:$E$212,4,FALSE),"")</f>
        <v/>
      </c>
      <c r="G414" s="17"/>
      <c r="H414" s="17"/>
      <c r="I414" s="17"/>
      <c r="J414" s="17" t="b">
        <v>0</v>
      </c>
    </row>
    <row r="415">
      <c r="A415" s="17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 t="str">
        <f>IFERROR(VLOOKUP(B415,'MASTER DATA'!$A$1:$E$212,4,FALSE),"")</f>
        <v/>
      </c>
      <c r="G415" s="17"/>
      <c r="H415" s="17"/>
      <c r="I415" s="17"/>
      <c r="J415" s="17" t="b">
        <v>0</v>
      </c>
    </row>
    <row r="416">
      <c r="A416" s="17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 t="str">
        <f>IFERROR(VLOOKUP(B416,'MASTER DATA'!$A$1:$E$212,4,FALSE),"")</f>
        <v/>
      </c>
      <c r="G416" s="17"/>
      <c r="H416" s="17"/>
      <c r="I416" s="17"/>
      <c r="J416" s="17" t="b">
        <v>0</v>
      </c>
    </row>
    <row r="417">
      <c r="A417" s="17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 t="str">
        <f>IFERROR(VLOOKUP(B417,'MASTER DATA'!$A$1:$E$212,4,FALSE),"")</f>
        <v/>
      </c>
      <c r="G417" s="17"/>
      <c r="H417" s="17"/>
      <c r="I417" s="17"/>
      <c r="J417" s="17" t="b">
        <v>0</v>
      </c>
    </row>
    <row r="418">
      <c r="A418" s="17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 t="str">
        <f>IFERROR(VLOOKUP(B418,'MASTER DATA'!$A$1:$E$212,4,FALSE),"")</f>
        <v/>
      </c>
      <c r="G418" s="17"/>
      <c r="H418" s="17"/>
      <c r="I418" s="17"/>
      <c r="J418" s="17" t="b">
        <v>0</v>
      </c>
    </row>
    <row r="419">
      <c r="A419" s="17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 t="str">
        <f>IFERROR(VLOOKUP(B419,'MASTER DATA'!$A$1:$E$212,4,FALSE),"")</f>
        <v/>
      </c>
      <c r="G419" s="17"/>
      <c r="H419" s="17"/>
      <c r="I419" s="17"/>
      <c r="J419" s="17" t="b">
        <v>0</v>
      </c>
    </row>
    <row r="420">
      <c r="A420" s="17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 t="str">
        <f>IFERROR(VLOOKUP(B420,'MASTER DATA'!$A$1:$E$212,4,FALSE),"")</f>
        <v/>
      </c>
      <c r="G420" s="17"/>
      <c r="H420" s="17"/>
      <c r="I420" s="17"/>
      <c r="J420" s="17" t="b">
        <v>0</v>
      </c>
    </row>
    <row r="421">
      <c r="A421" s="17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 t="str">
        <f>IFERROR(VLOOKUP(B421,'MASTER DATA'!$A$1:$E$212,4,FALSE),"")</f>
        <v/>
      </c>
      <c r="G421" s="17"/>
      <c r="H421" s="17"/>
      <c r="I421" s="17"/>
      <c r="J421" s="17" t="b">
        <v>0</v>
      </c>
    </row>
    <row r="422">
      <c r="A422" s="17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 t="str">
        <f>IFERROR(VLOOKUP(B422,'MASTER DATA'!$A$1:$E$212,4,FALSE),"")</f>
        <v/>
      </c>
      <c r="G422" s="17"/>
      <c r="H422" s="17"/>
      <c r="I422" s="17"/>
      <c r="J422" s="17" t="b">
        <v>0</v>
      </c>
    </row>
    <row r="423">
      <c r="A423" s="17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 t="str">
        <f>IFERROR(VLOOKUP(B423,'MASTER DATA'!$A$1:$E$212,4,FALSE),"")</f>
        <v/>
      </c>
      <c r="G423" s="17"/>
      <c r="H423" s="17"/>
      <c r="I423" s="17"/>
      <c r="J423" s="17" t="b">
        <v>0</v>
      </c>
    </row>
    <row r="424">
      <c r="A424" s="17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 t="str">
        <f>IFERROR(VLOOKUP(B424,'MASTER DATA'!$A$1:$E$212,4,FALSE),"")</f>
        <v/>
      </c>
      <c r="G424" s="17"/>
      <c r="H424" s="17"/>
      <c r="I424" s="17"/>
      <c r="J424" s="17" t="b">
        <v>0</v>
      </c>
    </row>
    <row r="425">
      <c r="A425" s="17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 t="str">
        <f>IFERROR(VLOOKUP(B425,'MASTER DATA'!$A$1:$E$212,4,FALSE),"")</f>
        <v/>
      </c>
      <c r="G425" s="17"/>
      <c r="H425" s="17"/>
      <c r="I425" s="17"/>
      <c r="J425" s="17" t="b">
        <v>0</v>
      </c>
    </row>
    <row r="426">
      <c r="A426" s="17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 t="str">
        <f>IFERROR(VLOOKUP(B426,'MASTER DATA'!$A$1:$E$212,4,FALSE),"")</f>
        <v/>
      </c>
      <c r="G426" s="17"/>
      <c r="H426" s="17"/>
      <c r="I426" s="17"/>
      <c r="J426" s="17" t="b">
        <v>0</v>
      </c>
    </row>
    <row r="427">
      <c r="A427" s="17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 t="str">
        <f>IFERROR(VLOOKUP(B427,'MASTER DATA'!$A$1:$E$212,4,FALSE),"")</f>
        <v/>
      </c>
      <c r="G427" s="17"/>
      <c r="H427" s="17"/>
      <c r="I427" s="17"/>
      <c r="J427" s="17" t="b">
        <v>0</v>
      </c>
    </row>
    <row r="428">
      <c r="A428" s="17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 t="str">
        <f>IFERROR(VLOOKUP(B428,'MASTER DATA'!$A$1:$E$212,4,FALSE),"")</f>
        <v/>
      </c>
      <c r="G428" s="17"/>
      <c r="H428" s="17"/>
      <c r="I428" s="17"/>
      <c r="J428" s="17" t="b">
        <v>0</v>
      </c>
    </row>
    <row r="429">
      <c r="A429" s="17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 t="str">
        <f>IFERROR(VLOOKUP(B429,'MASTER DATA'!$A$1:$E$212,4,FALSE),"")</f>
        <v/>
      </c>
      <c r="G429" s="17"/>
      <c r="H429" s="17"/>
      <c r="I429" s="17"/>
      <c r="J429" s="17" t="b">
        <v>0</v>
      </c>
    </row>
    <row r="430">
      <c r="A430" s="17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 t="str">
        <f>IFERROR(VLOOKUP(B430,'MASTER DATA'!$A$1:$E$212,4,FALSE),"")</f>
        <v/>
      </c>
      <c r="G430" s="17"/>
      <c r="H430" s="17"/>
      <c r="I430" s="17"/>
      <c r="J430" s="17" t="b">
        <v>0</v>
      </c>
    </row>
    <row r="431">
      <c r="A431" s="17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 t="str">
        <f>IFERROR(VLOOKUP(B431,'MASTER DATA'!$A$1:$E$212,4,FALSE),"")</f>
        <v/>
      </c>
      <c r="G431" s="17"/>
      <c r="H431" s="17"/>
      <c r="I431" s="17"/>
      <c r="J431" s="17" t="b">
        <v>0</v>
      </c>
    </row>
    <row r="432">
      <c r="A432" s="17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 t="str">
        <f>IFERROR(VLOOKUP(B432,'MASTER DATA'!$A$1:$E$212,4,FALSE),"")</f>
        <v/>
      </c>
      <c r="G432" s="17"/>
      <c r="H432" s="17"/>
      <c r="I432" s="17"/>
      <c r="J432" s="17" t="b">
        <v>0</v>
      </c>
    </row>
    <row r="433">
      <c r="A433" s="17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 t="str">
        <f>IFERROR(VLOOKUP(B433,'MASTER DATA'!$A$1:$E$212,4,FALSE),"")</f>
        <v/>
      </c>
      <c r="G433" s="17"/>
      <c r="H433" s="17"/>
      <c r="I433" s="17"/>
      <c r="J433" s="17" t="b">
        <v>0</v>
      </c>
    </row>
    <row r="434">
      <c r="A434" s="17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 t="str">
        <f>IFERROR(VLOOKUP(B434,'MASTER DATA'!$A$1:$E$212,4,FALSE),"")</f>
        <v/>
      </c>
      <c r="G434" s="17"/>
      <c r="H434" s="17"/>
      <c r="I434" s="17"/>
      <c r="J434" s="17" t="b">
        <v>0</v>
      </c>
    </row>
    <row r="435">
      <c r="A435" s="17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 t="str">
        <f>IFERROR(VLOOKUP(B435,'MASTER DATA'!$A$1:$E$212,4,FALSE),"")</f>
        <v/>
      </c>
      <c r="G435" s="17"/>
      <c r="H435" s="17"/>
      <c r="I435" s="17"/>
      <c r="J435" s="17" t="b">
        <v>0</v>
      </c>
    </row>
    <row r="436">
      <c r="A436" s="17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 t="str">
        <f>IFERROR(VLOOKUP(B436,'MASTER DATA'!$A$1:$E$212,4,FALSE),"")</f>
        <v/>
      </c>
      <c r="G436" s="17"/>
      <c r="H436" s="17"/>
      <c r="I436" s="17"/>
      <c r="J436" s="17" t="b">
        <v>0</v>
      </c>
    </row>
    <row r="437">
      <c r="A437" s="17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 t="str">
        <f>IFERROR(VLOOKUP(B437,'MASTER DATA'!$A$1:$E$212,4,FALSE),"")</f>
        <v/>
      </c>
      <c r="G437" s="17"/>
      <c r="H437" s="17"/>
      <c r="I437" s="17"/>
      <c r="J437" s="17" t="b">
        <v>0</v>
      </c>
    </row>
    <row r="438">
      <c r="A438" s="17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 t="str">
        <f>IFERROR(VLOOKUP(B438,'MASTER DATA'!$A$1:$E$212,4,FALSE),"")</f>
        <v/>
      </c>
      <c r="G438" s="17"/>
      <c r="H438" s="17"/>
      <c r="I438" s="17"/>
      <c r="J438" s="17" t="b">
        <v>0</v>
      </c>
    </row>
    <row r="439">
      <c r="A439" s="17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 t="str">
        <f>IFERROR(VLOOKUP(B439,'MASTER DATA'!$A$1:$E$212,4,FALSE),"")</f>
        <v/>
      </c>
      <c r="G439" s="17"/>
      <c r="H439" s="17"/>
      <c r="I439" s="17"/>
      <c r="J439" s="17" t="b">
        <v>0</v>
      </c>
    </row>
    <row r="440">
      <c r="A440" s="17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 t="str">
        <f>IFERROR(VLOOKUP(B440,'MASTER DATA'!$A$1:$E$212,4,FALSE),"")</f>
        <v/>
      </c>
      <c r="G440" s="17"/>
      <c r="H440" s="17"/>
      <c r="I440" s="17"/>
      <c r="J440" s="17" t="b">
        <v>0</v>
      </c>
    </row>
    <row r="441">
      <c r="A441" s="17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 t="str">
        <f>IFERROR(VLOOKUP(B441,'MASTER DATA'!$A$1:$E$212,4,FALSE),"")</f>
        <v/>
      </c>
      <c r="G441" s="17"/>
      <c r="H441" s="17"/>
      <c r="I441" s="17"/>
      <c r="J441" s="17" t="b">
        <v>0</v>
      </c>
    </row>
    <row r="442">
      <c r="A442" s="17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 t="str">
        <f>IFERROR(VLOOKUP(B442,'MASTER DATA'!$A$1:$E$212,4,FALSE),"")</f>
        <v/>
      </c>
      <c r="G442" s="17"/>
      <c r="H442" s="17"/>
      <c r="I442" s="17"/>
      <c r="J442" s="17" t="b">
        <v>0</v>
      </c>
    </row>
    <row r="443">
      <c r="A443" s="17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 t="str">
        <f>IFERROR(VLOOKUP(B443,'MASTER DATA'!$A$1:$E$212,4,FALSE),"")</f>
        <v/>
      </c>
      <c r="G443" s="17"/>
      <c r="H443" s="17"/>
      <c r="I443" s="17"/>
      <c r="J443" s="17" t="b">
        <v>0</v>
      </c>
    </row>
    <row r="444">
      <c r="A444" s="17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 t="str">
        <f>IFERROR(VLOOKUP(B444,'MASTER DATA'!$A$1:$E$212,4,FALSE),"")</f>
        <v/>
      </c>
      <c r="G444" s="17"/>
      <c r="H444" s="17"/>
      <c r="I444" s="17"/>
      <c r="J444" s="17" t="b">
        <v>0</v>
      </c>
    </row>
    <row r="445">
      <c r="A445" s="17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 t="str">
        <f>IFERROR(VLOOKUP(B445,'MASTER DATA'!$A$1:$E$212,4,FALSE),"")</f>
        <v/>
      </c>
      <c r="G445" s="17"/>
      <c r="H445" s="17"/>
      <c r="I445" s="17"/>
      <c r="J445" s="17" t="b">
        <v>0</v>
      </c>
    </row>
    <row r="446">
      <c r="A446" s="17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 t="str">
        <f>IFERROR(VLOOKUP(B446,'MASTER DATA'!$A$1:$E$212,4,FALSE),"")</f>
        <v/>
      </c>
      <c r="G446" s="17"/>
      <c r="H446" s="17"/>
      <c r="I446" s="17"/>
      <c r="J446" s="17" t="b">
        <v>0</v>
      </c>
    </row>
    <row r="447">
      <c r="A447" s="17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 t="str">
        <f>IFERROR(VLOOKUP(B447,'MASTER DATA'!$A$1:$E$212,4,FALSE),"")</f>
        <v/>
      </c>
      <c r="G447" s="17"/>
      <c r="H447" s="17"/>
      <c r="I447" s="17"/>
      <c r="J447" s="17" t="b">
        <v>0</v>
      </c>
    </row>
    <row r="448">
      <c r="A448" s="17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 t="str">
        <f>IFERROR(VLOOKUP(B448,'MASTER DATA'!$A$1:$E$212,4,FALSE),"")</f>
        <v/>
      </c>
      <c r="G448" s="17"/>
      <c r="H448" s="17"/>
      <c r="I448" s="17"/>
      <c r="J448" s="17" t="b">
        <v>0</v>
      </c>
    </row>
    <row r="449">
      <c r="A449" s="17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 t="str">
        <f>IFERROR(VLOOKUP(B449,'MASTER DATA'!$A$1:$E$212,4,FALSE),"")</f>
        <v/>
      </c>
      <c r="G449" s="17"/>
      <c r="H449" s="17"/>
      <c r="I449" s="17"/>
      <c r="J449" s="17" t="b">
        <v>0</v>
      </c>
    </row>
    <row r="450">
      <c r="A450" s="17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 t="str">
        <f>IFERROR(VLOOKUP(B450,'MASTER DATA'!$A$1:$E$212,4,FALSE),"")</f>
        <v/>
      </c>
      <c r="G450" s="17"/>
      <c r="H450" s="17"/>
      <c r="I450" s="17"/>
      <c r="J450" s="17" t="b">
        <v>0</v>
      </c>
    </row>
    <row r="451">
      <c r="A451" s="17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 t="str">
        <f>IFERROR(VLOOKUP(B451,'MASTER DATA'!$A$1:$E$212,4,FALSE),"")</f>
        <v/>
      </c>
      <c r="G451" s="17"/>
      <c r="H451" s="17"/>
      <c r="I451" s="17"/>
      <c r="J451" s="17" t="b">
        <v>0</v>
      </c>
    </row>
    <row r="452">
      <c r="A452" s="17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 t="str">
        <f>IFERROR(VLOOKUP(B452,'MASTER DATA'!$A$1:$E$212,4,FALSE),"")</f>
        <v/>
      </c>
      <c r="G452" s="17"/>
      <c r="H452" s="17"/>
      <c r="I452" s="17"/>
      <c r="J452" s="17" t="b">
        <v>0</v>
      </c>
    </row>
    <row r="453">
      <c r="A453" s="17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 t="str">
        <f>IFERROR(VLOOKUP(B453,'MASTER DATA'!$A$1:$E$212,4,FALSE),"")</f>
        <v/>
      </c>
      <c r="G453" s="17"/>
      <c r="H453" s="17"/>
      <c r="I453" s="17"/>
      <c r="J453" s="17" t="b">
        <v>0</v>
      </c>
    </row>
    <row r="454">
      <c r="A454" s="17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 t="str">
        <f>IFERROR(VLOOKUP(B454,'MASTER DATA'!$A$1:$E$212,4,FALSE),"")</f>
        <v/>
      </c>
      <c r="G454" s="17"/>
      <c r="H454" s="17"/>
      <c r="I454" s="17"/>
      <c r="J454" s="17" t="b">
        <v>0</v>
      </c>
    </row>
    <row r="455">
      <c r="A455" s="17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 t="str">
        <f>IFERROR(VLOOKUP(B455,'MASTER DATA'!$A$1:$E$212,4,FALSE),"")</f>
        <v/>
      </c>
      <c r="G455" s="17"/>
      <c r="H455" s="17"/>
      <c r="I455" s="17"/>
      <c r="J455" s="17" t="b">
        <v>0</v>
      </c>
    </row>
    <row r="456">
      <c r="A456" s="17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 t="str">
        <f>IFERROR(VLOOKUP(B456,'MASTER DATA'!$A$1:$E$212,4,FALSE),"")</f>
        <v/>
      </c>
      <c r="G456" s="17"/>
      <c r="H456" s="17"/>
      <c r="I456" s="17"/>
      <c r="J456" s="17" t="b">
        <v>0</v>
      </c>
    </row>
    <row r="457">
      <c r="A457" s="17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 t="str">
        <f>IFERROR(VLOOKUP(B457,'MASTER DATA'!$A$1:$E$212,4,FALSE),"")</f>
        <v/>
      </c>
      <c r="G457" s="17"/>
      <c r="H457" s="17"/>
      <c r="I457" s="17"/>
      <c r="J457" s="17" t="b">
        <v>0</v>
      </c>
    </row>
    <row r="458">
      <c r="A458" s="17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 t="str">
        <f>IFERROR(VLOOKUP(B458,'MASTER DATA'!$A$1:$E$212,4,FALSE),"")</f>
        <v/>
      </c>
      <c r="G458" s="17"/>
      <c r="H458" s="17"/>
      <c r="I458" s="17"/>
      <c r="J458" s="17" t="b">
        <v>0</v>
      </c>
    </row>
    <row r="459">
      <c r="A459" s="17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 t="str">
        <f>IFERROR(VLOOKUP(B459,'MASTER DATA'!$A$1:$E$212,4,FALSE),"")</f>
        <v/>
      </c>
      <c r="G459" s="17"/>
      <c r="H459" s="17"/>
      <c r="I459" s="17"/>
      <c r="J459" s="17" t="b">
        <v>0</v>
      </c>
    </row>
    <row r="460">
      <c r="A460" s="17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 t="str">
        <f>IFERROR(VLOOKUP(B460,'MASTER DATA'!$A$1:$E$212,4,FALSE),"")</f>
        <v/>
      </c>
      <c r="G460" s="17"/>
      <c r="H460" s="17"/>
      <c r="I460" s="17"/>
      <c r="J460" s="17" t="b">
        <v>0</v>
      </c>
    </row>
    <row r="461">
      <c r="A461" s="17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 t="str">
        <f>IFERROR(VLOOKUP(B461,'MASTER DATA'!$A$1:$E$212,4,FALSE),"")</f>
        <v/>
      </c>
      <c r="G461" s="17"/>
      <c r="H461" s="17"/>
      <c r="I461" s="17"/>
      <c r="J461" s="17" t="b">
        <v>0</v>
      </c>
    </row>
    <row r="462">
      <c r="A462" s="17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 t="str">
        <f>IFERROR(VLOOKUP(B462,'MASTER DATA'!$A$1:$E$212,4,FALSE),"")</f>
        <v/>
      </c>
      <c r="G462" s="17"/>
      <c r="H462" s="17"/>
      <c r="I462" s="17"/>
      <c r="J462" s="17" t="b">
        <v>0</v>
      </c>
    </row>
    <row r="463">
      <c r="A463" s="17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 t="str">
        <f>IFERROR(VLOOKUP(B463,'MASTER DATA'!$A$1:$E$212,4,FALSE),"")</f>
        <v/>
      </c>
      <c r="G463" s="17"/>
      <c r="H463" s="17"/>
      <c r="I463" s="17"/>
      <c r="J463" s="17" t="b">
        <v>0</v>
      </c>
    </row>
    <row r="464">
      <c r="A464" s="17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 t="str">
        <f>IFERROR(VLOOKUP(B464,'MASTER DATA'!$A$1:$E$212,4,FALSE),"")</f>
        <v/>
      </c>
      <c r="G464" s="17"/>
      <c r="H464" s="17"/>
      <c r="I464" s="17"/>
      <c r="J464" s="17" t="b">
        <v>0</v>
      </c>
    </row>
    <row r="465">
      <c r="A465" s="17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 t="str">
        <f>IFERROR(VLOOKUP(B465,'MASTER DATA'!$A$1:$E$212,4,FALSE),"")</f>
        <v/>
      </c>
      <c r="G465" s="17"/>
      <c r="H465" s="17"/>
      <c r="I465" s="17"/>
      <c r="J465" s="17" t="b">
        <v>0</v>
      </c>
    </row>
    <row r="466">
      <c r="A466" s="17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 t="str">
        <f>IFERROR(VLOOKUP(B466,'MASTER DATA'!$A$1:$E$212,4,FALSE),"")</f>
        <v/>
      </c>
      <c r="G466" s="17"/>
      <c r="H466" s="17"/>
      <c r="I466" s="17"/>
      <c r="J466" s="17" t="b">
        <v>0</v>
      </c>
    </row>
    <row r="467">
      <c r="A467" s="17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 t="str">
        <f>IFERROR(VLOOKUP(B467,'MASTER DATA'!$A$1:$E$212,4,FALSE),"")</f>
        <v/>
      </c>
      <c r="G467" s="17"/>
      <c r="H467" s="17"/>
      <c r="I467" s="17"/>
      <c r="J467" s="17" t="b">
        <v>0</v>
      </c>
    </row>
    <row r="468">
      <c r="A468" s="17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 t="str">
        <f>IFERROR(VLOOKUP(B468,'MASTER DATA'!$A$1:$E$212,4,FALSE),"")</f>
        <v/>
      </c>
      <c r="G468" s="17"/>
      <c r="H468" s="17"/>
      <c r="I468" s="17"/>
      <c r="J468" s="17" t="b">
        <v>0</v>
      </c>
    </row>
    <row r="469">
      <c r="A469" s="17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 t="str">
        <f>IFERROR(VLOOKUP(B469,'MASTER DATA'!$A$1:$E$212,4,FALSE),"")</f>
        <v/>
      </c>
      <c r="G469" s="17"/>
      <c r="H469" s="17"/>
      <c r="I469" s="17"/>
      <c r="J469" s="17" t="b">
        <v>0</v>
      </c>
    </row>
    <row r="470">
      <c r="A470" s="17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 t="str">
        <f>IFERROR(VLOOKUP(B470,'MASTER DATA'!$A$1:$E$212,4,FALSE),"")</f>
        <v/>
      </c>
      <c r="G470" s="17"/>
      <c r="H470" s="17"/>
      <c r="I470" s="17"/>
      <c r="J470" s="17" t="b">
        <v>0</v>
      </c>
    </row>
    <row r="471">
      <c r="A471" s="17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 t="str">
        <f>IFERROR(VLOOKUP(B471,'MASTER DATA'!$A$1:$E$212,4,FALSE),"")</f>
        <v/>
      </c>
      <c r="G471" s="17"/>
      <c r="H471" s="17"/>
      <c r="I471" s="17"/>
      <c r="J471" s="17" t="b">
        <v>0</v>
      </c>
    </row>
    <row r="472">
      <c r="A472" s="17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 t="str">
        <f>IFERROR(VLOOKUP(B472,'MASTER DATA'!$A$1:$E$212,4,FALSE),"")</f>
        <v/>
      </c>
      <c r="G472" s="17"/>
      <c r="H472" s="17"/>
      <c r="I472" s="17"/>
      <c r="J472" s="17" t="b">
        <v>0</v>
      </c>
    </row>
    <row r="473">
      <c r="A473" s="17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 t="str">
        <f>IFERROR(VLOOKUP(B473,'MASTER DATA'!$A$1:$E$212,4,FALSE),"")</f>
        <v/>
      </c>
      <c r="G473" s="17"/>
      <c r="H473" s="17"/>
      <c r="I473" s="17"/>
      <c r="J473" s="17" t="b">
        <v>0</v>
      </c>
    </row>
    <row r="474">
      <c r="A474" s="17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 t="str">
        <f>IFERROR(VLOOKUP(B474,'MASTER DATA'!$A$1:$E$212,4,FALSE),"")</f>
        <v/>
      </c>
      <c r="G474" s="17"/>
      <c r="H474" s="17"/>
      <c r="I474" s="17"/>
      <c r="J474" s="17" t="b">
        <v>0</v>
      </c>
    </row>
    <row r="475">
      <c r="A475" s="17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 t="str">
        <f>IFERROR(VLOOKUP(B475,'MASTER DATA'!$A$1:$E$212,4,FALSE),"")</f>
        <v/>
      </c>
      <c r="G475" s="17"/>
      <c r="H475" s="17"/>
      <c r="I475" s="17"/>
      <c r="J475" s="17" t="b">
        <v>0</v>
      </c>
    </row>
    <row r="476">
      <c r="A476" s="17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 t="str">
        <f>IFERROR(VLOOKUP(B476,'MASTER DATA'!$A$1:$E$212,4,FALSE),"")</f>
        <v/>
      </c>
      <c r="G476" s="17"/>
      <c r="H476" s="17"/>
      <c r="I476" s="17"/>
      <c r="J476" s="17" t="b">
        <v>0</v>
      </c>
    </row>
    <row r="477">
      <c r="A477" s="17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 t="str">
        <f>IFERROR(VLOOKUP(B477,'MASTER DATA'!$A$1:$E$212,4,FALSE),"")</f>
        <v/>
      </c>
      <c r="G477" s="17"/>
      <c r="H477" s="17"/>
      <c r="I477" s="17"/>
      <c r="J477" s="17" t="b">
        <v>0</v>
      </c>
    </row>
    <row r="478">
      <c r="A478" s="17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 t="str">
        <f>IFERROR(VLOOKUP(B478,'MASTER DATA'!$A$1:$E$212,4,FALSE),"")</f>
        <v/>
      </c>
      <c r="G478" s="17"/>
      <c r="H478" s="17"/>
      <c r="I478" s="17"/>
      <c r="J478" s="17" t="b">
        <v>0</v>
      </c>
    </row>
    <row r="479">
      <c r="A479" s="17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 t="str">
        <f>IFERROR(VLOOKUP(B479,'MASTER DATA'!$A$1:$E$212,4,FALSE),"")</f>
        <v/>
      </c>
      <c r="G479" s="17"/>
      <c r="H479" s="17"/>
      <c r="I479" s="17"/>
      <c r="J479" s="17" t="b">
        <v>0</v>
      </c>
    </row>
    <row r="480">
      <c r="A480" s="17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 t="str">
        <f>IFERROR(VLOOKUP(B480,'MASTER DATA'!$A$1:$E$212,4,FALSE),"")</f>
        <v/>
      </c>
      <c r="G480" s="17"/>
      <c r="H480" s="17"/>
      <c r="I480" s="17"/>
      <c r="J480" s="17" t="b">
        <v>0</v>
      </c>
    </row>
    <row r="481">
      <c r="A481" s="17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 t="str">
        <f>IFERROR(VLOOKUP(B481,'MASTER DATA'!$A$1:$E$212,4,FALSE),"")</f>
        <v/>
      </c>
      <c r="G481" s="17"/>
      <c r="H481" s="17"/>
      <c r="I481" s="17"/>
      <c r="J481" s="17" t="b">
        <v>0</v>
      </c>
    </row>
    <row r="482">
      <c r="A482" s="17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 t="str">
        <f>IFERROR(VLOOKUP(B482,'MASTER DATA'!$A$1:$E$212,4,FALSE),"")</f>
        <v/>
      </c>
      <c r="G482" s="17"/>
      <c r="H482" s="17"/>
      <c r="I482" s="17"/>
      <c r="J482" s="17" t="b">
        <v>0</v>
      </c>
    </row>
    <row r="483">
      <c r="A483" s="17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 t="str">
        <f>IFERROR(VLOOKUP(B483,'MASTER DATA'!$A$1:$E$212,4,FALSE),"")</f>
        <v/>
      </c>
      <c r="G483" s="17"/>
      <c r="H483" s="17"/>
      <c r="I483" s="17"/>
      <c r="J483" s="17" t="b">
        <v>0</v>
      </c>
    </row>
    <row r="484">
      <c r="A484" s="17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 t="str">
        <f>IFERROR(VLOOKUP(B484,'MASTER DATA'!$A$1:$E$212,4,FALSE),"")</f>
        <v/>
      </c>
      <c r="G484" s="17"/>
      <c r="H484" s="17"/>
      <c r="I484" s="17"/>
      <c r="J484" s="17" t="b">
        <v>0</v>
      </c>
    </row>
    <row r="485">
      <c r="A485" s="17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 t="str">
        <f>IFERROR(VLOOKUP(B485,'MASTER DATA'!$A$1:$E$212,4,FALSE),"")</f>
        <v/>
      </c>
      <c r="G485" s="17"/>
      <c r="H485" s="17"/>
      <c r="I485" s="17"/>
      <c r="J485" s="17" t="b">
        <v>0</v>
      </c>
    </row>
    <row r="486">
      <c r="A486" s="17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 t="str">
        <f>IFERROR(VLOOKUP(B486,'MASTER DATA'!$A$1:$E$212,4,FALSE),"")</f>
        <v/>
      </c>
      <c r="G486" s="17"/>
      <c r="H486" s="17"/>
      <c r="I486" s="17"/>
      <c r="J486" s="17" t="b">
        <v>0</v>
      </c>
    </row>
    <row r="487">
      <c r="A487" s="17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 t="str">
        <f>IFERROR(VLOOKUP(B487,'MASTER DATA'!$A$1:$E$212,4,FALSE),"")</f>
        <v/>
      </c>
      <c r="G487" s="17"/>
      <c r="H487" s="17"/>
      <c r="I487" s="17"/>
      <c r="J487" s="17" t="b">
        <v>0</v>
      </c>
    </row>
    <row r="488">
      <c r="A488" s="17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 t="str">
        <f>IFERROR(VLOOKUP(B488,'MASTER DATA'!$A$1:$E$212,4,FALSE),"")</f>
        <v/>
      </c>
      <c r="G488" s="17"/>
      <c r="H488" s="17"/>
      <c r="I488" s="17"/>
      <c r="J488" s="17" t="b">
        <v>0</v>
      </c>
    </row>
    <row r="489">
      <c r="A489" s="17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 t="str">
        <f>IFERROR(VLOOKUP(B489,'MASTER DATA'!$A$1:$E$212,4,FALSE),"")</f>
        <v/>
      </c>
      <c r="G489" s="17"/>
      <c r="H489" s="17"/>
      <c r="I489" s="17"/>
      <c r="J489" s="17" t="b">
        <v>0</v>
      </c>
    </row>
    <row r="490">
      <c r="A490" s="17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 t="str">
        <f>IFERROR(VLOOKUP(B490,'MASTER DATA'!$A$1:$E$212,4,FALSE),"")</f>
        <v/>
      </c>
      <c r="G490" s="17"/>
      <c r="H490" s="17"/>
      <c r="I490" s="17"/>
      <c r="J490" s="17" t="b">
        <v>0</v>
      </c>
    </row>
    <row r="491">
      <c r="A491" s="17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 t="str">
        <f>IFERROR(VLOOKUP(B491,'MASTER DATA'!$A$1:$E$212,4,FALSE),"")</f>
        <v/>
      </c>
      <c r="G491" s="17"/>
      <c r="H491" s="17"/>
      <c r="I491" s="17"/>
      <c r="J491" s="17" t="b">
        <v>0</v>
      </c>
    </row>
    <row r="492">
      <c r="A492" s="17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 t="str">
        <f>IFERROR(VLOOKUP(B492,'MASTER DATA'!$A$1:$E$212,4,FALSE),"")</f>
        <v/>
      </c>
      <c r="G492" s="17"/>
      <c r="H492" s="17"/>
      <c r="I492" s="17"/>
      <c r="J492" s="17" t="b">
        <v>0</v>
      </c>
    </row>
    <row r="493">
      <c r="A493" s="17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 t="str">
        <f>IFERROR(VLOOKUP(B493,'MASTER DATA'!$A$1:$E$212,4,FALSE),"")</f>
        <v/>
      </c>
      <c r="G493" s="17"/>
      <c r="H493" s="17"/>
      <c r="I493" s="17"/>
      <c r="J493" s="17" t="b">
        <v>0</v>
      </c>
    </row>
    <row r="494">
      <c r="A494" s="17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 t="str">
        <f>IFERROR(VLOOKUP(B494,'MASTER DATA'!$A$1:$E$212,4,FALSE),"")</f>
        <v/>
      </c>
      <c r="G494" s="17"/>
      <c r="H494" s="17"/>
      <c r="I494" s="17"/>
      <c r="J494" s="17" t="b">
        <v>0</v>
      </c>
    </row>
    <row r="495">
      <c r="A495" s="17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 t="str">
        <f>IFERROR(VLOOKUP(B495,'MASTER DATA'!$A$1:$E$212,4,FALSE),"")</f>
        <v/>
      </c>
      <c r="G495" s="17"/>
      <c r="H495" s="17"/>
      <c r="I495" s="17"/>
      <c r="J495" s="17" t="b">
        <v>0</v>
      </c>
    </row>
    <row r="496">
      <c r="A496" s="17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 t="str">
        <f>IFERROR(VLOOKUP(B496,'MASTER DATA'!$A$1:$E$212,4,FALSE),"")</f>
        <v/>
      </c>
      <c r="G496" s="17"/>
      <c r="H496" s="17"/>
      <c r="I496" s="17"/>
      <c r="J496" s="17" t="b">
        <v>0</v>
      </c>
    </row>
    <row r="497">
      <c r="A497" s="17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 t="str">
        <f>IFERROR(VLOOKUP(B497,'MASTER DATA'!$A$1:$E$212,4,FALSE),"")</f>
        <v/>
      </c>
      <c r="G497" s="17"/>
      <c r="H497" s="17"/>
      <c r="I497" s="17"/>
      <c r="J497" s="17" t="b">
        <v>0</v>
      </c>
    </row>
    <row r="498">
      <c r="A498" s="17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 t="str">
        <f>IFERROR(VLOOKUP(B498,'MASTER DATA'!$A$1:$E$212,4,FALSE),"")</f>
        <v/>
      </c>
      <c r="G498" s="17"/>
      <c r="H498" s="17"/>
      <c r="I498" s="17"/>
      <c r="J498" s="17" t="b">
        <v>0</v>
      </c>
    </row>
    <row r="499">
      <c r="A499" s="17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 t="str">
        <f>IFERROR(VLOOKUP(B499,'MASTER DATA'!$A$1:$E$212,4,FALSE),"")</f>
        <v/>
      </c>
      <c r="G499" s="17"/>
      <c r="H499" s="17"/>
      <c r="I499" s="17"/>
      <c r="J499" s="17" t="b">
        <v>0</v>
      </c>
    </row>
    <row r="500">
      <c r="A500" s="17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 t="str">
        <f>IFERROR(VLOOKUP(B500,'MASTER DATA'!$A$1:$E$212,4,FALSE),"")</f>
        <v/>
      </c>
      <c r="G500" s="17"/>
      <c r="H500" s="17"/>
      <c r="I500" s="17"/>
      <c r="J500" s="17" t="b">
        <v>0</v>
      </c>
    </row>
    <row r="501">
      <c r="A501" s="17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 t="str">
        <f>IFERROR(VLOOKUP(B501,'MASTER DATA'!$A$1:$E$212,4,FALSE),"")</f>
        <v/>
      </c>
      <c r="G501" s="17"/>
      <c r="H501" s="17"/>
      <c r="I501" s="17"/>
      <c r="J501" s="17" t="b">
        <v>0</v>
      </c>
    </row>
    <row r="502">
      <c r="A502" s="17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 t="str">
        <f>IFERROR(VLOOKUP(B502,'MASTER DATA'!$A$1:$E$212,4,FALSE),"")</f>
        <v/>
      </c>
      <c r="G502" s="17"/>
      <c r="H502" s="17"/>
      <c r="I502" s="17"/>
      <c r="J502" s="17" t="b">
        <v>0</v>
      </c>
    </row>
    <row r="503">
      <c r="A503" s="17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 t="str">
        <f>IFERROR(VLOOKUP(B503,'MASTER DATA'!$A$1:$E$212,4,FALSE),"")</f>
        <v/>
      </c>
      <c r="G503" s="17"/>
      <c r="H503" s="17"/>
      <c r="I503" s="17"/>
      <c r="J503" s="17" t="b">
        <v>0</v>
      </c>
    </row>
    <row r="504">
      <c r="A504" s="17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 t="str">
        <f>IFERROR(VLOOKUP(B504,'MASTER DATA'!$A$1:$E$212,4,FALSE),"")</f>
        <v/>
      </c>
      <c r="G504" s="17"/>
      <c r="H504" s="17"/>
      <c r="I504" s="17"/>
      <c r="J504" s="17" t="b">
        <v>0</v>
      </c>
    </row>
    <row r="505">
      <c r="A505" s="17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 t="str">
        <f>IFERROR(VLOOKUP(B505,'MASTER DATA'!$A$1:$E$212,4,FALSE),"")</f>
        <v/>
      </c>
      <c r="G505" s="17"/>
      <c r="H505" s="17"/>
      <c r="I505" s="17"/>
      <c r="J505" s="17" t="b">
        <v>0</v>
      </c>
    </row>
    <row r="506">
      <c r="A506" s="17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 t="str">
        <f>IFERROR(VLOOKUP(B506,'MASTER DATA'!$A$1:$E$212,4,FALSE),"")</f>
        <v/>
      </c>
      <c r="G506" s="17"/>
      <c r="H506" s="17"/>
      <c r="I506" s="17"/>
      <c r="J506" s="17" t="b">
        <v>0</v>
      </c>
    </row>
    <row r="507">
      <c r="A507" s="17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 t="str">
        <f>IFERROR(VLOOKUP(B507,'MASTER DATA'!$A$1:$E$212,4,FALSE),"")</f>
        <v/>
      </c>
      <c r="G507" s="17"/>
      <c r="H507" s="17"/>
      <c r="I507" s="17"/>
      <c r="J507" s="17" t="b">
        <v>0</v>
      </c>
    </row>
    <row r="508">
      <c r="A508" s="17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 t="str">
        <f>IFERROR(VLOOKUP(B508,'MASTER DATA'!$A$1:$E$212,4,FALSE),"")</f>
        <v/>
      </c>
      <c r="G508" s="17"/>
      <c r="H508" s="17"/>
      <c r="I508" s="17"/>
      <c r="J508" s="17" t="b">
        <v>0</v>
      </c>
    </row>
    <row r="509">
      <c r="A509" s="17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 t="str">
        <f>IFERROR(VLOOKUP(B509,'MASTER DATA'!$A$1:$E$212,4,FALSE),"")</f>
        <v/>
      </c>
      <c r="G509" s="17"/>
      <c r="H509" s="17"/>
      <c r="I509" s="17"/>
      <c r="J509" s="17" t="b">
        <v>0</v>
      </c>
    </row>
    <row r="510">
      <c r="A510" s="17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 t="str">
        <f>IFERROR(VLOOKUP(B510,'MASTER DATA'!$A$1:$E$212,4,FALSE),"")</f>
        <v/>
      </c>
      <c r="G510" s="17"/>
      <c r="H510" s="17"/>
      <c r="I510" s="17"/>
      <c r="J510" s="17" t="b">
        <v>0</v>
      </c>
    </row>
    <row r="511">
      <c r="A511" s="17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 t="str">
        <f>IFERROR(VLOOKUP(B511,'MASTER DATA'!$A$1:$E$212,4,FALSE),"")</f>
        <v/>
      </c>
      <c r="G511" s="17"/>
      <c r="H511" s="17"/>
      <c r="I511" s="17"/>
      <c r="J511" s="17" t="b">
        <v>0</v>
      </c>
    </row>
    <row r="512">
      <c r="A512" s="17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 t="str">
        <f>IFERROR(VLOOKUP(B512,'MASTER DATA'!$A$1:$E$212,4,FALSE),"")</f>
        <v/>
      </c>
      <c r="G512" s="17"/>
      <c r="H512" s="17"/>
      <c r="I512" s="17"/>
      <c r="J512" s="17" t="b">
        <v>0</v>
      </c>
    </row>
    <row r="513">
      <c r="A513" s="17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 t="str">
        <f>IFERROR(VLOOKUP(B513,'MASTER DATA'!$A$1:$E$212,4,FALSE),"")</f>
        <v/>
      </c>
      <c r="G513" s="17"/>
      <c r="H513" s="17"/>
      <c r="I513" s="17"/>
      <c r="J513" s="17" t="b">
        <v>0</v>
      </c>
    </row>
    <row r="514">
      <c r="A514" s="17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 t="str">
        <f>IFERROR(VLOOKUP(B514,'MASTER DATA'!$A$1:$E$212,4,FALSE),"")</f>
        <v/>
      </c>
      <c r="G514" s="17"/>
      <c r="H514" s="17"/>
      <c r="I514" s="17"/>
      <c r="J514" s="17" t="b">
        <v>0</v>
      </c>
    </row>
    <row r="515">
      <c r="A515" s="17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 t="str">
        <f>IFERROR(VLOOKUP(B515,'MASTER DATA'!$A$1:$E$212,4,FALSE),"")</f>
        <v/>
      </c>
      <c r="G515" s="17"/>
      <c r="H515" s="17"/>
      <c r="I515" s="17"/>
      <c r="J515" s="17" t="b">
        <v>0</v>
      </c>
    </row>
    <row r="516">
      <c r="A516" s="17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 t="str">
        <f>IFERROR(VLOOKUP(B516,'MASTER DATA'!$A$1:$E$212,4,FALSE),"")</f>
        <v/>
      </c>
      <c r="G516" s="17"/>
      <c r="H516" s="17"/>
      <c r="I516" s="17"/>
      <c r="J516" s="17" t="b">
        <v>0</v>
      </c>
    </row>
    <row r="517">
      <c r="A517" s="17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 t="str">
        <f>IFERROR(VLOOKUP(B517,'MASTER DATA'!$A$1:$E$212,4,FALSE),"")</f>
        <v/>
      </c>
      <c r="G517" s="17"/>
      <c r="H517" s="17"/>
      <c r="I517" s="17"/>
      <c r="J517" s="17" t="b">
        <v>0</v>
      </c>
    </row>
    <row r="518">
      <c r="A518" s="17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 t="str">
        <f>IFERROR(VLOOKUP(B518,'MASTER DATA'!$A$1:$E$212,4,FALSE),"")</f>
        <v/>
      </c>
      <c r="G518" s="17"/>
      <c r="H518" s="17"/>
      <c r="I518" s="17"/>
      <c r="J518" s="17" t="b">
        <v>0</v>
      </c>
    </row>
    <row r="519">
      <c r="A519" s="17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 t="str">
        <f>IFERROR(VLOOKUP(B519,'MASTER DATA'!$A$1:$E$212,4,FALSE),"")</f>
        <v/>
      </c>
      <c r="G519" s="17"/>
      <c r="H519" s="17"/>
      <c r="I519" s="17"/>
      <c r="J519" s="17" t="b">
        <v>0</v>
      </c>
    </row>
    <row r="520">
      <c r="A520" s="17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 t="str">
        <f>IFERROR(VLOOKUP(B520,'MASTER DATA'!$A$1:$E$212,4,FALSE),"")</f>
        <v/>
      </c>
      <c r="G520" s="17"/>
      <c r="H520" s="17"/>
      <c r="I520" s="17"/>
      <c r="J520" s="17" t="b">
        <v>0</v>
      </c>
    </row>
    <row r="521">
      <c r="A521" s="17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 t="str">
        <f>IFERROR(VLOOKUP(B521,'MASTER DATA'!$A$1:$E$212,4,FALSE),"")</f>
        <v/>
      </c>
      <c r="G521" s="17"/>
      <c r="H521" s="17"/>
      <c r="I521" s="17"/>
      <c r="J521" s="17" t="b">
        <v>0</v>
      </c>
    </row>
    <row r="522">
      <c r="A522" s="17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 t="str">
        <f>IFERROR(VLOOKUP(B522,'MASTER DATA'!$A$1:$E$212,4,FALSE),"")</f>
        <v/>
      </c>
      <c r="G522" s="17"/>
      <c r="H522" s="17"/>
      <c r="I522" s="17"/>
      <c r="J522" s="17" t="b">
        <v>0</v>
      </c>
    </row>
    <row r="523">
      <c r="A523" s="17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 t="str">
        <f>IFERROR(VLOOKUP(B523,'MASTER DATA'!$A$1:$E$212,4,FALSE),"")</f>
        <v/>
      </c>
      <c r="G523" s="17"/>
      <c r="H523" s="17"/>
      <c r="I523" s="17"/>
      <c r="J523" s="17" t="b">
        <v>0</v>
      </c>
    </row>
    <row r="524">
      <c r="A524" s="17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 t="str">
        <f>IFERROR(VLOOKUP(B524,'MASTER DATA'!$A$1:$E$212,4,FALSE),"")</f>
        <v/>
      </c>
      <c r="G524" s="17"/>
      <c r="H524" s="17"/>
      <c r="I524" s="17"/>
      <c r="J524" s="17" t="b">
        <v>0</v>
      </c>
    </row>
    <row r="525">
      <c r="A525" s="17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 t="str">
        <f>IFERROR(VLOOKUP(B525,'MASTER DATA'!$A$1:$E$212,4,FALSE),"")</f>
        <v/>
      </c>
      <c r="G525" s="17"/>
      <c r="H525" s="17"/>
      <c r="I525" s="17"/>
      <c r="J525" s="17" t="b">
        <v>0</v>
      </c>
    </row>
    <row r="526">
      <c r="A526" s="17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 t="str">
        <f>IFERROR(VLOOKUP(B526,'MASTER DATA'!$A$1:$E$212,4,FALSE),"")</f>
        <v/>
      </c>
      <c r="G526" s="17"/>
      <c r="H526" s="17"/>
      <c r="I526" s="17"/>
      <c r="J526" s="17" t="b">
        <v>0</v>
      </c>
    </row>
    <row r="527">
      <c r="A527" s="17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 t="str">
        <f>IFERROR(VLOOKUP(B527,'MASTER DATA'!$A$1:$E$212,4,FALSE),"")</f>
        <v/>
      </c>
      <c r="G527" s="17"/>
      <c r="H527" s="17"/>
      <c r="I527" s="17"/>
      <c r="J527" s="17" t="b">
        <v>0</v>
      </c>
    </row>
    <row r="528">
      <c r="A528" s="17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 t="str">
        <f>IFERROR(VLOOKUP(B528,'MASTER DATA'!$A$1:$E$212,4,FALSE),"")</f>
        <v/>
      </c>
      <c r="G528" s="17"/>
      <c r="H528" s="17"/>
      <c r="I528" s="17"/>
      <c r="J528" s="17" t="b">
        <v>0</v>
      </c>
    </row>
    <row r="529">
      <c r="A529" s="17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 t="str">
        <f>IFERROR(VLOOKUP(B529,'MASTER DATA'!$A$1:$E$212,4,FALSE),"")</f>
        <v/>
      </c>
      <c r="G529" s="17"/>
      <c r="H529" s="17"/>
      <c r="I529" s="17"/>
      <c r="J529" s="17" t="b">
        <v>0</v>
      </c>
    </row>
    <row r="530">
      <c r="A530" s="17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 t="str">
        <f>IFERROR(VLOOKUP(B530,'MASTER DATA'!$A$1:$E$212,4,FALSE),"")</f>
        <v/>
      </c>
      <c r="G530" s="17"/>
      <c r="H530" s="17"/>
      <c r="I530" s="17"/>
      <c r="J530" s="17" t="b">
        <v>0</v>
      </c>
    </row>
    <row r="531">
      <c r="A531" s="17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 t="str">
        <f>IFERROR(VLOOKUP(B531,'MASTER DATA'!$A$1:$E$212,4,FALSE),"")</f>
        <v/>
      </c>
      <c r="G531" s="17"/>
      <c r="H531" s="17"/>
      <c r="I531" s="17"/>
      <c r="J531" s="17" t="b">
        <v>0</v>
      </c>
    </row>
    <row r="532">
      <c r="A532" s="17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 t="str">
        <f>IFERROR(VLOOKUP(B532,'MASTER DATA'!$A$1:$E$212,4,FALSE),"")</f>
        <v/>
      </c>
      <c r="G532" s="17"/>
      <c r="H532" s="17"/>
      <c r="I532" s="17"/>
      <c r="J532" s="17" t="b">
        <v>0</v>
      </c>
    </row>
    <row r="533">
      <c r="A533" s="17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 t="str">
        <f>IFERROR(VLOOKUP(B533,'MASTER DATA'!$A$1:$E$212,4,FALSE),"")</f>
        <v/>
      </c>
      <c r="G533" s="17"/>
      <c r="H533" s="17"/>
      <c r="I533" s="17"/>
      <c r="J533" s="17" t="b">
        <v>0</v>
      </c>
    </row>
    <row r="534">
      <c r="A534" s="17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 t="str">
        <f>IFERROR(VLOOKUP(B534,'MASTER DATA'!$A$1:$E$212,4,FALSE),"")</f>
        <v/>
      </c>
      <c r="G534" s="17"/>
      <c r="H534" s="17"/>
      <c r="I534" s="17"/>
      <c r="J534" s="17" t="b">
        <v>0</v>
      </c>
    </row>
    <row r="535">
      <c r="A535" s="17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 t="str">
        <f>IFERROR(VLOOKUP(B535,'MASTER DATA'!$A$1:$E$212,4,FALSE),"")</f>
        <v/>
      </c>
      <c r="G535" s="17"/>
      <c r="H535" s="17"/>
      <c r="I535" s="17"/>
      <c r="J535" s="17" t="b">
        <v>0</v>
      </c>
    </row>
    <row r="536">
      <c r="A536" s="17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 t="str">
        <f>IFERROR(VLOOKUP(B536,'MASTER DATA'!$A$1:$E$212,4,FALSE),"")</f>
        <v/>
      </c>
      <c r="G536" s="17"/>
      <c r="H536" s="17"/>
      <c r="I536" s="17"/>
      <c r="J536" s="17" t="b">
        <v>0</v>
      </c>
    </row>
    <row r="537">
      <c r="A537" s="17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 t="str">
        <f>IFERROR(VLOOKUP(B537,'MASTER DATA'!$A$1:$E$212,4,FALSE),"")</f>
        <v/>
      </c>
      <c r="G537" s="17"/>
      <c r="H537" s="17"/>
      <c r="I537" s="17"/>
      <c r="J537" s="17" t="b">
        <v>0</v>
      </c>
    </row>
    <row r="538">
      <c r="A538" s="17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 t="str">
        <f>IFERROR(VLOOKUP(B538,'MASTER DATA'!$A$1:$E$212,4,FALSE),"")</f>
        <v/>
      </c>
      <c r="G538" s="17"/>
      <c r="H538" s="17"/>
      <c r="I538" s="17"/>
      <c r="J538" s="17" t="b">
        <v>0</v>
      </c>
    </row>
    <row r="539">
      <c r="A539" s="17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 t="str">
        <f>IFERROR(VLOOKUP(B539,'MASTER DATA'!$A$1:$E$212,4,FALSE),"")</f>
        <v/>
      </c>
      <c r="G539" s="17"/>
      <c r="H539" s="17"/>
      <c r="I539" s="17"/>
      <c r="J539" s="17" t="b">
        <v>0</v>
      </c>
    </row>
    <row r="540">
      <c r="A540" s="17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 t="str">
        <f>IFERROR(VLOOKUP(B540,'MASTER DATA'!$A$1:$E$212,4,FALSE),"")</f>
        <v/>
      </c>
      <c r="G540" s="17"/>
      <c r="H540" s="17"/>
      <c r="I540" s="17"/>
      <c r="J540" s="17" t="b">
        <v>0</v>
      </c>
    </row>
    <row r="541">
      <c r="A541" s="17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 t="str">
        <f>IFERROR(VLOOKUP(B541,'MASTER DATA'!$A$1:$E$212,4,FALSE),"")</f>
        <v/>
      </c>
      <c r="G541" s="17"/>
      <c r="H541" s="17"/>
      <c r="I541" s="17"/>
      <c r="J541" s="17" t="b">
        <v>0</v>
      </c>
    </row>
    <row r="542">
      <c r="A542" s="17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 t="str">
        <f>IFERROR(VLOOKUP(B542,'MASTER DATA'!$A$1:$E$212,4,FALSE),"")</f>
        <v/>
      </c>
      <c r="G542" s="17"/>
      <c r="H542" s="17"/>
      <c r="I542" s="17"/>
      <c r="J542" s="17" t="b">
        <v>0</v>
      </c>
    </row>
    <row r="543">
      <c r="A543" s="17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 t="str">
        <f>IFERROR(VLOOKUP(B543,'MASTER DATA'!$A$1:$E$212,4,FALSE),"")</f>
        <v/>
      </c>
      <c r="G543" s="17"/>
      <c r="H543" s="17"/>
      <c r="I543" s="17"/>
      <c r="J543" s="17" t="b">
        <v>0</v>
      </c>
    </row>
    <row r="544">
      <c r="A544" s="17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 t="str">
        <f>IFERROR(VLOOKUP(B544,'MASTER DATA'!$A$1:$E$212,4,FALSE),"")</f>
        <v/>
      </c>
      <c r="G544" s="17"/>
      <c r="H544" s="17"/>
      <c r="I544" s="17"/>
      <c r="J544" s="17" t="b">
        <v>0</v>
      </c>
    </row>
    <row r="545">
      <c r="A545" s="17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 t="str">
        <f>IFERROR(VLOOKUP(B545,'MASTER DATA'!$A$1:$E$212,4,FALSE),"")</f>
        <v/>
      </c>
      <c r="G545" s="17"/>
      <c r="H545" s="17"/>
      <c r="I545" s="17"/>
      <c r="J545" s="17" t="b">
        <v>0</v>
      </c>
    </row>
    <row r="546">
      <c r="A546" s="17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 t="str">
        <f>IFERROR(VLOOKUP(B546,'MASTER DATA'!$A$1:$E$212,4,FALSE),"")</f>
        <v/>
      </c>
      <c r="G546" s="17"/>
      <c r="H546" s="17"/>
      <c r="I546" s="17"/>
      <c r="J546" s="17" t="b">
        <v>0</v>
      </c>
    </row>
    <row r="547">
      <c r="A547" s="17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 t="str">
        <f>IFERROR(VLOOKUP(B547,'MASTER DATA'!$A$1:$E$212,4,FALSE),"")</f>
        <v/>
      </c>
      <c r="G547" s="17"/>
      <c r="H547" s="17"/>
      <c r="I547" s="17"/>
      <c r="J547" s="17" t="b">
        <v>0</v>
      </c>
    </row>
    <row r="548">
      <c r="A548" s="17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 t="str">
        <f>IFERROR(VLOOKUP(B548,'MASTER DATA'!$A$1:$E$212,4,FALSE),"")</f>
        <v/>
      </c>
      <c r="G548" s="17"/>
      <c r="H548" s="17"/>
      <c r="I548" s="17"/>
      <c r="J548" s="17" t="b">
        <v>0</v>
      </c>
    </row>
    <row r="549">
      <c r="A549" s="17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 t="str">
        <f>IFERROR(VLOOKUP(B549,'MASTER DATA'!$A$1:$E$212,4,FALSE),"")</f>
        <v/>
      </c>
      <c r="G549" s="17"/>
      <c r="H549" s="17"/>
      <c r="I549" s="17"/>
      <c r="J549" s="17" t="b">
        <v>0</v>
      </c>
    </row>
    <row r="550">
      <c r="A550" s="17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 t="str">
        <f>IFERROR(VLOOKUP(B550,'MASTER DATA'!$A$1:$E$212,4,FALSE),"")</f>
        <v/>
      </c>
      <c r="G550" s="17"/>
      <c r="H550" s="17"/>
      <c r="I550" s="17"/>
      <c r="J550" s="17" t="b">
        <v>0</v>
      </c>
    </row>
    <row r="551">
      <c r="A551" s="17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 t="str">
        <f>IFERROR(VLOOKUP(B551,'MASTER DATA'!$A$1:$E$212,4,FALSE),"")</f>
        <v/>
      </c>
      <c r="G551" s="17"/>
      <c r="H551" s="17"/>
      <c r="I551" s="17"/>
      <c r="J551" s="17" t="b">
        <v>0</v>
      </c>
    </row>
    <row r="552">
      <c r="A552" s="17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 t="str">
        <f>IFERROR(VLOOKUP(B552,'MASTER DATA'!$A$1:$E$212,4,FALSE),"")</f>
        <v/>
      </c>
      <c r="G552" s="17"/>
      <c r="H552" s="17"/>
      <c r="I552" s="17"/>
      <c r="J552" s="17" t="b">
        <v>0</v>
      </c>
    </row>
    <row r="553">
      <c r="A553" s="17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 t="str">
        <f>IFERROR(VLOOKUP(B553,'MASTER DATA'!$A$1:$E$212,4,FALSE),"")</f>
        <v/>
      </c>
      <c r="G553" s="17"/>
      <c r="H553" s="17"/>
      <c r="I553" s="17"/>
      <c r="J553" s="17" t="b">
        <v>0</v>
      </c>
    </row>
    <row r="554">
      <c r="A554" s="17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 t="str">
        <f>IFERROR(VLOOKUP(B554,'MASTER DATA'!$A$1:$E$212,4,FALSE),"")</f>
        <v/>
      </c>
      <c r="G554" s="17"/>
      <c r="H554" s="17"/>
      <c r="I554" s="17"/>
      <c r="J554" s="17" t="b">
        <v>0</v>
      </c>
    </row>
    <row r="555">
      <c r="A555" s="17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 t="str">
        <f>IFERROR(VLOOKUP(B555,'MASTER DATA'!$A$1:$E$212,4,FALSE),"")</f>
        <v/>
      </c>
      <c r="G555" s="17"/>
      <c r="H555" s="17"/>
      <c r="I555" s="17"/>
      <c r="J555" s="17" t="b">
        <v>0</v>
      </c>
    </row>
    <row r="556">
      <c r="A556" s="17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 t="str">
        <f>IFERROR(VLOOKUP(B556,'MASTER DATA'!$A$1:$E$212,4,FALSE),"")</f>
        <v/>
      </c>
      <c r="G556" s="17"/>
      <c r="H556" s="17"/>
      <c r="I556" s="17"/>
      <c r="J556" s="17" t="b">
        <v>0</v>
      </c>
    </row>
    <row r="557">
      <c r="A557" s="17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 t="str">
        <f>IFERROR(VLOOKUP(B557,'MASTER DATA'!$A$1:$E$212,4,FALSE),"")</f>
        <v/>
      </c>
      <c r="G557" s="17"/>
      <c r="H557" s="17"/>
      <c r="I557" s="17"/>
      <c r="J557" s="17" t="b">
        <v>0</v>
      </c>
    </row>
    <row r="558">
      <c r="A558" s="17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 t="str">
        <f>IFERROR(VLOOKUP(B558,'MASTER DATA'!$A$1:$E$212,4,FALSE),"")</f>
        <v/>
      </c>
      <c r="G558" s="17"/>
      <c r="H558" s="17"/>
      <c r="I558" s="17"/>
      <c r="J558" s="17" t="b">
        <v>0</v>
      </c>
    </row>
    <row r="559">
      <c r="A559" s="17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 t="str">
        <f>IFERROR(VLOOKUP(B559,'MASTER DATA'!$A$1:$E$212,4,FALSE),"")</f>
        <v/>
      </c>
      <c r="G559" s="17"/>
      <c r="H559" s="17"/>
      <c r="I559" s="17"/>
      <c r="J559" s="17" t="b">
        <v>0</v>
      </c>
    </row>
    <row r="560">
      <c r="A560" s="17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 t="str">
        <f>IFERROR(VLOOKUP(B560,'MASTER DATA'!$A$1:$E$212,4,FALSE),"")</f>
        <v/>
      </c>
      <c r="G560" s="17"/>
      <c r="H560" s="17"/>
      <c r="I560" s="17"/>
      <c r="J560" s="17" t="b">
        <v>0</v>
      </c>
    </row>
    <row r="561">
      <c r="A561" s="17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 t="str">
        <f>IFERROR(VLOOKUP(B561,'MASTER DATA'!$A$1:$E$212,4,FALSE),"")</f>
        <v/>
      </c>
      <c r="G561" s="17"/>
      <c r="H561" s="17"/>
      <c r="I561" s="17"/>
      <c r="J561" s="17" t="b">
        <v>0</v>
      </c>
    </row>
    <row r="562">
      <c r="A562" s="17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 t="str">
        <f>IFERROR(VLOOKUP(B562,'MASTER DATA'!$A$1:$E$212,4,FALSE),"")</f>
        <v/>
      </c>
      <c r="G562" s="17"/>
      <c r="H562" s="17"/>
      <c r="I562" s="17"/>
      <c r="J562" s="17" t="b">
        <v>0</v>
      </c>
    </row>
    <row r="563">
      <c r="A563" s="17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 t="str">
        <f>IFERROR(VLOOKUP(B563,'MASTER DATA'!$A$1:$E$212,4,FALSE),"")</f>
        <v/>
      </c>
      <c r="G563" s="17"/>
      <c r="H563" s="17"/>
      <c r="I563" s="17"/>
      <c r="J563" s="17" t="b">
        <v>0</v>
      </c>
    </row>
    <row r="564">
      <c r="A564" s="17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 t="str">
        <f>IFERROR(VLOOKUP(B564,'MASTER DATA'!$A$1:$E$212,4,FALSE),"")</f>
        <v/>
      </c>
      <c r="G564" s="17"/>
      <c r="H564" s="17"/>
      <c r="I564" s="17"/>
      <c r="J564" s="17" t="b">
        <v>0</v>
      </c>
    </row>
    <row r="565">
      <c r="A565" s="17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 t="str">
        <f>IFERROR(VLOOKUP(B565,'MASTER DATA'!$A$1:$E$212,4,FALSE),"")</f>
        <v/>
      </c>
      <c r="G565" s="17"/>
      <c r="H565" s="17"/>
      <c r="I565" s="17"/>
      <c r="J565" s="17" t="b">
        <v>0</v>
      </c>
    </row>
    <row r="566">
      <c r="A566" s="17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 t="str">
        <f>IFERROR(VLOOKUP(B566,'MASTER DATA'!$A$1:$E$212,4,FALSE),"")</f>
        <v/>
      </c>
      <c r="G566" s="17"/>
      <c r="H566" s="17"/>
      <c r="I566" s="17"/>
      <c r="J566" s="17" t="b">
        <v>0</v>
      </c>
    </row>
    <row r="567">
      <c r="A567" s="17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 t="str">
        <f>IFERROR(VLOOKUP(B567,'MASTER DATA'!$A$1:$E$212,4,FALSE),"")</f>
        <v/>
      </c>
      <c r="G567" s="17"/>
      <c r="H567" s="17"/>
      <c r="I567" s="17"/>
      <c r="J567" s="17" t="b">
        <v>0</v>
      </c>
    </row>
    <row r="568">
      <c r="A568" s="17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 t="str">
        <f>IFERROR(VLOOKUP(B568,'MASTER DATA'!$A$1:$E$212,4,FALSE),"")</f>
        <v/>
      </c>
      <c r="G568" s="17"/>
      <c r="H568" s="17"/>
      <c r="I568" s="17"/>
      <c r="J568" s="17" t="b">
        <v>0</v>
      </c>
    </row>
    <row r="569">
      <c r="A569" s="17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 t="str">
        <f>IFERROR(VLOOKUP(B569,'MASTER DATA'!$A$1:$E$212,4,FALSE),"")</f>
        <v/>
      </c>
      <c r="G569" s="17"/>
      <c r="H569" s="17"/>
      <c r="I569" s="17"/>
      <c r="J569" s="17" t="b">
        <v>0</v>
      </c>
    </row>
    <row r="570">
      <c r="A570" s="17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 t="str">
        <f>IFERROR(VLOOKUP(B570,'MASTER DATA'!$A$1:$E$212,4,FALSE),"")</f>
        <v/>
      </c>
      <c r="G570" s="17"/>
      <c r="H570" s="17"/>
      <c r="I570" s="17"/>
      <c r="J570" s="17" t="b">
        <v>0</v>
      </c>
    </row>
    <row r="571">
      <c r="A571" s="17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 t="str">
        <f>IFERROR(VLOOKUP(B571,'MASTER DATA'!$A$1:$E$212,4,FALSE),"")</f>
        <v/>
      </c>
      <c r="G571" s="17"/>
      <c r="H571" s="17"/>
      <c r="I571" s="17"/>
      <c r="J571" s="17" t="b">
        <v>0</v>
      </c>
    </row>
    <row r="572">
      <c r="A572" s="17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 t="str">
        <f>IFERROR(VLOOKUP(B572,'MASTER DATA'!$A$1:$E$212,4,FALSE),"")</f>
        <v/>
      </c>
      <c r="G572" s="17"/>
      <c r="H572" s="17"/>
      <c r="I572" s="17"/>
      <c r="J572" s="17" t="b">
        <v>0</v>
      </c>
    </row>
    <row r="573">
      <c r="A573" s="17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 t="str">
        <f>IFERROR(VLOOKUP(B573,'MASTER DATA'!$A$1:$E$212,4,FALSE),"")</f>
        <v/>
      </c>
      <c r="G573" s="17"/>
      <c r="H573" s="17"/>
      <c r="I573" s="17"/>
      <c r="J573" s="17" t="b">
        <v>0</v>
      </c>
    </row>
    <row r="574">
      <c r="A574" s="17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 t="str">
        <f>IFERROR(VLOOKUP(B574,'MASTER DATA'!$A$1:$E$212,4,FALSE),"")</f>
        <v/>
      </c>
      <c r="G574" s="17"/>
      <c r="H574" s="17"/>
      <c r="I574" s="17"/>
      <c r="J574" s="17" t="b">
        <v>0</v>
      </c>
    </row>
    <row r="575">
      <c r="A575" s="17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 t="str">
        <f>IFERROR(VLOOKUP(B575,'MASTER DATA'!$A$1:$E$212,4,FALSE),"")</f>
        <v/>
      </c>
      <c r="G575" s="17"/>
      <c r="H575" s="17"/>
      <c r="I575" s="17"/>
      <c r="J575" s="17" t="b">
        <v>0</v>
      </c>
    </row>
    <row r="576">
      <c r="A576" s="17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 t="str">
        <f>IFERROR(VLOOKUP(B576,'MASTER DATA'!$A$1:$E$212,4,FALSE),"")</f>
        <v/>
      </c>
      <c r="G576" s="17"/>
      <c r="H576" s="17"/>
      <c r="I576" s="17"/>
      <c r="J576" s="17" t="b">
        <v>0</v>
      </c>
    </row>
    <row r="577">
      <c r="A577" s="17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 t="str">
        <f>IFERROR(VLOOKUP(B577,'MASTER DATA'!$A$1:$E$212,4,FALSE),"")</f>
        <v/>
      </c>
      <c r="G577" s="17"/>
      <c r="H577" s="17"/>
      <c r="I577" s="17"/>
      <c r="J577" s="17" t="b">
        <v>0</v>
      </c>
    </row>
    <row r="578">
      <c r="A578" s="17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 t="str">
        <f>IFERROR(VLOOKUP(B578,'MASTER DATA'!$A$1:$E$212,4,FALSE),"")</f>
        <v/>
      </c>
      <c r="G578" s="17"/>
      <c r="H578" s="17"/>
      <c r="I578" s="17"/>
      <c r="J578" s="17" t="b">
        <v>0</v>
      </c>
    </row>
    <row r="579">
      <c r="A579" s="17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 t="str">
        <f>IFERROR(VLOOKUP(B579,'MASTER DATA'!$A$1:$E$212,4,FALSE),"")</f>
        <v/>
      </c>
      <c r="G579" s="17"/>
      <c r="H579" s="17"/>
      <c r="I579" s="17"/>
      <c r="J579" s="17" t="b">
        <v>0</v>
      </c>
    </row>
    <row r="580">
      <c r="A580" s="17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 t="str">
        <f>IFERROR(VLOOKUP(B580,'MASTER DATA'!$A$1:$E$212,4,FALSE),"")</f>
        <v/>
      </c>
      <c r="G580" s="17"/>
      <c r="H580" s="17"/>
      <c r="I580" s="17"/>
      <c r="J580" s="17" t="b">
        <v>0</v>
      </c>
    </row>
    <row r="581">
      <c r="A581" s="17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 t="str">
        <f>IFERROR(VLOOKUP(B581,'MASTER DATA'!$A$1:$E$212,4,FALSE),"")</f>
        <v/>
      </c>
      <c r="G581" s="17"/>
      <c r="H581" s="17"/>
      <c r="I581" s="17"/>
      <c r="J581" s="17" t="b">
        <v>0</v>
      </c>
    </row>
    <row r="582">
      <c r="A582" s="17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 t="str">
        <f>IFERROR(VLOOKUP(B582,'MASTER DATA'!$A$1:$E$212,4,FALSE),"")</f>
        <v/>
      </c>
      <c r="G582" s="17"/>
      <c r="H582" s="17"/>
      <c r="I582" s="17"/>
      <c r="J582" s="17" t="b">
        <v>0</v>
      </c>
    </row>
    <row r="583">
      <c r="A583" s="17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 t="str">
        <f>IFERROR(VLOOKUP(B583,'MASTER DATA'!$A$1:$E$212,4,FALSE),"")</f>
        <v/>
      </c>
      <c r="G583" s="17"/>
      <c r="H583" s="17"/>
      <c r="I583" s="17"/>
      <c r="J583" s="17" t="b">
        <v>0</v>
      </c>
    </row>
    <row r="584">
      <c r="A584" s="17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 t="str">
        <f>IFERROR(VLOOKUP(B584,'MASTER DATA'!$A$1:$E$212,4,FALSE),"")</f>
        <v/>
      </c>
      <c r="G584" s="17"/>
      <c r="H584" s="17"/>
      <c r="I584" s="17"/>
      <c r="J584" s="17" t="b">
        <v>0</v>
      </c>
    </row>
    <row r="585">
      <c r="A585" s="17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 t="str">
        <f>IFERROR(VLOOKUP(B585,'MASTER DATA'!$A$1:$E$212,4,FALSE),"")</f>
        <v/>
      </c>
      <c r="G585" s="17"/>
      <c r="H585" s="17"/>
      <c r="I585" s="17"/>
      <c r="J585" s="17" t="b">
        <v>0</v>
      </c>
    </row>
    <row r="586">
      <c r="A586" s="17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 t="str">
        <f>IFERROR(VLOOKUP(B586,'MASTER DATA'!$A$1:$E$212,4,FALSE),"")</f>
        <v/>
      </c>
      <c r="G586" s="17"/>
      <c r="H586" s="17"/>
      <c r="I586" s="17"/>
      <c r="J586" s="17" t="b">
        <v>0</v>
      </c>
    </row>
    <row r="587">
      <c r="A587" s="17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 t="str">
        <f>IFERROR(VLOOKUP(B587,'MASTER DATA'!$A$1:$E$212,4,FALSE),"")</f>
        <v/>
      </c>
      <c r="G587" s="17"/>
      <c r="H587" s="17"/>
      <c r="I587" s="17"/>
      <c r="J587" s="17" t="b">
        <v>0</v>
      </c>
    </row>
    <row r="588">
      <c r="A588" s="17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 t="str">
        <f>IFERROR(VLOOKUP(B588,'MASTER DATA'!$A$1:$E$212,4,FALSE),"")</f>
        <v/>
      </c>
      <c r="G588" s="17"/>
      <c r="H588" s="17"/>
      <c r="I588" s="17"/>
      <c r="J588" s="17" t="b">
        <v>0</v>
      </c>
    </row>
    <row r="589">
      <c r="A589" s="17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 t="str">
        <f>IFERROR(VLOOKUP(B589,'MASTER DATA'!$A$1:$E$212,4,FALSE),"")</f>
        <v/>
      </c>
      <c r="G589" s="17"/>
      <c r="H589" s="17"/>
      <c r="I589" s="17"/>
      <c r="J589" s="17" t="b">
        <v>0</v>
      </c>
    </row>
    <row r="590">
      <c r="A590" s="17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 t="str">
        <f>IFERROR(VLOOKUP(B590,'MASTER DATA'!$A$1:$E$212,4,FALSE),"")</f>
        <v/>
      </c>
      <c r="G590" s="17"/>
      <c r="H590" s="17"/>
      <c r="I590" s="17"/>
      <c r="J590" s="17" t="b">
        <v>0</v>
      </c>
    </row>
    <row r="591">
      <c r="A591" s="17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 t="str">
        <f>IFERROR(VLOOKUP(B591,'MASTER DATA'!$A$1:$E$212,4,FALSE),"")</f>
        <v/>
      </c>
      <c r="G591" s="17"/>
      <c r="H591" s="17"/>
      <c r="I591" s="17"/>
      <c r="J591" s="17" t="b">
        <v>0</v>
      </c>
    </row>
    <row r="592">
      <c r="A592" s="17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 t="str">
        <f>IFERROR(VLOOKUP(B592,'MASTER DATA'!$A$1:$E$212,4,FALSE),"")</f>
        <v/>
      </c>
      <c r="G592" s="17"/>
      <c r="H592" s="17"/>
      <c r="I592" s="17"/>
      <c r="J592" s="17" t="b">
        <v>0</v>
      </c>
    </row>
    <row r="593">
      <c r="A593" s="17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 t="str">
        <f>IFERROR(VLOOKUP(B593,'MASTER DATA'!$A$1:$E$212,4,FALSE),"")</f>
        <v/>
      </c>
      <c r="G593" s="17"/>
      <c r="H593" s="17"/>
      <c r="I593" s="17"/>
      <c r="J593" s="17" t="b">
        <v>0</v>
      </c>
    </row>
    <row r="594">
      <c r="A594" s="17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 t="str">
        <f>IFERROR(VLOOKUP(B594,'MASTER DATA'!$A$1:$E$212,4,FALSE),"")</f>
        <v/>
      </c>
      <c r="G594" s="17"/>
      <c r="H594" s="17"/>
      <c r="I594" s="17"/>
      <c r="J594" s="17" t="b">
        <v>0</v>
      </c>
    </row>
    <row r="595">
      <c r="A595" s="17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 t="str">
        <f>IFERROR(VLOOKUP(B595,'MASTER DATA'!$A$1:$E$212,4,FALSE),"")</f>
        <v/>
      </c>
      <c r="G595" s="17"/>
      <c r="H595" s="17"/>
      <c r="I595" s="17"/>
      <c r="J595" s="17" t="b">
        <v>0</v>
      </c>
    </row>
    <row r="596">
      <c r="A596" s="17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 t="str">
        <f>IFERROR(VLOOKUP(B596,'MASTER DATA'!$A$1:$E$212,4,FALSE),"")</f>
        <v/>
      </c>
      <c r="G596" s="17"/>
      <c r="H596" s="17"/>
      <c r="I596" s="17"/>
      <c r="J596" s="17" t="b">
        <v>0</v>
      </c>
    </row>
    <row r="597">
      <c r="A597" s="17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 t="str">
        <f>IFERROR(VLOOKUP(B597,'MASTER DATA'!$A$1:$E$212,4,FALSE),"")</f>
        <v/>
      </c>
      <c r="G597" s="17"/>
      <c r="H597" s="17"/>
      <c r="I597" s="17"/>
      <c r="J597" s="17" t="b">
        <v>0</v>
      </c>
    </row>
    <row r="598">
      <c r="A598" s="17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 t="str">
        <f>IFERROR(VLOOKUP(B598,'MASTER DATA'!$A$1:$E$212,4,FALSE),"")</f>
        <v/>
      </c>
      <c r="G598" s="17"/>
      <c r="H598" s="17"/>
      <c r="I598" s="17"/>
      <c r="J598" s="17" t="b">
        <v>0</v>
      </c>
    </row>
    <row r="599">
      <c r="A599" s="17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 t="str">
        <f>IFERROR(VLOOKUP(B599,'MASTER DATA'!$A$1:$E$212,4,FALSE),"")</f>
        <v/>
      </c>
      <c r="G599" s="17"/>
      <c r="H599" s="17"/>
      <c r="I599" s="17"/>
      <c r="J599" s="17" t="b">
        <v>0</v>
      </c>
    </row>
    <row r="600">
      <c r="A600" s="17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 t="str">
        <f>IFERROR(VLOOKUP(B600,'MASTER DATA'!$A$1:$E$212,4,FALSE),"")</f>
        <v/>
      </c>
      <c r="G600" s="17"/>
      <c r="H600" s="17"/>
      <c r="I600" s="17"/>
      <c r="J600" s="17" t="b">
        <v>0</v>
      </c>
    </row>
    <row r="601">
      <c r="A601" s="17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 t="str">
        <f>IFERROR(VLOOKUP(B601,'MASTER DATA'!$A$1:$E$212,4,FALSE),"")</f>
        <v/>
      </c>
      <c r="G601" s="17"/>
      <c r="H601" s="17"/>
      <c r="I601" s="17"/>
      <c r="J601" s="17" t="b">
        <v>0</v>
      </c>
    </row>
    <row r="602">
      <c r="A602" s="17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 t="str">
        <f>IFERROR(VLOOKUP(B602,'MASTER DATA'!$A$1:$E$212,4,FALSE),"")</f>
        <v/>
      </c>
      <c r="G602" s="17"/>
      <c r="H602" s="17"/>
      <c r="I602" s="17"/>
      <c r="J602" s="17" t="b">
        <v>0</v>
      </c>
    </row>
    <row r="603">
      <c r="A603" s="17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 t="str">
        <f>IFERROR(VLOOKUP(B603,'MASTER DATA'!$A$1:$E$212,4,FALSE),"")</f>
        <v/>
      </c>
      <c r="G603" s="17"/>
      <c r="H603" s="17"/>
      <c r="I603" s="17"/>
      <c r="J603" s="17" t="b">
        <v>0</v>
      </c>
    </row>
    <row r="604">
      <c r="A604" s="17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 t="str">
        <f>IFERROR(VLOOKUP(B604,'MASTER DATA'!$A$1:$E$212,4,FALSE),"")</f>
        <v/>
      </c>
      <c r="G604" s="17"/>
      <c r="H604" s="17"/>
      <c r="I604" s="17"/>
      <c r="J604" s="17" t="b">
        <v>0</v>
      </c>
    </row>
    <row r="605">
      <c r="A605" s="17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 t="str">
        <f>IFERROR(VLOOKUP(B605,'MASTER DATA'!$A$1:$E$212,4,FALSE),"")</f>
        <v/>
      </c>
      <c r="G605" s="17"/>
      <c r="H605" s="17"/>
      <c r="I605" s="17"/>
      <c r="J605" s="17" t="b">
        <v>0</v>
      </c>
    </row>
    <row r="606">
      <c r="A606" s="17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 t="str">
        <f>IFERROR(VLOOKUP(B606,'MASTER DATA'!$A$1:$E$212,4,FALSE),"")</f>
        <v/>
      </c>
      <c r="G606" s="17"/>
      <c r="H606" s="17"/>
      <c r="I606" s="17"/>
      <c r="J606" s="17" t="b">
        <v>0</v>
      </c>
    </row>
    <row r="607">
      <c r="A607" s="17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 t="str">
        <f>IFERROR(VLOOKUP(B607,'MASTER DATA'!$A$1:$E$212,4,FALSE),"")</f>
        <v/>
      </c>
      <c r="G607" s="17"/>
      <c r="H607" s="17"/>
      <c r="I607" s="17"/>
      <c r="J607" s="17" t="b">
        <v>0</v>
      </c>
    </row>
    <row r="608">
      <c r="A608" s="17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 t="str">
        <f>IFERROR(VLOOKUP(B608,'MASTER DATA'!$A$1:$E$212,4,FALSE),"")</f>
        <v/>
      </c>
      <c r="G608" s="17"/>
      <c r="H608" s="17"/>
      <c r="I608" s="17"/>
      <c r="J608" s="17" t="b">
        <v>0</v>
      </c>
    </row>
    <row r="609">
      <c r="A609" s="17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 t="str">
        <f>IFERROR(VLOOKUP(B609,'MASTER DATA'!$A$1:$E$212,4,FALSE),"")</f>
        <v/>
      </c>
      <c r="G609" s="17"/>
      <c r="H609" s="17"/>
      <c r="I609" s="17"/>
      <c r="J609" s="17" t="b">
        <v>0</v>
      </c>
    </row>
    <row r="610">
      <c r="A610" s="17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 t="str">
        <f>IFERROR(VLOOKUP(B610,'MASTER DATA'!$A$1:$E$212,4,FALSE),"")</f>
        <v/>
      </c>
      <c r="G610" s="17"/>
      <c r="H610" s="17"/>
      <c r="I610" s="17"/>
      <c r="J610" s="17" t="b">
        <v>0</v>
      </c>
    </row>
    <row r="611">
      <c r="A611" s="17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 t="str">
        <f>IFERROR(VLOOKUP(B611,'MASTER DATA'!$A$1:$E$212,4,FALSE),"")</f>
        <v/>
      </c>
      <c r="G611" s="17"/>
      <c r="H611" s="17"/>
      <c r="I611" s="17"/>
      <c r="J611" s="17" t="b">
        <v>0</v>
      </c>
    </row>
    <row r="612">
      <c r="A612" s="17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 t="str">
        <f>IFERROR(VLOOKUP(B612,'MASTER DATA'!$A$1:$E$212,4,FALSE),"")</f>
        <v/>
      </c>
      <c r="G612" s="17"/>
      <c r="H612" s="17"/>
      <c r="I612" s="17"/>
      <c r="J612" s="17" t="b">
        <v>0</v>
      </c>
    </row>
    <row r="613">
      <c r="A613" s="17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 t="str">
        <f>IFERROR(VLOOKUP(B613,'MASTER DATA'!$A$1:$E$212,4,FALSE),"")</f>
        <v/>
      </c>
      <c r="G613" s="17"/>
      <c r="H613" s="17"/>
      <c r="I613" s="17"/>
      <c r="J613" s="17" t="b">
        <v>0</v>
      </c>
    </row>
    <row r="614">
      <c r="A614" s="17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 t="str">
        <f>IFERROR(VLOOKUP(B614,'MASTER DATA'!$A$1:$E$212,4,FALSE),"")</f>
        <v/>
      </c>
      <c r="G614" s="17"/>
      <c r="H614" s="17"/>
      <c r="I614" s="17"/>
      <c r="J614" s="17" t="b">
        <v>0</v>
      </c>
    </row>
    <row r="615">
      <c r="A615" s="17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 t="str">
        <f>IFERROR(VLOOKUP(B615,'MASTER DATA'!$A$1:$E$212,4,FALSE),"")</f>
        <v/>
      </c>
      <c r="G615" s="17"/>
      <c r="H615" s="17"/>
      <c r="I615" s="17"/>
      <c r="J615" s="17" t="b">
        <v>0</v>
      </c>
    </row>
    <row r="616">
      <c r="A616" s="17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 t="str">
        <f>IFERROR(VLOOKUP(B616,'MASTER DATA'!$A$1:$E$212,4,FALSE),"")</f>
        <v/>
      </c>
      <c r="G616" s="17"/>
      <c r="H616" s="17"/>
      <c r="I616" s="17"/>
      <c r="J616" s="17" t="b">
        <v>0</v>
      </c>
    </row>
    <row r="617">
      <c r="A617" s="17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 t="str">
        <f>IFERROR(VLOOKUP(B617,'MASTER DATA'!$A$1:$E$212,4,FALSE),"")</f>
        <v/>
      </c>
      <c r="G617" s="17"/>
      <c r="H617" s="17"/>
      <c r="I617" s="17"/>
      <c r="J617" s="17" t="b">
        <v>0</v>
      </c>
    </row>
    <row r="618">
      <c r="A618" s="17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 t="str">
        <f>IFERROR(VLOOKUP(B618,'MASTER DATA'!$A$1:$E$212,4,FALSE),"")</f>
        <v/>
      </c>
      <c r="G618" s="17"/>
      <c r="H618" s="17"/>
      <c r="I618" s="17"/>
      <c r="J618" s="17" t="b">
        <v>0</v>
      </c>
    </row>
    <row r="619">
      <c r="A619" s="17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 t="str">
        <f>IFERROR(VLOOKUP(B619,'MASTER DATA'!$A$1:$E$212,4,FALSE),"")</f>
        <v/>
      </c>
      <c r="G619" s="17"/>
      <c r="H619" s="17"/>
      <c r="I619" s="17"/>
      <c r="J619" s="17" t="b">
        <v>0</v>
      </c>
    </row>
    <row r="620">
      <c r="A620" s="17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 t="str">
        <f>IFERROR(VLOOKUP(B620,'MASTER DATA'!$A$1:$E$212,4,FALSE),"")</f>
        <v/>
      </c>
      <c r="G620" s="17"/>
      <c r="H620" s="17"/>
      <c r="I620" s="17"/>
      <c r="J620" s="17" t="b">
        <v>0</v>
      </c>
    </row>
    <row r="621">
      <c r="A621" s="17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 t="str">
        <f>IFERROR(VLOOKUP(B621,'MASTER DATA'!$A$1:$E$212,4,FALSE),"")</f>
        <v/>
      </c>
      <c r="G621" s="17"/>
      <c r="H621" s="17"/>
      <c r="I621" s="17"/>
      <c r="J621" s="17" t="b">
        <v>0</v>
      </c>
    </row>
    <row r="622">
      <c r="A622" s="17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 t="str">
        <f>IFERROR(VLOOKUP(B622,'MASTER DATA'!$A$1:$E$212,4,FALSE),"")</f>
        <v/>
      </c>
      <c r="G622" s="17"/>
      <c r="H622" s="17"/>
      <c r="I622" s="17"/>
      <c r="J622" s="17" t="b">
        <v>0</v>
      </c>
    </row>
    <row r="623">
      <c r="A623" s="17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 t="str">
        <f>IFERROR(VLOOKUP(B623,'MASTER DATA'!$A$1:$E$212,4,FALSE),"")</f>
        <v/>
      </c>
      <c r="G623" s="17"/>
      <c r="H623" s="17"/>
      <c r="I623" s="17"/>
      <c r="J623" s="17" t="b">
        <v>0</v>
      </c>
    </row>
    <row r="624">
      <c r="A624" s="17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 t="str">
        <f>IFERROR(VLOOKUP(B624,'MASTER DATA'!$A$1:$E$212,4,FALSE),"")</f>
        <v/>
      </c>
      <c r="G624" s="17"/>
      <c r="H624" s="17"/>
      <c r="I624" s="17"/>
      <c r="J624" s="17" t="b">
        <v>0</v>
      </c>
    </row>
    <row r="625">
      <c r="A625" s="17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 t="str">
        <f>IFERROR(VLOOKUP(B625,'MASTER DATA'!$A$1:$E$212,4,FALSE),"")</f>
        <v/>
      </c>
      <c r="G625" s="17"/>
      <c r="H625" s="17"/>
      <c r="I625" s="17"/>
      <c r="J625" s="17" t="b">
        <v>0</v>
      </c>
    </row>
    <row r="626">
      <c r="A626" s="17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 t="str">
        <f>IFERROR(VLOOKUP(B626,'MASTER DATA'!$A$1:$E$212,4,FALSE),"")</f>
        <v/>
      </c>
      <c r="G626" s="17"/>
      <c r="H626" s="17"/>
      <c r="I626" s="17"/>
      <c r="J626" s="17" t="b">
        <v>0</v>
      </c>
    </row>
    <row r="627">
      <c r="A627" s="17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 t="str">
        <f>IFERROR(VLOOKUP(B627,'MASTER DATA'!$A$1:$E$212,4,FALSE),"")</f>
        <v/>
      </c>
      <c r="G627" s="17"/>
      <c r="H627" s="17"/>
      <c r="I627" s="17"/>
      <c r="J627" s="17" t="b">
        <v>0</v>
      </c>
    </row>
    <row r="628">
      <c r="A628" s="17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 t="str">
        <f>IFERROR(VLOOKUP(B628,'MASTER DATA'!$A$1:$E$212,4,FALSE),"")</f>
        <v/>
      </c>
      <c r="G628" s="17"/>
      <c r="H628" s="17"/>
      <c r="I628" s="17"/>
      <c r="J628" s="17" t="b">
        <v>0</v>
      </c>
    </row>
    <row r="629">
      <c r="A629" s="17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 t="str">
        <f>IFERROR(VLOOKUP(B629,'MASTER DATA'!$A$1:$E$212,4,FALSE),"")</f>
        <v/>
      </c>
      <c r="G629" s="17"/>
      <c r="H629" s="17"/>
      <c r="I629" s="17"/>
      <c r="J629" s="17" t="b">
        <v>0</v>
      </c>
    </row>
    <row r="630">
      <c r="A630" s="17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 t="str">
        <f>IFERROR(VLOOKUP(B630,'MASTER DATA'!$A$1:$E$212,4,FALSE),"")</f>
        <v/>
      </c>
      <c r="G630" s="17"/>
      <c r="H630" s="17"/>
      <c r="I630" s="17"/>
      <c r="J630" s="17" t="b">
        <v>0</v>
      </c>
    </row>
    <row r="631">
      <c r="A631" s="17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 t="str">
        <f>IFERROR(VLOOKUP(B631,'MASTER DATA'!$A$1:$E$212,4,FALSE),"")</f>
        <v/>
      </c>
      <c r="G631" s="17"/>
      <c r="H631" s="17"/>
      <c r="I631" s="17"/>
      <c r="J631" s="17" t="b">
        <v>0</v>
      </c>
    </row>
    <row r="632">
      <c r="A632" s="17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 t="str">
        <f>IFERROR(VLOOKUP(B632,'MASTER DATA'!$A$1:$E$212,4,FALSE),"")</f>
        <v/>
      </c>
      <c r="G632" s="17"/>
      <c r="H632" s="17"/>
      <c r="I632" s="17"/>
      <c r="J632" s="17" t="b">
        <v>0</v>
      </c>
    </row>
    <row r="633">
      <c r="A633" s="17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 t="str">
        <f>IFERROR(VLOOKUP(B633,'MASTER DATA'!$A$1:$E$212,4,FALSE),"")</f>
        <v/>
      </c>
      <c r="G633" s="17"/>
      <c r="H633" s="17"/>
      <c r="I633" s="17"/>
      <c r="J633" s="17" t="b">
        <v>0</v>
      </c>
    </row>
    <row r="634">
      <c r="A634" s="17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 t="str">
        <f>IFERROR(VLOOKUP(B634,'MASTER DATA'!$A$1:$E$212,4,FALSE),"")</f>
        <v/>
      </c>
      <c r="G634" s="17"/>
      <c r="H634" s="17"/>
      <c r="I634" s="17"/>
      <c r="J634" s="17" t="b">
        <v>0</v>
      </c>
    </row>
    <row r="635">
      <c r="A635" s="17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 t="str">
        <f>IFERROR(VLOOKUP(B635,'MASTER DATA'!$A$1:$E$212,4,FALSE),"")</f>
        <v/>
      </c>
      <c r="G635" s="17"/>
      <c r="H635" s="17"/>
      <c r="I635" s="17"/>
      <c r="J635" s="17" t="b">
        <v>0</v>
      </c>
    </row>
    <row r="636">
      <c r="A636" s="17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 t="str">
        <f>IFERROR(VLOOKUP(B636,'MASTER DATA'!$A$1:$E$212,4,FALSE),"")</f>
        <v/>
      </c>
      <c r="G636" s="17"/>
      <c r="H636" s="17"/>
      <c r="I636" s="17"/>
      <c r="J636" s="17" t="b">
        <v>0</v>
      </c>
    </row>
    <row r="637">
      <c r="A637" s="17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 t="str">
        <f>IFERROR(VLOOKUP(B637,'MASTER DATA'!$A$1:$E$212,4,FALSE),"")</f>
        <v/>
      </c>
      <c r="G637" s="17"/>
      <c r="H637" s="17"/>
      <c r="I637" s="17"/>
      <c r="J637" s="17" t="b">
        <v>0</v>
      </c>
    </row>
    <row r="638">
      <c r="A638" s="17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 t="str">
        <f>IFERROR(VLOOKUP(B638,'MASTER DATA'!$A$1:$E$212,4,FALSE),"")</f>
        <v/>
      </c>
      <c r="G638" s="17"/>
      <c r="H638" s="17"/>
      <c r="I638" s="17"/>
      <c r="J638" s="17" t="b">
        <v>0</v>
      </c>
    </row>
    <row r="639">
      <c r="A639" s="17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 t="str">
        <f>IFERROR(VLOOKUP(B639,'MASTER DATA'!$A$1:$E$212,4,FALSE),"")</f>
        <v/>
      </c>
      <c r="G639" s="17"/>
      <c r="H639" s="17"/>
      <c r="I639" s="17"/>
      <c r="J639" s="17" t="b">
        <v>0</v>
      </c>
    </row>
    <row r="640">
      <c r="A640" s="17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 t="str">
        <f>IFERROR(VLOOKUP(B640,'MASTER DATA'!$A$1:$E$212,4,FALSE),"")</f>
        <v/>
      </c>
      <c r="G640" s="17"/>
      <c r="H640" s="17"/>
      <c r="I640" s="17"/>
      <c r="J640" s="17" t="b">
        <v>0</v>
      </c>
    </row>
    <row r="641">
      <c r="A641" s="17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 t="str">
        <f>IFERROR(VLOOKUP(B641,'MASTER DATA'!$A$1:$E$212,4,FALSE),"")</f>
        <v/>
      </c>
      <c r="G641" s="17"/>
      <c r="H641" s="17"/>
      <c r="I641" s="17"/>
      <c r="J641" s="17" t="b">
        <v>0</v>
      </c>
    </row>
    <row r="642">
      <c r="A642" s="17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 t="str">
        <f>IFERROR(VLOOKUP(B642,'MASTER DATA'!$A$1:$E$212,4,FALSE),"")</f>
        <v/>
      </c>
      <c r="G642" s="17"/>
      <c r="H642" s="17"/>
      <c r="I642" s="17"/>
      <c r="J642" s="17" t="b">
        <v>0</v>
      </c>
    </row>
    <row r="643">
      <c r="A643" s="17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 t="str">
        <f>IFERROR(VLOOKUP(B643,'MASTER DATA'!$A$1:$E$212,4,FALSE),"")</f>
        <v/>
      </c>
      <c r="G643" s="17"/>
      <c r="H643" s="17"/>
      <c r="I643" s="17"/>
      <c r="J643" s="17" t="b">
        <v>0</v>
      </c>
    </row>
    <row r="644">
      <c r="A644" s="17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 t="str">
        <f>IFERROR(VLOOKUP(B644,'MASTER DATA'!$A$1:$E$212,4,FALSE),"")</f>
        <v/>
      </c>
      <c r="G644" s="17"/>
      <c r="H644" s="17"/>
      <c r="I644" s="17"/>
      <c r="J644" s="17" t="b">
        <v>0</v>
      </c>
    </row>
    <row r="645">
      <c r="A645" s="17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 t="str">
        <f>IFERROR(VLOOKUP(B645,'MASTER DATA'!$A$1:$E$212,4,FALSE),"")</f>
        <v/>
      </c>
      <c r="G645" s="17"/>
      <c r="H645" s="17"/>
      <c r="I645" s="17"/>
      <c r="J645" s="17" t="b">
        <v>0</v>
      </c>
    </row>
    <row r="646">
      <c r="A646" s="17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 t="str">
        <f>IFERROR(VLOOKUP(B646,'MASTER DATA'!$A$1:$E$212,4,FALSE),"")</f>
        <v/>
      </c>
      <c r="G646" s="17"/>
      <c r="H646" s="17"/>
      <c r="I646" s="17"/>
      <c r="J646" s="17" t="b">
        <v>0</v>
      </c>
    </row>
    <row r="647">
      <c r="A647" s="17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 t="str">
        <f>IFERROR(VLOOKUP(B647,'MASTER DATA'!$A$1:$E$212,4,FALSE),"")</f>
        <v/>
      </c>
      <c r="G647" s="17"/>
      <c r="H647" s="17"/>
      <c r="I647" s="17"/>
      <c r="J647" s="17" t="b">
        <v>0</v>
      </c>
    </row>
    <row r="648">
      <c r="A648" s="17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 t="str">
        <f>IFERROR(VLOOKUP(B648,'MASTER DATA'!$A$1:$E$212,4,FALSE),"")</f>
        <v/>
      </c>
      <c r="G648" s="17"/>
      <c r="H648" s="17"/>
      <c r="I648" s="17"/>
      <c r="J648" s="17" t="b">
        <v>0</v>
      </c>
    </row>
    <row r="649">
      <c r="A649" s="17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 t="str">
        <f>IFERROR(VLOOKUP(B649,'MASTER DATA'!$A$1:$E$212,4,FALSE),"")</f>
        <v/>
      </c>
      <c r="G649" s="17"/>
      <c r="H649" s="17"/>
      <c r="I649" s="17"/>
      <c r="J649" s="17" t="b">
        <v>0</v>
      </c>
    </row>
    <row r="650">
      <c r="A650" s="17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 t="str">
        <f>IFERROR(VLOOKUP(B650,'MASTER DATA'!$A$1:$E$212,4,FALSE),"")</f>
        <v/>
      </c>
      <c r="G650" s="17"/>
      <c r="H650" s="17"/>
      <c r="I650" s="17"/>
      <c r="J650" s="17" t="b">
        <v>0</v>
      </c>
    </row>
    <row r="651">
      <c r="A651" s="17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 t="str">
        <f>IFERROR(VLOOKUP(B651,'MASTER DATA'!$A$1:$E$212,4,FALSE),"")</f>
        <v/>
      </c>
      <c r="G651" s="17"/>
      <c r="H651" s="17"/>
      <c r="I651" s="17"/>
      <c r="J651" s="17" t="b">
        <v>0</v>
      </c>
    </row>
    <row r="652">
      <c r="A652" s="17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 t="str">
        <f>IFERROR(VLOOKUP(B652,'MASTER DATA'!$A$1:$E$212,4,FALSE),"")</f>
        <v/>
      </c>
      <c r="G652" s="17"/>
      <c r="H652" s="17"/>
      <c r="I652" s="17"/>
      <c r="J652" s="17" t="b">
        <v>0</v>
      </c>
    </row>
    <row r="653">
      <c r="A653" s="17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 t="str">
        <f>IFERROR(VLOOKUP(B653,'MASTER DATA'!$A$1:$E$212,4,FALSE),"")</f>
        <v/>
      </c>
      <c r="G653" s="17"/>
      <c r="H653" s="17"/>
      <c r="I653" s="17"/>
      <c r="J653" s="17" t="b">
        <v>0</v>
      </c>
    </row>
    <row r="654">
      <c r="A654" s="17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 t="str">
        <f>IFERROR(VLOOKUP(B654,'MASTER DATA'!$A$1:$E$212,4,FALSE),"")</f>
        <v/>
      </c>
      <c r="G654" s="17"/>
      <c r="H654" s="17"/>
      <c r="I654" s="17"/>
      <c r="J654" s="17" t="b">
        <v>0</v>
      </c>
    </row>
    <row r="655">
      <c r="A655" s="17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 t="str">
        <f>IFERROR(VLOOKUP(B655,'MASTER DATA'!$A$1:$E$212,4,FALSE),"")</f>
        <v/>
      </c>
      <c r="G655" s="17"/>
      <c r="H655" s="17"/>
      <c r="I655" s="17"/>
      <c r="J655" s="17" t="b">
        <v>0</v>
      </c>
    </row>
    <row r="656">
      <c r="A656" s="17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 t="str">
        <f>IFERROR(VLOOKUP(B656,'MASTER DATA'!$A$1:$E$212,4,FALSE),"")</f>
        <v/>
      </c>
      <c r="G656" s="17"/>
      <c r="H656" s="17"/>
      <c r="I656" s="17"/>
      <c r="J656" s="17" t="b">
        <v>0</v>
      </c>
    </row>
    <row r="657">
      <c r="A657" s="17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 t="str">
        <f>IFERROR(VLOOKUP(B657,'MASTER DATA'!$A$1:$E$212,4,FALSE),"")</f>
        <v/>
      </c>
      <c r="G657" s="17"/>
      <c r="H657" s="17"/>
      <c r="I657" s="17"/>
      <c r="J657" s="17" t="b">
        <v>0</v>
      </c>
    </row>
    <row r="658">
      <c r="A658" s="17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 t="str">
        <f>IFERROR(VLOOKUP(B658,'MASTER DATA'!$A$1:$E$212,4,FALSE),"")</f>
        <v/>
      </c>
      <c r="G658" s="17"/>
      <c r="H658" s="17"/>
      <c r="I658" s="17"/>
      <c r="J658" s="17" t="b">
        <v>0</v>
      </c>
    </row>
    <row r="659">
      <c r="A659" s="17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 t="str">
        <f>IFERROR(VLOOKUP(B659,'MASTER DATA'!$A$1:$E$212,4,FALSE),"")</f>
        <v/>
      </c>
      <c r="G659" s="17"/>
      <c r="H659" s="17"/>
      <c r="I659" s="17"/>
      <c r="J659" s="17" t="b">
        <v>0</v>
      </c>
    </row>
    <row r="660">
      <c r="A660" s="17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 t="str">
        <f>IFERROR(VLOOKUP(B660,'MASTER DATA'!$A$1:$E$212,4,FALSE),"")</f>
        <v/>
      </c>
      <c r="G660" s="17"/>
      <c r="H660" s="17"/>
      <c r="I660" s="17"/>
      <c r="J660" s="17" t="b">
        <v>0</v>
      </c>
    </row>
    <row r="661">
      <c r="A661" s="17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 t="str">
        <f>IFERROR(VLOOKUP(B661,'MASTER DATA'!$A$1:$E$212,4,FALSE),"")</f>
        <v/>
      </c>
      <c r="G661" s="17"/>
      <c r="H661" s="17"/>
      <c r="I661" s="17"/>
      <c r="J661" s="17" t="b">
        <v>0</v>
      </c>
    </row>
    <row r="662">
      <c r="A662" s="17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 t="str">
        <f>IFERROR(VLOOKUP(B662,'MASTER DATA'!$A$1:$E$212,4,FALSE),"")</f>
        <v/>
      </c>
      <c r="G662" s="17"/>
      <c r="H662" s="17"/>
      <c r="I662" s="17"/>
      <c r="J662" s="17" t="b">
        <v>0</v>
      </c>
    </row>
    <row r="663">
      <c r="A663" s="17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 t="str">
        <f>IFERROR(VLOOKUP(B663,'MASTER DATA'!$A$1:$E$212,4,FALSE),"")</f>
        <v/>
      </c>
      <c r="G663" s="17"/>
      <c r="H663" s="17"/>
      <c r="I663" s="17"/>
      <c r="J663" s="17" t="b">
        <v>0</v>
      </c>
    </row>
    <row r="664">
      <c r="A664" s="17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 t="str">
        <f>IFERROR(VLOOKUP(B664,'MASTER DATA'!$A$1:$E$212,4,FALSE),"")</f>
        <v/>
      </c>
      <c r="G664" s="17"/>
      <c r="H664" s="17"/>
      <c r="I664" s="17"/>
      <c r="J664" s="17" t="b">
        <v>0</v>
      </c>
    </row>
    <row r="665">
      <c r="A665" s="17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 t="str">
        <f>IFERROR(VLOOKUP(B665,'MASTER DATA'!$A$1:$E$212,4,FALSE),"")</f>
        <v/>
      </c>
      <c r="G665" s="17"/>
      <c r="H665" s="17"/>
      <c r="I665" s="17"/>
      <c r="J665" s="17" t="b">
        <v>0</v>
      </c>
    </row>
    <row r="666">
      <c r="A666" s="17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 t="str">
        <f>IFERROR(VLOOKUP(B666,'MASTER DATA'!$A$1:$E$212,4,FALSE),"")</f>
        <v/>
      </c>
      <c r="G666" s="17"/>
      <c r="H666" s="17"/>
      <c r="I666" s="17"/>
      <c r="J666" s="17" t="b">
        <v>0</v>
      </c>
    </row>
    <row r="667">
      <c r="A667" s="17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 t="str">
        <f>IFERROR(VLOOKUP(B667,'MASTER DATA'!$A$1:$E$212,4,FALSE),"")</f>
        <v/>
      </c>
      <c r="G667" s="17"/>
      <c r="H667" s="17"/>
      <c r="I667" s="17"/>
      <c r="J667" s="17" t="b">
        <v>0</v>
      </c>
    </row>
    <row r="668">
      <c r="A668" s="17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 t="str">
        <f>IFERROR(VLOOKUP(B668,'MASTER DATA'!$A$1:$E$212,4,FALSE),"")</f>
        <v/>
      </c>
      <c r="G668" s="17"/>
      <c r="H668" s="17"/>
      <c r="I668" s="17"/>
      <c r="J668" s="17" t="b">
        <v>0</v>
      </c>
    </row>
    <row r="669">
      <c r="A669" s="17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 t="str">
        <f>IFERROR(VLOOKUP(B669,'MASTER DATA'!$A$1:$E$212,4,FALSE),"")</f>
        <v/>
      </c>
      <c r="G669" s="17"/>
      <c r="H669" s="17"/>
      <c r="I669" s="17"/>
      <c r="J669" s="17" t="b">
        <v>0</v>
      </c>
    </row>
    <row r="670">
      <c r="A670" s="17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 t="str">
        <f>IFERROR(VLOOKUP(B670,'MASTER DATA'!$A$1:$E$212,4,FALSE),"")</f>
        <v/>
      </c>
      <c r="G670" s="17"/>
      <c r="H670" s="17"/>
      <c r="I670" s="17"/>
      <c r="J670" s="17" t="b">
        <v>0</v>
      </c>
    </row>
    <row r="671">
      <c r="A671" s="17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 t="str">
        <f>IFERROR(VLOOKUP(B671,'MASTER DATA'!$A$1:$E$212,4,FALSE),"")</f>
        <v/>
      </c>
      <c r="G671" s="17"/>
      <c r="H671" s="17"/>
      <c r="I671" s="17"/>
      <c r="J671" s="17" t="b">
        <v>0</v>
      </c>
    </row>
    <row r="672">
      <c r="A672" s="17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 t="str">
        <f>IFERROR(VLOOKUP(B672,'MASTER DATA'!$A$1:$E$212,4,FALSE),"")</f>
        <v/>
      </c>
      <c r="G672" s="17"/>
      <c r="H672" s="17"/>
      <c r="I672" s="17"/>
      <c r="J672" s="17" t="b">
        <v>0</v>
      </c>
    </row>
    <row r="673">
      <c r="A673" s="17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 t="str">
        <f>IFERROR(VLOOKUP(B673,'MASTER DATA'!$A$1:$E$212,4,FALSE),"")</f>
        <v/>
      </c>
      <c r="G673" s="17"/>
      <c r="H673" s="17"/>
      <c r="I673" s="17"/>
      <c r="J673" s="17" t="b">
        <v>0</v>
      </c>
    </row>
    <row r="674">
      <c r="A674" s="17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 t="str">
        <f>IFERROR(VLOOKUP(B674,'MASTER DATA'!$A$1:$E$212,4,FALSE),"")</f>
        <v/>
      </c>
      <c r="G674" s="17"/>
      <c r="H674" s="17"/>
      <c r="I674" s="17"/>
      <c r="J674" s="17" t="b">
        <v>0</v>
      </c>
    </row>
    <row r="675">
      <c r="A675" s="17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 t="str">
        <f>IFERROR(VLOOKUP(B675,'MASTER DATA'!$A$1:$E$212,4,FALSE),"")</f>
        <v/>
      </c>
      <c r="G675" s="17"/>
      <c r="H675" s="17"/>
      <c r="I675" s="17"/>
      <c r="J675" s="17" t="b">
        <v>0</v>
      </c>
    </row>
    <row r="676">
      <c r="A676" s="17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 t="str">
        <f>IFERROR(VLOOKUP(B676,'MASTER DATA'!$A$1:$E$212,4,FALSE),"")</f>
        <v/>
      </c>
      <c r="G676" s="17"/>
      <c r="H676" s="17"/>
      <c r="I676" s="17"/>
      <c r="J676" s="17" t="b">
        <v>0</v>
      </c>
    </row>
    <row r="677">
      <c r="A677" s="17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 t="str">
        <f>IFERROR(VLOOKUP(B677,'MASTER DATA'!$A$1:$E$212,4,FALSE),"")</f>
        <v/>
      </c>
      <c r="G677" s="17"/>
      <c r="H677" s="17"/>
      <c r="I677" s="17"/>
      <c r="J677" s="17" t="b">
        <v>0</v>
      </c>
    </row>
    <row r="678">
      <c r="A678" s="17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 t="str">
        <f>IFERROR(VLOOKUP(B678,'MASTER DATA'!$A$1:$E$212,4,FALSE),"")</f>
        <v/>
      </c>
      <c r="G678" s="17"/>
      <c r="H678" s="17"/>
      <c r="I678" s="17"/>
      <c r="J678" s="17" t="b">
        <v>0</v>
      </c>
    </row>
    <row r="679">
      <c r="A679" s="17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 t="str">
        <f>IFERROR(VLOOKUP(B679,'MASTER DATA'!$A$1:$E$212,4,FALSE),"")</f>
        <v/>
      </c>
      <c r="G679" s="17"/>
      <c r="H679" s="17"/>
      <c r="I679" s="17"/>
      <c r="J679" s="17" t="b">
        <v>0</v>
      </c>
    </row>
    <row r="680">
      <c r="A680" s="17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 t="str">
        <f>IFERROR(VLOOKUP(B680,'MASTER DATA'!$A$1:$E$212,4,FALSE),"")</f>
        <v/>
      </c>
      <c r="G680" s="17"/>
      <c r="H680" s="17"/>
      <c r="I680" s="17"/>
      <c r="J680" s="17" t="b">
        <v>0</v>
      </c>
    </row>
    <row r="681">
      <c r="A681" s="17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 t="str">
        <f>IFERROR(VLOOKUP(B681,'MASTER DATA'!$A$1:$E$212,4,FALSE),"")</f>
        <v/>
      </c>
      <c r="G681" s="17"/>
      <c r="H681" s="17"/>
      <c r="I681" s="17"/>
      <c r="J681" s="17" t="b">
        <v>0</v>
      </c>
    </row>
    <row r="682">
      <c r="A682" s="17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 t="str">
        <f>IFERROR(VLOOKUP(B682,'MASTER DATA'!$A$1:$E$212,4,FALSE),"")</f>
        <v/>
      </c>
      <c r="G682" s="17"/>
      <c r="H682" s="17"/>
      <c r="I682" s="17"/>
      <c r="J682" s="17" t="b">
        <v>0</v>
      </c>
    </row>
    <row r="683">
      <c r="A683" s="17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 t="str">
        <f>IFERROR(VLOOKUP(B683,'MASTER DATA'!$A$1:$E$212,4,FALSE),"")</f>
        <v/>
      </c>
      <c r="G683" s="17"/>
      <c r="H683" s="17"/>
      <c r="I683" s="17"/>
      <c r="J683" s="17" t="b">
        <v>0</v>
      </c>
    </row>
    <row r="684">
      <c r="A684" s="17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 t="str">
        <f>IFERROR(VLOOKUP(B684,'MASTER DATA'!$A$1:$E$212,4,FALSE),"")</f>
        <v/>
      </c>
      <c r="G684" s="17"/>
      <c r="H684" s="17"/>
      <c r="I684" s="17"/>
      <c r="J684" s="17" t="b">
        <v>0</v>
      </c>
    </row>
    <row r="685">
      <c r="A685" s="17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 t="str">
        <f>IFERROR(VLOOKUP(B685,'MASTER DATA'!$A$1:$E$212,4,FALSE),"")</f>
        <v/>
      </c>
      <c r="G685" s="17"/>
      <c r="H685" s="17"/>
      <c r="I685" s="17"/>
      <c r="J685" s="17" t="b">
        <v>0</v>
      </c>
    </row>
    <row r="686">
      <c r="A686" s="17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 t="str">
        <f>IFERROR(VLOOKUP(B686,'MASTER DATA'!$A$1:$E$212,4,FALSE),"")</f>
        <v/>
      </c>
      <c r="G686" s="17"/>
      <c r="H686" s="17"/>
      <c r="I686" s="17"/>
      <c r="J686" s="17" t="b">
        <v>0</v>
      </c>
    </row>
    <row r="687">
      <c r="A687" s="17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 t="str">
        <f>IFERROR(VLOOKUP(B687,'MASTER DATA'!$A$1:$E$212,4,FALSE),"")</f>
        <v/>
      </c>
      <c r="G687" s="17"/>
      <c r="H687" s="17"/>
      <c r="I687" s="17"/>
      <c r="J687" s="17" t="b">
        <v>0</v>
      </c>
    </row>
    <row r="688">
      <c r="A688" s="17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 t="str">
        <f>IFERROR(VLOOKUP(B688,'MASTER DATA'!$A$1:$E$212,4,FALSE),"")</f>
        <v/>
      </c>
      <c r="G688" s="17"/>
      <c r="H688" s="17"/>
      <c r="I688" s="17"/>
      <c r="J688" s="17" t="b">
        <v>0</v>
      </c>
    </row>
    <row r="689">
      <c r="A689" s="17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 t="str">
        <f>IFERROR(VLOOKUP(B689,'MASTER DATA'!$A$1:$E$212,4,FALSE),"")</f>
        <v/>
      </c>
      <c r="G689" s="17"/>
      <c r="H689" s="17"/>
      <c r="I689" s="17"/>
      <c r="J689" s="17" t="b">
        <v>0</v>
      </c>
    </row>
    <row r="690">
      <c r="A690" s="17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 t="str">
        <f>IFERROR(VLOOKUP(B690,'MASTER DATA'!$A$1:$E$212,4,FALSE),"")</f>
        <v/>
      </c>
      <c r="G690" s="17"/>
      <c r="H690" s="17"/>
      <c r="I690" s="17"/>
      <c r="J690" s="17" t="b">
        <v>0</v>
      </c>
    </row>
    <row r="691">
      <c r="A691" s="17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 t="str">
        <f>IFERROR(VLOOKUP(B691,'MASTER DATA'!$A$1:$E$212,4,FALSE),"")</f>
        <v/>
      </c>
      <c r="G691" s="17"/>
      <c r="H691" s="17"/>
      <c r="I691" s="17"/>
      <c r="J691" s="17" t="b">
        <v>0</v>
      </c>
    </row>
    <row r="692">
      <c r="A692" s="17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 t="str">
        <f>IFERROR(VLOOKUP(B692,'MASTER DATA'!$A$1:$E$212,4,FALSE),"")</f>
        <v/>
      </c>
      <c r="G692" s="17"/>
      <c r="H692" s="17"/>
      <c r="I692" s="17"/>
      <c r="J692" s="17" t="b">
        <v>0</v>
      </c>
    </row>
    <row r="693">
      <c r="A693" s="17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 t="str">
        <f>IFERROR(VLOOKUP(B693,'MASTER DATA'!$A$1:$E$212,4,FALSE),"")</f>
        <v/>
      </c>
      <c r="G693" s="17"/>
      <c r="H693" s="17"/>
      <c r="I693" s="17"/>
      <c r="J693" s="17" t="b">
        <v>0</v>
      </c>
    </row>
    <row r="694">
      <c r="A694" s="17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 t="str">
        <f>IFERROR(VLOOKUP(B694,'MASTER DATA'!$A$1:$E$212,4,FALSE),"")</f>
        <v/>
      </c>
      <c r="G694" s="17"/>
      <c r="H694" s="17"/>
      <c r="I694" s="17"/>
      <c r="J694" s="17" t="b">
        <v>0</v>
      </c>
    </row>
    <row r="695">
      <c r="A695" s="17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 t="str">
        <f>IFERROR(VLOOKUP(B695,'MASTER DATA'!$A$1:$E$212,4,FALSE),"")</f>
        <v/>
      </c>
      <c r="G695" s="17"/>
      <c r="H695" s="17"/>
      <c r="I695" s="17"/>
      <c r="J695" s="17" t="b">
        <v>0</v>
      </c>
    </row>
    <row r="696">
      <c r="A696" s="17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 t="str">
        <f>IFERROR(VLOOKUP(B696,'MASTER DATA'!$A$1:$E$212,4,FALSE),"")</f>
        <v/>
      </c>
      <c r="G696" s="17"/>
      <c r="H696" s="17"/>
      <c r="I696" s="17"/>
      <c r="J696" s="17" t="b">
        <v>0</v>
      </c>
    </row>
    <row r="697">
      <c r="A697" s="17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 t="str">
        <f>IFERROR(VLOOKUP(B697,'MASTER DATA'!$A$1:$E$212,4,FALSE),"")</f>
        <v/>
      </c>
      <c r="G697" s="17"/>
      <c r="H697" s="17"/>
      <c r="I697" s="17"/>
      <c r="J697" s="17" t="b">
        <v>0</v>
      </c>
    </row>
    <row r="698">
      <c r="A698" s="17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 t="str">
        <f>IFERROR(VLOOKUP(B698,'MASTER DATA'!$A$1:$E$212,4,FALSE),"")</f>
        <v/>
      </c>
      <c r="G698" s="17"/>
      <c r="H698" s="17"/>
      <c r="I698" s="17"/>
      <c r="J698" s="17" t="b">
        <v>0</v>
      </c>
    </row>
    <row r="699">
      <c r="A699" s="17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 t="str">
        <f>IFERROR(VLOOKUP(B699,'MASTER DATA'!$A$1:$E$212,4,FALSE),"")</f>
        <v/>
      </c>
      <c r="G699" s="17"/>
      <c r="H699" s="17"/>
      <c r="I699" s="17"/>
      <c r="J699" s="17" t="b">
        <v>0</v>
      </c>
    </row>
    <row r="700">
      <c r="A700" s="17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 t="str">
        <f>IFERROR(VLOOKUP(B700,'MASTER DATA'!$A$1:$E$212,4,FALSE),"")</f>
        <v/>
      </c>
      <c r="G700" s="17"/>
      <c r="H700" s="17"/>
      <c r="I700" s="17"/>
      <c r="J700" s="17" t="b">
        <v>0</v>
      </c>
    </row>
    <row r="701">
      <c r="A701" s="17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 t="str">
        <f>IFERROR(VLOOKUP(B701,'MASTER DATA'!$A$1:$E$212,4,FALSE),"")</f>
        <v/>
      </c>
      <c r="G701" s="17"/>
      <c r="H701" s="17"/>
      <c r="I701" s="17"/>
      <c r="J701" s="17" t="b">
        <v>0</v>
      </c>
    </row>
    <row r="702">
      <c r="A702" s="17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 t="str">
        <f>IFERROR(VLOOKUP(B702,'MASTER DATA'!$A$1:$E$212,4,FALSE),"")</f>
        <v/>
      </c>
      <c r="G702" s="17"/>
      <c r="H702" s="17"/>
      <c r="I702" s="17"/>
      <c r="J702" s="17" t="b">
        <v>0</v>
      </c>
    </row>
    <row r="703">
      <c r="A703" s="17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 t="str">
        <f>IFERROR(VLOOKUP(B703,'MASTER DATA'!$A$1:$E$212,4,FALSE),"")</f>
        <v/>
      </c>
      <c r="G703" s="17"/>
      <c r="H703" s="17"/>
      <c r="I703" s="17"/>
      <c r="J703" s="17" t="b">
        <v>0</v>
      </c>
    </row>
    <row r="704">
      <c r="A704" s="17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 t="str">
        <f>IFERROR(VLOOKUP(B704,'MASTER DATA'!$A$1:$E$212,4,FALSE),"")</f>
        <v/>
      </c>
      <c r="G704" s="17"/>
      <c r="H704" s="17"/>
      <c r="I704" s="17"/>
      <c r="J704" s="17" t="b">
        <v>0</v>
      </c>
    </row>
    <row r="705">
      <c r="A705" s="17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 t="str">
        <f>IFERROR(VLOOKUP(B705,'MASTER DATA'!$A$1:$E$212,4,FALSE),"")</f>
        <v/>
      </c>
      <c r="G705" s="17"/>
      <c r="H705" s="17"/>
      <c r="I705" s="17"/>
      <c r="J705" s="17" t="b">
        <v>0</v>
      </c>
    </row>
    <row r="706">
      <c r="A706" s="17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 t="str">
        <f>IFERROR(VLOOKUP(B706,'MASTER DATA'!$A$1:$E$212,4,FALSE),"")</f>
        <v/>
      </c>
      <c r="G706" s="17"/>
      <c r="H706" s="17"/>
      <c r="I706" s="17"/>
      <c r="J706" s="17" t="b">
        <v>0</v>
      </c>
    </row>
    <row r="707">
      <c r="A707" s="17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 t="str">
        <f>IFERROR(VLOOKUP(B707,'MASTER DATA'!$A$1:$E$212,4,FALSE),"")</f>
        <v/>
      </c>
      <c r="G707" s="17"/>
      <c r="H707" s="17"/>
      <c r="I707" s="17"/>
      <c r="J707" s="17" t="b">
        <v>0</v>
      </c>
    </row>
    <row r="708">
      <c r="A708" s="17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 t="str">
        <f>IFERROR(VLOOKUP(B708,'MASTER DATA'!$A$1:$E$212,4,FALSE),"")</f>
        <v/>
      </c>
      <c r="G708" s="17"/>
      <c r="H708" s="17"/>
      <c r="I708" s="17"/>
      <c r="J708" s="17" t="b">
        <v>0</v>
      </c>
    </row>
    <row r="709">
      <c r="A709" s="17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 t="str">
        <f>IFERROR(VLOOKUP(B709,'MASTER DATA'!$A$1:$E$212,4,FALSE),"")</f>
        <v/>
      </c>
      <c r="G709" s="17"/>
      <c r="H709" s="17"/>
      <c r="I709" s="17"/>
      <c r="J709" s="17" t="b">
        <v>0</v>
      </c>
    </row>
    <row r="710">
      <c r="A710" s="17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 t="str">
        <f>IFERROR(VLOOKUP(B710,'MASTER DATA'!$A$1:$E$212,4,FALSE),"")</f>
        <v/>
      </c>
      <c r="G710" s="17"/>
      <c r="H710" s="17"/>
      <c r="I710" s="17"/>
      <c r="J710" s="17" t="b">
        <v>0</v>
      </c>
    </row>
    <row r="711">
      <c r="A711" s="17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 t="str">
        <f>IFERROR(VLOOKUP(B711,'MASTER DATA'!$A$1:$E$212,4,FALSE),"")</f>
        <v/>
      </c>
      <c r="G711" s="17"/>
      <c r="H711" s="17"/>
      <c r="I711" s="17"/>
      <c r="J711" s="17" t="b">
        <v>0</v>
      </c>
    </row>
    <row r="712">
      <c r="A712" s="17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 t="str">
        <f>IFERROR(VLOOKUP(B712,'MASTER DATA'!$A$1:$E$212,4,FALSE),"")</f>
        <v/>
      </c>
      <c r="G712" s="17"/>
      <c r="H712" s="17"/>
      <c r="I712" s="17"/>
      <c r="J712" s="17" t="b">
        <v>0</v>
      </c>
    </row>
    <row r="713">
      <c r="A713" s="17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 t="str">
        <f>IFERROR(VLOOKUP(B713,'MASTER DATA'!$A$1:$E$212,4,FALSE),"")</f>
        <v/>
      </c>
      <c r="G713" s="17"/>
      <c r="H713" s="17"/>
      <c r="I713" s="17"/>
      <c r="J713" s="17" t="b">
        <v>0</v>
      </c>
    </row>
    <row r="714">
      <c r="A714" s="17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 t="str">
        <f>IFERROR(VLOOKUP(B714,'MASTER DATA'!$A$1:$E$212,4,FALSE),"")</f>
        <v/>
      </c>
      <c r="G714" s="17"/>
      <c r="H714" s="17"/>
      <c r="I714" s="17"/>
      <c r="J714" s="17" t="b">
        <v>0</v>
      </c>
    </row>
    <row r="715">
      <c r="A715" s="17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 t="str">
        <f>IFERROR(VLOOKUP(B715,'MASTER DATA'!$A$1:$E$212,4,FALSE),"")</f>
        <v/>
      </c>
      <c r="G715" s="17"/>
      <c r="H715" s="17"/>
      <c r="I715" s="17"/>
      <c r="J715" s="17" t="b">
        <v>0</v>
      </c>
    </row>
    <row r="716">
      <c r="A716" s="17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 t="str">
        <f>IFERROR(VLOOKUP(B716,'MASTER DATA'!$A$1:$E$212,4,FALSE),"")</f>
        <v/>
      </c>
      <c r="G716" s="17"/>
      <c r="H716" s="17"/>
      <c r="I716" s="17"/>
      <c r="J716" s="17" t="b">
        <v>0</v>
      </c>
    </row>
    <row r="717">
      <c r="A717" s="17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 t="str">
        <f>IFERROR(VLOOKUP(B717,'MASTER DATA'!$A$1:$E$212,4,FALSE),"")</f>
        <v/>
      </c>
      <c r="G717" s="17"/>
      <c r="H717" s="17"/>
      <c r="I717" s="17"/>
      <c r="J717" s="17" t="b">
        <v>0</v>
      </c>
    </row>
    <row r="718">
      <c r="A718" s="17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 t="str">
        <f>IFERROR(VLOOKUP(B718,'MASTER DATA'!$A$1:$E$212,4,FALSE),"")</f>
        <v/>
      </c>
      <c r="G718" s="17"/>
      <c r="H718" s="17"/>
      <c r="I718" s="17"/>
      <c r="J718" s="17" t="b">
        <v>0</v>
      </c>
    </row>
    <row r="719">
      <c r="A719" s="17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 t="str">
        <f>IFERROR(VLOOKUP(B719,'MASTER DATA'!$A$1:$E$212,4,FALSE),"")</f>
        <v/>
      </c>
      <c r="G719" s="17"/>
      <c r="H719" s="17"/>
      <c r="I719" s="17"/>
      <c r="J719" s="17" t="b">
        <v>0</v>
      </c>
    </row>
    <row r="720">
      <c r="A720" s="17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 t="str">
        <f>IFERROR(VLOOKUP(B720,'MASTER DATA'!$A$1:$E$212,4,FALSE),"")</f>
        <v/>
      </c>
      <c r="G720" s="17"/>
      <c r="H720" s="17"/>
      <c r="I720" s="17"/>
      <c r="J720" s="17" t="b">
        <v>0</v>
      </c>
    </row>
    <row r="721">
      <c r="A721" s="17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 t="str">
        <f>IFERROR(VLOOKUP(B721,'MASTER DATA'!$A$1:$E$212,4,FALSE),"")</f>
        <v/>
      </c>
      <c r="G721" s="17"/>
      <c r="H721" s="17"/>
      <c r="I721" s="17"/>
      <c r="J721" s="17" t="b">
        <v>0</v>
      </c>
    </row>
    <row r="722">
      <c r="A722" s="17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 t="str">
        <f>IFERROR(VLOOKUP(B722,'MASTER DATA'!$A$1:$E$212,4,FALSE),"")</f>
        <v/>
      </c>
      <c r="G722" s="17"/>
      <c r="H722" s="17"/>
      <c r="I722" s="17"/>
      <c r="J722" s="17" t="b">
        <v>0</v>
      </c>
    </row>
    <row r="723">
      <c r="A723" s="17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 t="str">
        <f>IFERROR(VLOOKUP(B723,'MASTER DATA'!$A$1:$E$212,4,FALSE),"")</f>
        <v/>
      </c>
      <c r="G723" s="17"/>
      <c r="H723" s="17"/>
      <c r="I723" s="17"/>
      <c r="J723" s="17" t="b">
        <v>0</v>
      </c>
    </row>
    <row r="724">
      <c r="A724" s="17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 t="str">
        <f>IFERROR(VLOOKUP(B724,'MASTER DATA'!$A$1:$E$212,4,FALSE),"")</f>
        <v/>
      </c>
      <c r="G724" s="17"/>
      <c r="H724" s="17"/>
      <c r="I724" s="17"/>
      <c r="J724" s="17" t="b">
        <v>0</v>
      </c>
    </row>
    <row r="725">
      <c r="A725" s="17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 t="str">
        <f>IFERROR(VLOOKUP(B725,'MASTER DATA'!$A$1:$E$212,4,FALSE),"")</f>
        <v/>
      </c>
      <c r="G725" s="17"/>
      <c r="H725" s="17"/>
      <c r="I725" s="17"/>
      <c r="J725" s="17" t="b">
        <v>0</v>
      </c>
    </row>
    <row r="726">
      <c r="A726" s="17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 t="str">
        <f>IFERROR(VLOOKUP(B726,'MASTER DATA'!$A$1:$E$212,4,FALSE),"")</f>
        <v/>
      </c>
      <c r="G726" s="17"/>
      <c r="H726" s="17"/>
      <c r="I726" s="17"/>
      <c r="J726" s="17" t="b">
        <v>0</v>
      </c>
    </row>
    <row r="727">
      <c r="A727" s="17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 t="str">
        <f>IFERROR(VLOOKUP(B727,'MASTER DATA'!$A$1:$E$212,4,FALSE),"")</f>
        <v/>
      </c>
      <c r="G727" s="17"/>
      <c r="H727" s="17"/>
      <c r="I727" s="17"/>
      <c r="J727" s="17" t="b">
        <v>0</v>
      </c>
    </row>
    <row r="728">
      <c r="A728" s="17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 t="str">
        <f>IFERROR(VLOOKUP(B728,'MASTER DATA'!$A$1:$E$212,4,FALSE),"")</f>
        <v/>
      </c>
      <c r="G728" s="17"/>
      <c r="H728" s="17"/>
      <c r="I728" s="17"/>
      <c r="J728" s="17" t="b">
        <v>0</v>
      </c>
    </row>
    <row r="729">
      <c r="A729" s="17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 t="str">
        <f>IFERROR(VLOOKUP(B729,'MASTER DATA'!$A$1:$E$212,4,FALSE),"")</f>
        <v/>
      </c>
      <c r="G729" s="17"/>
      <c r="H729" s="17"/>
      <c r="I729" s="17"/>
      <c r="J729" s="17" t="b">
        <v>0</v>
      </c>
    </row>
    <row r="730">
      <c r="A730" s="17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 t="str">
        <f>IFERROR(VLOOKUP(B730,'MASTER DATA'!$A$1:$E$212,4,FALSE),"")</f>
        <v/>
      </c>
      <c r="G730" s="17"/>
      <c r="H730" s="17"/>
      <c r="I730" s="17"/>
      <c r="J730" s="17" t="b">
        <v>0</v>
      </c>
    </row>
    <row r="731">
      <c r="A731" s="17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 t="str">
        <f>IFERROR(VLOOKUP(B731,'MASTER DATA'!$A$1:$E$212,4,FALSE),"")</f>
        <v/>
      </c>
      <c r="G731" s="17"/>
      <c r="H731" s="17"/>
      <c r="I731" s="17"/>
      <c r="J731" s="17" t="b">
        <v>0</v>
      </c>
    </row>
    <row r="732">
      <c r="A732" s="17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 t="str">
        <f>IFERROR(VLOOKUP(B732,'MASTER DATA'!$A$1:$E$212,4,FALSE),"")</f>
        <v/>
      </c>
      <c r="G732" s="17"/>
      <c r="H732" s="17"/>
      <c r="I732" s="17"/>
      <c r="J732" s="17" t="b">
        <v>0</v>
      </c>
    </row>
    <row r="733">
      <c r="A733" s="17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 t="str">
        <f>IFERROR(VLOOKUP(B733,'MASTER DATA'!$A$1:$E$212,4,FALSE),"")</f>
        <v/>
      </c>
      <c r="G733" s="17"/>
      <c r="H733" s="17"/>
      <c r="I733" s="17"/>
      <c r="J733" s="17" t="b">
        <v>0</v>
      </c>
    </row>
    <row r="734">
      <c r="A734" s="17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 t="str">
        <f>IFERROR(VLOOKUP(B734,'MASTER DATA'!$A$1:$E$212,4,FALSE),"")</f>
        <v/>
      </c>
      <c r="G734" s="17"/>
      <c r="H734" s="17"/>
      <c r="I734" s="17"/>
      <c r="J734" s="17" t="b">
        <v>0</v>
      </c>
    </row>
    <row r="735">
      <c r="A735" s="17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 t="str">
        <f>IFERROR(VLOOKUP(B735,'MASTER DATA'!$A$1:$E$212,4,FALSE),"")</f>
        <v/>
      </c>
      <c r="G735" s="17"/>
      <c r="H735" s="17"/>
      <c r="I735" s="17"/>
      <c r="J735" s="17" t="b">
        <v>0</v>
      </c>
    </row>
    <row r="736">
      <c r="A736" s="17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 t="str">
        <f>IFERROR(VLOOKUP(B736,'MASTER DATA'!$A$1:$E$212,4,FALSE),"")</f>
        <v/>
      </c>
      <c r="G736" s="17"/>
      <c r="H736" s="17"/>
      <c r="I736" s="17"/>
      <c r="J736" s="17" t="b">
        <v>0</v>
      </c>
    </row>
    <row r="737">
      <c r="A737" s="17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 t="str">
        <f>IFERROR(VLOOKUP(B737,'MASTER DATA'!$A$1:$E$212,4,FALSE),"")</f>
        <v/>
      </c>
      <c r="G737" s="17"/>
      <c r="H737" s="17"/>
      <c r="I737" s="17"/>
      <c r="J737" s="17" t="b">
        <v>0</v>
      </c>
    </row>
    <row r="738">
      <c r="A738" s="17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 t="str">
        <f>IFERROR(VLOOKUP(B738,'MASTER DATA'!$A$1:$E$212,4,FALSE),"")</f>
        <v/>
      </c>
      <c r="G738" s="17"/>
      <c r="H738" s="17"/>
      <c r="I738" s="17"/>
      <c r="J738" s="17" t="b">
        <v>0</v>
      </c>
    </row>
    <row r="739">
      <c r="A739" s="17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 t="str">
        <f>IFERROR(VLOOKUP(B739,'MASTER DATA'!$A$1:$E$212,4,FALSE),"")</f>
        <v/>
      </c>
      <c r="G739" s="17"/>
      <c r="H739" s="17"/>
      <c r="I739" s="17"/>
      <c r="J739" s="17" t="b">
        <v>0</v>
      </c>
    </row>
    <row r="740">
      <c r="A740" s="17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 t="str">
        <f>IFERROR(VLOOKUP(B740,'MASTER DATA'!$A$1:$E$212,4,FALSE),"")</f>
        <v/>
      </c>
      <c r="G740" s="17"/>
      <c r="H740" s="17"/>
      <c r="I740" s="17"/>
      <c r="J740" s="17" t="b">
        <v>0</v>
      </c>
    </row>
    <row r="741">
      <c r="A741" s="17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 t="str">
        <f>IFERROR(VLOOKUP(B741,'MASTER DATA'!$A$1:$E$212,4,FALSE),"")</f>
        <v/>
      </c>
      <c r="G741" s="17"/>
      <c r="H741" s="17"/>
      <c r="I741" s="17"/>
      <c r="J741" s="17" t="b">
        <v>0</v>
      </c>
    </row>
    <row r="742">
      <c r="A742" s="17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 t="str">
        <f>IFERROR(VLOOKUP(B742,'MASTER DATA'!$A$1:$E$212,4,FALSE),"")</f>
        <v/>
      </c>
      <c r="G742" s="17"/>
      <c r="H742" s="17"/>
      <c r="I742" s="17"/>
      <c r="J742" s="17" t="b">
        <v>0</v>
      </c>
    </row>
    <row r="743">
      <c r="A743" s="17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 t="str">
        <f>IFERROR(VLOOKUP(B743,'MASTER DATA'!$A$1:$E$212,4,FALSE),"")</f>
        <v/>
      </c>
      <c r="G743" s="17"/>
      <c r="H743" s="17"/>
      <c r="I743" s="17"/>
      <c r="J743" s="17" t="b">
        <v>0</v>
      </c>
    </row>
    <row r="744">
      <c r="A744" s="17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 t="str">
        <f>IFERROR(VLOOKUP(B744,'MASTER DATA'!$A$1:$E$212,4,FALSE),"")</f>
        <v/>
      </c>
      <c r="G744" s="17"/>
      <c r="H744" s="17"/>
      <c r="I744" s="17"/>
      <c r="J744" s="17" t="b">
        <v>0</v>
      </c>
    </row>
    <row r="745">
      <c r="A745" s="17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 t="str">
        <f>IFERROR(VLOOKUP(B745,'MASTER DATA'!$A$1:$E$212,4,FALSE),"")</f>
        <v/>
      </c>
      <c r="G745" s="17"/>
      <c r="H745" s="17"/>
      <c r="I745" s="17"/>
      <c r="J745" s="17" t="b">
        <v>0</v>
      </c>
    </row>
    <row r="746">
      <c r="A746" s="17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 t="str">
        <f>IFERROR(VLOOKUP(B746,'MASTER DATA'!$A$1:$E$212,4,FALSE),"")</f>
        <v/>
      </c>
      <c r="G746" s="17"/>
      <c r="H746" s="17"/>
      <c r="I746" s="17"/>
      <c r="J746" s="17" t="b">
        <v>0</v>
      </c>
    </row>
    <row r="747">
      <c r="A747" s="17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 t="str">
        <f>IFERROR(VLOOKUP(B747,'MASTER DATA'!$A$1:$E$212,4,FALSE),"")</f>
        <v/>
      </c>
      <c r="G747" s="17"/>
      <c r="H747" s="17"/>
      <c r="I747" s="17"/>
      <c r="J747" s="17" t="b">
        <v>0</v>
      </c>
    </row>
    <row r="748">
      <c r="A748" s="17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 t="str">
        <f>IFERROR(VLOOKUP(B748,'MASTER DATA'!$A$1:$E$212,4,FALSE),"")</f>
        <v/>
      </c>
      <c r="G748" s="17"/>
      <c r="H748" s="17"/>
      <c r="I748" s="17"/>
      <c r="J748" s="17" t="b">
        <v>0</v>
      </c>
    </row>
    <row r="749">
      <c r="A749" s="17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 t="str">
        <f>IFERROR(VLOOKUP(B749,'MASTER DATA'!$A$1:$E$212,4,FALSE),"")</f>
        <v/>
      </c>
      <c r="G749" s="17"/>
      <c r="H749" s="17"/>
      <c r="I749" s="17"/>
      <c r="J749" s="17" t="b">
        <v>0</v>
      </c>
    </row>
    <row r="750">
      <c r="A750" s="17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 t="str">
        <f>IFERROR(VLOOKUP(B750,'MASTER DATA'!$A$1:$E$212,4,FALSE),"")</f>
        <v/>
      </c>
      <c r="G750" s="17"/>
      <c r="H750" s="17"/>
      <c r="I750" s="17"/>
      <c r="J750" s="17" t="b">
        <v>0</v>
      </c>
    </row>
    <row r="751">
      <c r="A751" s="17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 t="str">
        <f>IFERROR(VLOOKUP(B751,'MASTER DATA'!$A$1:$E$212,4,FALSE),"")</f>
        <v/>
      </c>
      <c r="G751" s="17"/>
      <c r="H751" s="17"/>
      <c r="I751" s="17"/>
      <c r="J751" s="17" t="b">
        <v>0</v>
      </c>
    </row>
    <row r="752">
      <c r="A752" s="17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 t="str">
        <f>IFERROR(VLOOKUP(B752,'MASTER DATA'!$A$1:$E$212,4,FALSE),"")</f>
        <v/>
      </c>
      <c r="G752" s="17"/>
      <c r="H752" s="17"/>
      <c r="I752" s="17"/>
      <c r="J752" s="17" t="b">
        <v>0</v>
      </c>
    </row>
    <row r="753">
      <c r="A753" s="17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 t="str">
        <f>IFERROR(VLOOKUP(B753,'MASTER DATA'!$A$1:$E$212,4,FALSE),"")</f>
        <v/>
      </c>
      <c r="G753" s="17"/>
      <c r="H753" s="17"/>
      <c r="I753" s="17"/>
      <c r="J753" s="17" t="b">
        <v>0</v>
      </c>
    </row>
    <row r="754">
      <c r="A754" s="17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 t="str">
        <f>IFERROR(VLOOKUP(B754,'MASTER DATA'!$A$1:$E$212,4,FALSE),"")</f>
        <v/>
      </c>
      <c r="G754" s="17"/>
      <c r="H754" s="17"/>
      <c r="I754" s="17"/>
      <c r="J754" s="17" t="b">
        <v>0</v>
      </c>
    </row>
    <row r="755">
      <c r="A755" s="17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 t="str">
        <f>IFERROR(VLOOKUP(B755,'MASTER DATA'!$A$1:$E$212,4,FALSE),"")</f>
        <v/>
      </c>
      <c r="G755" s="17"/>
      <c r="H755" s="17"/>
      <c r="I755" s="17"/>
      <c r="J755" s="17" t="b">
        <v>0</v>
      </c>
    </row>
    <row r="756">
      <c r="A756" s="17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 t="str">
        <f>IFERROR(VLOOKUP(B756,'MASTER DATA'!$A$1:$E$212,4,FALSE),"")</f>
        <v/>
      </c>
      <c r="G756" s="17"/>
      <c r="H756" s="17"/>
      <c r="I756" s="17"/>
      <c r="J756" s="17" t="b">
        <v>0</v>
      </c>
    </row>
    <row r="757">
      <c r="A757" s="17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 t="str">
        <f>IFERROR(VLOOKUP(B757,'MASTER DATA'!$A$1:$E$212,4,FALSE),"")</f>
        <v/>
      </c>
      <c r="G757" s="17"/>
      <c r="H757" s="17"/>
      <c r="I757" s="17"/>
      <c r="J757" s="17" t="b">
        <v>0</v>
      </c>
    </row>
    <row r="758">
      <c r="A758" s="17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 t="str">
        <f>IFERROR(VLOOKUP(B758,'MASTER DATA'!$A$1:$E$212,4,FALSE),"")</f>
        <v/>
      </c>
      <c r="G758" s="17"/>
      <c r="H758" s="17"/>
      <c r="I758" s="17"/>
      <c r="J758" s="17" t="b">
        <v>0</v>
      </c>
    </row>
    <row r="759">
      <c r="A759" s="17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 t="str">
        <f>IFERROR(VLOOKUP(B759,'MASTER DATA'!$A$1:$E$212,4,FALSE),"")</f>
        <v/>
      </c>
      <c r="G759" s="17"/>
      <c r="H759" s="17"/>
      <c r="I759" s="17"/>
      <c r="J759" s="17" t="b">
        <v>0</v>
      </c>
    </row>
    <row r="760">
      <c r="A760" s="17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 t="str">
        <f>IFERROR(VLOOKUP(B760,'MASTER DATA'!$A$1:$E$212,4,FALSE),"")</f>
        <v/>
      </c>
      <c r="G760" s="17"/>
      <c r="H760" s="17"/>
      <c r="I760" s="17"/>
      <c r="J760" s="17" t="b">
        <v>0</v>
      </c>
    </row>
    <row r="761">
      <c r="A761" s="17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 t="str">
        <f>IFERROR(VLOOKUP(B761,'MASTER DATA'!$A$1:$E$212,4,FALSE),"")</f>
        <v/>
      </c>
      <c r="G761" s="17"/>
      <c r="H761" s="17"/>
      <c r="I761" s="17"/>
      <c r="J761" s="17" t="b">
        <v>0</v>
      </c>
    </row>
    <row r="762">
      <c r="A762" s="17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 t="str">
        <f>IFERROR(VLOOKUP(B762,'MASTER DATA'!$A$1:$E$212,4,FALSE),"")</f>
        <v/>
      </c>
      <c r="G762" s="17"/>
      <c r="H762" s="17"/>
      <c r="I762" s="17"/>
      <c r="J762" s="17" t="b">
        <v>0</v>
      </c>
    </row>
    <row r="763">
      <c r="A763" s="17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 t="str">
        <f>IFERROR(VLOOKUP(B763,'MASTER DATA'!$A$1:$E$212,4,FALSE),"")</f>
        <v/>
      </c>
      <c r="G763" s="17"/>
      <c r="H763" s="17"/>
      <c r="I763" s="17"/>
      <c r="J763" s="17" t="b">
        <v>0</v>
      </c>
    </row>
    <row r="764">
      <c r="A764" s="17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 t="str">
        <f>IFERROR(VLOOKUP(B764,'MASTER DATA'!$A$1:$E$212,4,FALSE),"")</f>
        <v/>
      </c>
      <c r="G764" s="17"/>
      <c r="H764" s="17"/>
      <c r="I764" s="17"/>
      <c r="J764" s="17" t="b">
        <v>0</v>
      </c>
    </row>
    <row r="765">
      <c r="A765" s="17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 t="str">
        <f>IFERROR(VLOOKUP(B765,'MASTER DATA'!$A$1:$E$212,4,FALSE),"")</f>
        <v/>
      </c>
      <c r="G765" s="17"/>
      <c r="H765" s="17"/>
      <c r="I765" s="17"/>
      <c r="J765" s="17" t="b">
        <v>0</v>
      </c>
    </row>
    <row r="766">
      <c r="A766" s="17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 t="str">
        <f>IFERROR(VLOOKUP(B766,'MASTER DATA'!$A$1:$E$212,4,FALSE),"")</f>
        <v/>
      </c>
      <c r="G766" s="17"/>
      <c r="H766" s="17"/>
      <c r="I766" s="17"/>
      <c r="J766" s="17" t="b">
        <v>0</v>
      </c>
    </row>
    <row r="767">
      <c r="A767" s="17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 t="str">
        <f>IFERROR(VLOOKUP(B767,'MASTER DATA'!$A$1:$E$212,4,FALSE),"")</f>
        <v/>
      </c>
      <c r="G767" s="17"/>
      <c r="H767" s="17"/>
      <c r="I767" s="17"/>
      <c r="J767" s="17" t="b">
        <v>0</v>
      </c>
    </row>
    <row r="768">
      <c r="A768" s="17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 t="str">
        <f>IFERROR(VLOOKUP(B768,'MASTER DATA'!$A$1:$E$212,4,FALSE),"")</f>
        <v/>
      </c>
      <c r="G768" s="17"/>
      <c r="H768" s="17"/>
      <c r="I768" s="17"/>
      <c r="J768" s="17" t="b">
        <v>0</v>
      </c>
    </row>
    <row r="769">
      <c r="A769" s="17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 t="str">
        <f>IFERROR(VLOOKUP(B769,'MASTER DATA'!$A$1:$E$212,4,FALSE),"")</f>
        <v/>
      </c>
      <c r="G769" s="17"/>
      <c r="H769" s="17"/>
      <c r="I769" s="17"/>
      <c r="J769" s="17" t="b">
        <v>0</v>
      </c>
    </row>
    <row r="770">
      <c r="A770" s="17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 t="str">
        <f>IFERROR(VLOOKUP(B770,'MASTER DATA'!$A$1:$E$212,4,FALSE),"")</f>
        <v/>
      </c>
      <c r="G770" s="17"/>
      <c r="H770" s="17"/>
      <c r="I770" s="17"/>
      <c r="J770" s="17" t="b">
        <v>0</v>
      </c>
    </row>
    <row r="771">
      <c r="A771" s="17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 t="str">
        <f>IFERROR(VLOOKUP(B771,'MASTER DATA'!$A$1:$E$212,4,FALSE),"")</f>
        <v/>
      </c>
      <c r="G771" s="17"/>
      <c r="H771" s="17"/>
      <c r="I771" s="17"/>
      <c r="J771" s="17" t="b">
        <v>0</v>
      </c>
    </row>
    <row r="772">
      <c r="A772" s="17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 t="str">
        <f>IFERROR(VLOOKUP(B772,'MASTER DATA'!$A$1:$E$212,4,FALSE),"")</f>
        <v/>
      </c>
      <c r="G772" s="17"/>
      <c r="H772" s="17"/>
      <c r="I772" s="17"/>
      <c r="J772" s="17" t="b">
        <v>0</v>
      </c>
    </row>
    <row r="773">
      <c r="A773" s="17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 t="str">
        <f>IFERROR(VLOOKUP(B773,'MASTER DATA'!$A$1:$E$212,4,FALSE),"")</f>
        <v/>
      </c>
      <c r="G773" s="17"/>
      <c r="H773" s="17"/>
      <c r="I773" s="17"/>
      <c r="J773" s="17" t="b">
        <v>0</v>
      </c>
    </row>
    <row r="774">
      <c r="A774" s="17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 t="str">
        <f>IFERROR(VLOOKUP(B774,'MASTER DATA'!$A$1:$E$212,4,FALSE),"")</f>
        <v/>
      </c>
      <c r="G774" s="17"/>
      <c r="H774" s="17"/>
      <c r="I774" s="17"/>
      <c r="J774" s="17" t="b">
        <v>0</v>
      </c>
    </row>
    <row r="775">
      <c r="A775" s="17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 t="str">
        <f>IFERROR(VLOOKUP(B775,'MASTER DATA'!$A$1:$E$212,4,FALSE),"")</f>
        <v/>
      </c>
      <c r="G775" s="17"/>
      <c r="H775" s="17"/>
      <c r="I775" s="17"/>
      <c r="J775" s="17" t="b">
        <v>0</v>
      </c>
    </row>
    <row r="776">
      <c r="A776" s="17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 t="str">
        <f>IFERROR(VLOOKUP(B776,'MASTER DATA'!$A$1:$E$212,4,FALSE),"")</f>
        <v/>
      </c>
      <c r="G776" s="17"/>
      <c r="H776" s="17"/>
      <c r="I776" s="17"/>
      <c r="J776" s="17" t="b">
        <v>0</v>
      </c>
    </row>
    <row r="777">
      <c r="A777" s="17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 t="str">
        <f>IFERROR(VLOOKUP(B777,'MASTER DATA'!$A$1:$E$212,4,FALSE),"")</f>
        <v/>
      </c>
      <c r="G777" s="17"/>
      <c r="H777" s="17"/>
      <c r="I777" s="17"/>
      <c r="J777" s="17" t="b">
        <v>0</v>
      </c>
    </row>
    <row r="778">
      <c r="A778" s="17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 t="str">
        <f>IFERROR(VLOOKUP(B778,'MASTER DATA'!$A$1:$E$212,4,FALSE),"")</f>
        <v/>
      </c>
      <c r="G778" s="17"/>
      <c r="H778" s="17"/>
      <c r="I778" s="17"/>
      <c r="J778" s="17" t="b">
        <v>0</v>
      </c>
    </row>
    <row r="779">
      <c r="A779" s="17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 t="str">
        <f>IFERROR(VLOOKUP(B779,'MASTER DATA'!$A$1:$E$212,4,FALSE),"")</f>
        <v/>
      </c>
      <c r="G779" s="17"/>
      <c r="H779" s="17"/>
      <c r="I779" s="17"/>
      <c r="J779" s="17" t="b">
        <v>0</v>
      </c>
    </row>
    <row r="780">
      <c r="A780" s="17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 t="str">
        <f>IFERROR(VLOOKUP(B780,'MASTER DATA'!$A$1:$E$212,4,FALSE),"")</f>
        <v/>
      </c>
      <c r="G780" s="17"/>
      <c r="H780" s="17"/>
      <c r="I780" s="17"/>
      <c r="J780" s="17" t="b">
        <v>0</v>
      </c>
    </row>
    <row r="781">
      <c r="A781" s="17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 t="str">
        <f>IFERROR(VLOOKUP(B781,'MASTER DATA'!$A$1:$E$212,4,FALSE),"")</f>
        <v/>
      </c>
      <c r="G781" s="17"/>
      <c r="H781" s="17"/>
      <c r="I781" s="17"/>
      <c r="J781" s="17" t="b">
        <v>0</v>
      </c>
    </row>
    <row r="782">
      <c r="A782" s="17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 t="str">
        <f>IFERROR(VLOOKUP(B782,'MASTER DATA'!$A$1:$E$212,4,FALSE),"")</f>
        <v/>
      </c>
      <c r="G782" s="17"/>
      <c r="H782" s="17"/>
      <c r="I782" s="17"/>
      <c r="J782" s="17" t="b">
        <v>0</v>
      </c>
    </row>
    <row r="783">
      <c r="A783" s="17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 t="str">
        <f>IFERROR(VLOOKUP(B783,'MASTER DATA'!$A$1:$E$212,4,FALSE),"")</f>
        <v/>
      </c>
      <c r="G783" s="17"/>
      <c r="H783" s="17"/>
      <c r="I783" s="17"/>
      <c r="J783" s="17" t="b">
        <v>0</v>
      </c>
    </row>
    <row r="784">
      <c r="A784" s="17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 t="str">
        <f>IFERROR(VLOOKUP(B784,'MASTER DATA'!$A$1:$E$212,4,FALSE),"")</f>
        <v/>
      </c>
      <c r="G784" s="17"/>
      <c r="H784" s="17"/>
      <c r="I784" s="17"/>
      <c r="J784" s="17" t="b">
        <v>0</v>
      </c>
    </row>
    <row r="785">
      <c r="A785" s="17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 t="str">
        <f>IFERROR(VLOOKUP(B785,'MASTER DATA'!$A$1:$E$212,4,FALSE),"")</f>
        <v/>
      </c>
      <c r="G785" s="17"/>
      <c r="H785" s="17"/>
      <c r="I785" s="17"/>
      <c r="J785" s="17" t="b">
        <v>0</v>
      </c>
    </row>
    <row r="786">
      <c r="A786" s="17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 t="str">
        <f>IFERROR(VLOOKUP(B786,'MASTER DATA'!$A$1:$E$212,4,FALSE),"")</f>
        <v/>
      </c>
      <c r="G786" s="17"/>
      <c r="H786" s="17"/>
      <c r="I786" s="17"/>
      <c r="J786" s="17" t="b">
        <v>0</v>
      </c>
    </row>
    <row r="787">
      <c r="A787" s="17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 t="str">
        <f>IFERROR(VLOOKUP(B787,'MASTER DATA'!$A$1:$E$212,4,FALSE),"")</f>
        <v/>
      </c>
      <c r="G787" s="17"/>
      <c r="H787" s="17"/>
      <c r="I787" s="17"/>
      <c r="J787" s="17" t="b">
        <v>0</v>
      </c>
    </row>
    <row r="788">
      <c r="A788" s="17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 t="str">
        <f>IFERROR(VLOOKUP(B788,'MASTER DATA'!$A$1:$E$212,4,FALSE),"")</f>
        <v/>
      </c>
      <c r="G788" s="17"/>
      <c r="H788" s="17"/>
      <c r="I788" s="17"/>
      <c r="J788" s="17" t="b">
        <v>0</v>
      </c>
    </row>
    <row r="789">
      <c r="A789" s="17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 t="str">
        <f>IFERROR(VLOOKUP(B789,'MASTER DATA'!$A$1:$E$212,4,FALSE),"")</f>
        <v/>
      </c>
      <c r="G789" s="17"/>
      <c r="H789" s="17"/>
      <c r="I789" s="17"/>
      <c r="J789" s="17" t="b">
        <v>0</v>
      </c>
    </row>
    <row r="790">
      <c r="A790" s="17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 t="str">
        <f>IFERROR(VLOOKUP(B790,'MASTER DATA'!$A$1:$E$212,4,FALSE),"")</f>
        <v/>
      </c>
      <c r="G790" s="17"/>
      <c r="H790" s="17"/>
      <c r="I790" s="17"/>
      <c r="J790" s="17" t="b">
        <v>0</v>
      </c>
    </row>
    <row r="791">
      <c r="A791" s="17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 t="str">
        <f>IFERROR(VLOOKUP(B791,'MASTER DATA'!$A$1:$E$212,4,FALSE),"")</f>
        <v/>
      </c>
      <c r="G791" s="17"/>
      <c r="H791" s="17"/>
      <c r="I791" s="17"/>
      <c r="J791" s="17" t="b">
        <v>0</v>
      </c>
    </row>
    <row r="792">
      <c r="A792" s="17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 t="str">
        <f>IFERROR(VLOOKUP(B792,'MASTER DATA'!$A$1:$E$212,4,FALSE),"")</f>
        <v/>
      </c>
      <c r="G792" s="17"/>
      <c r="H792" s="17"/>
      <c r="I792" s="17"/>
      <c r="J792" s="17" t="b">
        <v>0</v>
      </c>
    </row>
    <row r="793">
      <c r="A793" s="17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 t="str">
        <f>IFERROR(VLOOKUP(B793,'MASTER DATA'!$A$1:$E$212,4,FALSE),"")</f>
        <v/>
      </c>
      <c r="G793" s="17"/>
      <c r="H793" s="17"/>
      <c r="I793" s="17"/>
      <c r="J793" s="17" t="b">
        <v>0</v>
      </c>
    </row>
    <row r="794">
      <c r="A794" s="17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 t="str">
        <f>IFERROR(VLOOKUP(B794,'MASTER DATA'!$A$1:$E$212,4,FALSE),"")</f>
        <v/>
      </c>
      <c r="G794" s="17"/>
      <c r="H794" s="17"/>
      <c r="I794" s="17"/>
      <c r="J794" s="17" t="b">
        <v>0</v>
      </c>
    </row>
    <row r="795">
      <c r="A795" s="17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 t="str">
        <f>IFERROR(VLOOKUP(B795,'MASTER DATA'!$A$1:$E$212,4,FALSE),"")</f>
        <v/>
      </c>
      <c r="G795" s="17"/>
      <c r="H795" s="17"/>
      <c r="I795" s="17"/>
      <c r="J795" s="17" t="b">
        <v>0</v>
      </c>
    </row>
    <row r="796">
      <c r="A796" s="17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 t="str">
        <f>IFERROR(VLOOKUP(B796,'MASTER DATA'!$A$1:$E$212,4,FALSE),"")</f>
        <v/>
      </c>
      <c r="G796" s="17"/>
      <c r="H796" s="17"/>
      <c r="I796" s="17"/>
      <c r="J796" s="17" t="b">
        <v>0</v>
      </c>
    </row>
    <row r="797">
      <c r="A797" s="17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 t="str">
        <f>IFERROR(VLOOKUP(B797,'MASTER DATA'!$A$1:$E$212,4,FALSE),"")</f>
        <v/>
      </c>
      <c r="G797" s="17"/>
      <c r="H797" s="17"/>
      <c r="I797" s="17"/>
      <c r="J797" s="17" t="b">
        <v>0</v>
      </c>
    </row>
    <row r="798">
      <c r="A798" s="17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 t="str">
        <f>IFERROR(VLOOKUP(B798,'MASTER DATA'!$A$1:$E$212,4,FALSE),"")</f>
        <v/>
      </c>
      <c r="G798" s="17"/>
      <c r="H798" s="17"/>
      <c r="I798" s="17"/>
      <c r="J798" s="17" t="b">
        <v>0</v>
      </c>
    </row>
    <row r="799">
      <c r="A799" s="17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 t="str">
        <f>IFERROR(VLOOKUP(B799,'MASTER DATA'!$A$1:$E$212,4,FALSE),"")</f>
        <v/>
      </c>
      <c r="G799" s="17"/>
      <c r="H799" s="17"/>
      <c r="I799" s="17"/>
      <c r="J799" s="17" t="b">
        <v>0</v>
      </c>
    </row>
    <row r="800">
      <c r="A800" s="17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 t="str">
        <f>IFERROR(VLOOKUP(B800,'MASTER DATA'!$A$1:$E$212,4,FALSE),"")</f>
        <v/>
      </c>
      <c r="G800" s="17"/>
      <c r="H800" s="17"/>
      <c r="I800" s="17"/>
      <c r="J800" s="17" t="b">
        <v>0</v>
      </c>
    </row>
    <row r="801">
      <c r="A801" s="17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 t="str">
        <f>IFERROR(VLOOKUP(B801,'MASTER DATA'!$A$1:$E$212,4,FALSE),"")</f>
        <v/>
      </c>
      <c r="G801" s="17"/>
      <c r="H801" s="17"/>
      <c r="I801" s="17"/>
      <c r="J801" s="17" t="b">
        <v>0</v>
      </c>
    </row>
    <row r="802">
      <c r="A802" s="17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 t="str">
        <f>IFERROR(VLOOKUP(B802,'MASTER DATA'!$A$1:$E$212,4,FALSE),"")</f>
        <v/>
      </c>
      <c r="G802" s="17"/>
      <c r="H802" s="17"/>
      <c r="I802" s="17"/>
      <c r="J802" s="17" t="b">
        <v>0</v>
      </c>
    </row>
    <row r="803">
      <c r="A803" s="17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 t="str">
        <f>IFERROR(VLOOKUP(B803,'MASTER DATA'!$A$1:$E$212,4,FALSE),"")</f>
        <v/>
      </c>
      <c r="G803" s="17"/>
      <c r="H803" s="17"/>
      <c r="I803" s="17"/>
      <c r="J803" s="17" t="b">
        <v>0</v>
      </c>
    </row>
    <row r="804">
      <c r="A804" s="17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 t="str">
        <f>IFERROR(VLOOKUP(B804,'MASTER DATA'!$A$1:$E$212,4,FALSE),"")</f>
        <v/>
      </c>
      <c r="G804" s="17"/>
      <c r="H804" s="17"/>
      <c r="I804" s="17"/>
      <c r="J804" s="17" t="b">
        <v>0</v>
      </c>
    </row>
    <row r="805">
      <c r="A805" s="17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 t="str">
        <f>IFERROR(VLOOKUP(B805,'MASTER DATA'!$A$1:$E$212,4,FALSE),"")</f>
        <v/>
      </c>
      <c r="G805" s="17"/>
      <c r="H805" s="17"/>
      <c r="I805" s="17"/>
      <c r="J805" s="17" t="b">
        <v>0</v>
      </c>
    </row>
    <row r="806">
      <c r="A806" s="17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 t="str">
        <f>IFERROR(VLOOKUP(B806,'MASTER DATA'!$A$1:$E$212,4,FALSE),"")</f>
        <v/>
      </c>
      <c r="G806" s="17"/>
      <c r="H806" s="17"/>
      <c r="I806" s="17"/>
      <c r="J806" s="17" t="b">
        <v>0</v>
      </c>
    </row>
    <row r="807">
      <c r="A807" s="17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 t="str">
        <f>IFERROR(VLOOKUP(B807,'MASTER DATA'!$A$1:$E$212,4,FALSE),"")</f>
        <v/>
      </c>
      <c r="G807" s="17"/>
      <c r="H807" s="17"/>
      <c r="I807" s="17"/>
      <c r="J807" s="17" t="b">
        <v>0</v>
      </c>
    </row>
    <row r="808">
      <c r="A808" s="17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 t="str">
        <f>IFERROR(VLOOKUP(B808,'MASTER DATA'!$A$1:$E$212,4,FALSE),"")</f>
        <v/>
      </c>
      <c r="G808" s="17"/>
      <c r="H808" s="17"/>
      <c r="I808" s="17"/>
      <c r="J808" s="17" t="b">
        <v>0</v>
      </c>
    </row>
    <row r="809">
      <c r="A809" s="17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 t="str">
        <f>IFERROR(VLOOKUP(B809,'MASTER DATA'!$A$1:$E$212,4,FALSE),"")</f>
        <v/>
      </c>
      <c r="G809" s="17"/>
      <c r="H809" s="17"/>
      <c r="I809" s="17"/>
      <c r="J809" s="17" t="b">
        <v>0</v>
      </c>
    </row>
    <row r="810">
      <c r="A810" s="17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 t="str">
        <f>IFERROR(VLOOKUP(B810,'MASTER DATA'!$A$1:$E$212,4,FALSE),"")</f>
        <v/>
      </c>
      <c r="G810" s="17"/>
      <c r="H810" s="17"/>
      <c r="I810" s="17"/>
      <c r="J810" s="17" t="b">
        <v>0</v>
      </c>
    </row>
    <row r="811">
      <c r="A811" s="17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 t="str">
        <f>IFERROR(VLOOKUP(B811,'MASTER DATA'!$A$1:$E$212,4,FALSE),"")</f>
        <v/>
      </c>
      <c r="G811" s="17"/>
      <c r="H811" s="17"/>
      <c r="I811" s="17"/>
      <c r="J811" s="17" t="b">
        <v>0</v>
      </c>
    </row>
    <row r="812">
      <c r="A812" s="17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 t="str">
        <f>IFERROR(VLOOKUP(B812,'MASTER DATA'!$A$1:$E$212,4,FALSE),"")</f>
        <v/>
      </c>
      <c r="G812" s="17"/>
      <c r="H812" s="17"/>
      <c r="I812" s="17"/>
      <c r="J812" s="17" t="b">
        <v>0</v>
      </c>
    </row>
    <row r="813">
      <c r="A813" s="17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 t="str">
        <f>IFERROR(VLOOKUP(B813,'MASTER DATA'!$A$1:$E$212,4,FALSE),"")</f>
        <v/>
      </c>
      <c r="G813" s="17"/>
      <c r="H813" s="17"/>
      <c r="I813" s="17"/>
      <c r="J813" s="17" t="b">
        <v>0</v>
      </c>
    </row>
    <row r="814">
      <c r="A814" s="17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 t="str">
        <f>IFERROR(VLOOKUP(B814,'MASTER DATA'!$A$1:$E$212,4,FALSE),"")</f>
        <v/>
      </c>
      <c r="G814" s="17"/>
      <c r="H814" s="17"/>
      <c r="I814" s="17"/>
      <c r="J814" s="17" t="b">
        <v>0</v>
      </c>
    </row>
    <row r="815">
      <c r="A815" s="17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 t="str">
        <f>IFERROR(VLOOKUP(B815,'MASTER DATA'!$A$1:$E$212,4,FALSE),"")</f>
        <v/>
      </c>
      <c r="G815" s="17"/>
      <c r="H815" s="17"/>
      <c r="I815" s="17"/>
      <c r="J815" s="17" t="b">
        <v>0</v>
      </c>
    </row>
    <row r="816">
      <c r="A816" s="17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 t="str">
        <f>IFERROR(VLOOKUP(B816,'MASTER DATA'!$A$1:$E$212,4,FALSE),"")</f>
        <v/>
      </c>
      <c r="G816" s="17"/>
      <c r="H816" s="17"/>
      <c r="I816" s="17"/>
      <c r="J816" s="17" t="b">
        <v>0</v>
      </c>
    </row>
    <row r="817">
      <c r="A817" s="17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 t="str">
        <f>IFERROR(VLOOKUP(B817,'MASTER DATA'!$A$1:$E$212,4,FALSE),"")</f>
        <v/>
      </c>
      <c r="G817" s="17"/>
      <c r="H817" s="17"/>
      <c r="I817" s="17"/>
      <c r="J817" s="17" t="b">
        <v>0</v>
      </c>
    </row>
    <row r="818">
      <c r="A818" s="17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 t="str">
        <f>IFERROR(VLOOKUP(B818,'MASTER DATA'!$A$1:$E$212,4,FALSE),"")</f>
        <v/>
      </c>
      <c r="G818" s="17"/>
      <c r="H818" s="17"/>
      <c r="I818" s="17"/>
      <c r="J818" s="17" t="b">
        <v>0</v>
      </c>
    </row>
    <row r="819">
      <c r="A819" s="17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 t="str">
        <f>IFERROR(VLOOKUP(B819,'MASTER DATA'!$A$1:$E$212,4,FALSE),"")</f>
        <v/>
      </c>
      <c r="G819" s="17"/>
      <c r="H819" s="17"/>
      <c r="I819" s="17"/>
      <c r="J819" s="17" t="b">
        <v>0</v>
      </c>
    </row>
    <row r="820">
      <c r="A820" s="17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 t="str">
        <f>IFERROR(VLOOKUP(B820,'MASTER DATA'!$A$1:$E$212,4,FALSE),"")</f>
        <v/>
      </c>
      <c r="G820" s="17"/>
      <c r="H820" s="17"/>
      <c r="I820" s="17"/>
      <c r="J820" s="17" t="b">
        <v>0</v>
      </c>
    </row>
    <row r="821">
      <c r="A821" s="17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 t="str">
        <f>IFERROR(VLOOKUP(B821,'MASTER DATA'!$A$1:$E$212,4,FALSE),"")</f>
        <v/>
      </c>
      <c r="G821" s="17"/>
      <c r="H821" s="17"/>
      <c r="I821" s="17"/>
      <c r="J821" s="17" t="b">
        <v>0</v>
      </c>
    </row>
    <row r="822">
      <c r="A822" s="17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 t="str">
        <f>IFERROR(VLOOKUP(B822,'MASTER DATA'!$A$1:$E$212,4,FALSE),"")</f>
        <v/>
      </c>
      <c r="G822" s="17"/>
      <c r="H822" s="17"/>
      <c r="I822" s="17"/>
      <c r="J822" s="17" t="b">
        <v>0</v>
      </c>
    </row>
    <row r="823">
      <c r="A823" s="17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 t="str">
        <f>IFERROR(VLOOKUP(B823,'MASTER DATA'!$A$1:$E$212,4,FALSE),"")</f>
        <v/>
      </c>
      <c r="G823" s="17"/>
      <c r="H823" s="17"/>
      <c r="I823" s="17"/>
      <c r="J823" s="17" t="b">
        <v>0</v>
      </c>
    </row>
    <row r="824">
      <c r="A824" s="17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 t="str">
        <f>IFERROR(VLOOKUP(B824,'MASTER DATA'!$A$1:$E$212,4,FALSE),"")</f>
        <v/>
      </c>
      <c r="G824" s="17"/>
      <c r="H824" s="17"/>
      <c r="I824" s="17"/>
      <c r="J824" s="17" t="b">
        <v>0</v>
      </c>
    </row>
    <row r="825">
      <c r="A825" s="17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 t="str">
        <f>IFERROR(VLOOKUP(B825,'MASTER DATA'!$A$1:$E$212,4,FALSE),"")</f>
        <v/>
      </c>
      <c r="G825" s="17"/>
      <c r="H825" s="17"/>
      <c r="I825" s="17"/>
      <c r="J825" s="17" t="b">
        <v>0</v>
      </c>
    </row>
    <row r="826">
      <c r="A826" s="17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 t="str">
        <f>IFERROR(VLOOKUP(B826,'MASTER DATA'!$A$1:$E$212,4,FALSE),"")</f>
        <v/>
      </c>
      <c r="G826" s="17"/>
      <c r="H826" s="17"/>
      <c r="I826" s="17"/>
      <c r="J826" s="17" t="b">
        <v>0</v>
      </c>
    </row>
    <row r="827">
      <c r="A827" s="17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 t="str">
        <f>IFERROR(VLOOKUP(B827,'MASTER DATA'!$A$1:$E$212,4,FALSE),"")</f>
        <v/>
      </c>
      <c r="G827" s="17"/>
      <c r="H827" s="17"/>
      <c r="I827" s="17"/>
      <c r="J827" s="17" t="b">
        <v>0</v>
      </c>
    </row>
    <row r="828">
      <c r="A828" s="17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 t="str">
        <f>IFERROR(VLOOKUP(B828,'MASTER DATA'!$A$1:$E$212,4,FALSE),"")</f>
        <v/>
      </c>
      <c r="G828" s="17"/>
      <c r="H828" s="17"/>
      <c r="I828" s="17"/>
      <c r="J828" s="17" t="b">
        <v>0</v>
      </c>
    </row>
    <row r="829">
      <c r="A829" s="17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 t="str">
        <f>IFERROR(VLOOKUP(B829,'MASTER DATA'!$A$1:$E$212,4,FALSE),"")</f>
        <v/>
      </c>
      <c r="G829" s="17"/>
      <c r="H829" s="17"/>
      <c r="I829" s="17"/>
      <c r="J829" s="17" t="b">
        <v>0</v>
      </c>
    </row>
    <row r="830">
      <c r="A830" s="17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 t="str">
        <f>IFERROR(VLOOKUP(B830,'MASTER DATA'!$A$1:$E$212,4,FALSE),"")</f>
        <v/>
      </c>
      <c r="G830" s="17"/>
      <c r="H830" s="17"/>
      <c r="I830" s="17"/>
      <c r="J830" s="17" t="b">
        <v>0</v>
      </c>
    </row>
    <row r="831">
      <c r="A831" s="17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 t="str">
        <f>IFERROR(VLOOKUP(B831,'MASTER DATA'!$A$1:$E$212,4,FALSE),"")</f>
        <v/>
      </c>
      <c r="G831" s="17"/>
      <c r="H831" s="17"/>
      <c r="I831" s="17"/>
      <c r="J831" s="17" t="b">
        <v>0</v>
      </c>
    </row>
    <row r="832">
      <c r="A832" s="17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 t="str">
        <f>IFERROR(VLOOKUP(B832,'MASTER DATA'!$A$1:$E$212,4,FALSE),"")</f>
        <v/>
      </c>
      <c r="G832" s="17"/>
      <c r="H832" s="17"/>
      <c r="I832" s="17"/>
      <c r="J832" s="17" t="b">
        <v>0</v>
      </c>
    </row>
    <row r="833">
      <c r="A833" s="17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 t="str">
        <f>IFERROR(VLOOKUP(B833,'MASTER DATA'!$A$1:$E$212,4,FALSE),"")</f>
        <v/>
      </c>
      <c r="G833" s="17"/>
      <c r="H833" s="17"/>
      <c r="I833" s="17"/>
      <c r="J833" s="17" t="b">
        <v>0</v>
      </c>
    </row>
    <row r="834">
      <c r="A834" s="17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 t="str">
        <f>IFERROR(VLOOKUP(B834,'MASTER DATA'!$A$1:$E$212,4,FALSE),"")</f>
        <v/>
      </c>
      <c r="G834" s="17"/>
      <c r="H834" s="17"/>
      <c r="I834" s="17"/>
      <c r="J834" s="17" t="b">
        <v>0</v>
      </c>
    </row>
    <row r="835">
      <c r="A835" s="17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 t="str">
        <f>IFERROR(VLOOKUP(B835,'MASTER DATA'!$A$1:$E$212,4,FALSE),"")</f>
        <v/>
      </c>
      <c r="G835" s="17"/>
      <c r="H835" s="17"/>
      <c r="I835" s="17"/>
      <c r="J835" s="17" t="b">
        <v>0</v>
      </c>
    </row>
    <row r="836">
      <c r="A836" s="17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 t="str">
        <f>IFERROR(VLOOKUP(B836,'MASTER DATA'!$A$1:$E$212,4,FALSE),"")</f>
        <v/>
      </c>
      <c r="G836" s="17"/>
      <c r="H836" s="17"/>
      <c r="I836" s="17"/>
      <c r="J836" s="17" t="b">
        <v>0</v>
      </c>
    </row>
    <row r="837">
      <c r="A837" s="17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 t="str">
        <f>IFERROR(VLOOKUP(B837,'MASTER DATA'!$A$1:$E$212,4,FALSE),"")</f>
        <v/>
      </c>
      <c r="G837" s="17"/>
      <c r="H837" s="17"/>
      <c r="I837" s="17"/>
      <c r="J837" s="17" t="b">
        <v>0</v>
      </c>
    </row>
    <row r="838">
      <c r="A838" s="17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 t="str">
        <f>IFERROR(VLOOKUP(B838,'MASTER DATA'!$A$1:$E$212,4,FALSE),"")</f>
        <v/>
      </c>
      <c r="G838" s="17"/>
      <c r="H838" s="17"/>
      <c r="I838" s="17"/>
      <c r="J838" s="17" t="b">
        <v>0</v>
      </c>
    </row>
    <row r="839">
      <c r="A839" s="17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 t="str">
        <f>IFERROR(VLOOKUP(B839,'MASTER DATA'!$A$1:$E$212,4,FALSE),"")</f>
        <v/>
      </c>
      <c r="G839" s="17"/>
      <c r="H839" s="17"/>
      <c r="I839" s="17"/>
      <c r="J839" s="17" t="b">
        <v>0</v>
      </c>
    </row>
    <row r="840">
      <c r="A840" s="17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 t="str">
        <f>IFERROR(VLOOKUP(B840,'MASTER DATA'!$A$1:$E$212,4,FALSE),"")</f>
        <v/>
      </c>
      <c r="G840" s="17"/>
      <c r="H840" s="17"/>
      <c r="I840" s="17"/>
      <c r="J840" s="17" t="b">
        <v>0</v>
      </c>
    </row>
    <row r="841">
      <c r="A841" s="17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 t="str">
        <f>IFERROR(VLOOKUP(B841,'MASTER DATA'!$A$1:$E$212,4,FALSE),"")</f>
        <v/>
      </c>
      <c r="G841" s="17"/>
      <c r="H841" s="17"/>
      <c r="I841" s="17"/>
      <c r="J841" s="17" t="b">
        <v>0</v>
      </c>
    </row>
    <row r="842">
      <c r="A842" s="17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 t="str">
        <f>IFERROR(VLOOKUP(B842,'MASTER DATA'!$A$1:$E$212,4,FALSE),"")</f>
        <v/>
      </c>
      <c r="G842" s="17"/>
      <c r="H842" s="17"/>
      <c r="I842" s="17"/>
      <c r="J842" s="17" t="b">
        <v>0</v>
      </c>
    </row>
    <row r="843">
      <c r="A843" s="17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 t="str">
        <f>IFERROR(VLOOKUP(B843,'MASTER DATA'!$A$1:$E$212,4,FALSE),"")</f>
        <v/>
      </c>
      <c r="G843" s="17"/>
      <c r="H843" s="17"/>
      <c r="I843" s="17"/>
      <c r="J843" s="17" t="b">
        <v>0</v>
      </c>
    </row>
    <row r="844">
      <c r="A844" s="17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 t="str">
        <f>IFERROR(VLOOKUP(B844,'MASTER DATA'!$A$1:$E$212,4,FALSE),"")</f>
        <v/>
      </c>
      <c r="G844" s="17"/>
      <c r="H844" s="17"/>
      <c r="I844" s="17"/>
      <c r="J844" s="17" t="b">
        <v>0</v>
      </c>
    </row>
    <row r="845">
      <c r="A845" s="17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 t="str">
        <f>IFERROR(VLOOKUP(B845,'MASTER DATA'!$A$1:$E$212,4,FALSE),"")</f>
        <v/>
      </c>
      <c r="G845" s="17"/>
      <c r="H845" s="17"/>
      <c r="I845" s="17"/>
      <c r="J845" s="17" t="b">
        <v>0</v>
      </c>
    </row>
    <row r="846">
      <c r="A846" s="17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 t="str">
        <f>IFERROR(VLOOKUP(B846,'MASTER DATA'!$A$1:$E$212,4,FALSE),"")</f>
        <v/>
      </c>
      <c r="G846" s="17"/>
      <c r="H846" s="17"/>
      <c r="I846" s="17"/>
      <c r="J846" s="17" t="b">
        <v>0</v>
      </c>
    </row>
    <row r="847">
      <c r="A847" s="17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 t="str">
        <f>IFERROR(VLOOKUP(B847,'MASTER DATA'!$A$1:$E$212,4,FALSE),"")</f>
        <v/>
      </c>
      <c r="G847" s="17"/>
      <c r="H847" s="17"/>
      <c r="I847" s="17"/>
      <c r="J847" s="17" t="b">
        <v>0</v>
      </c>
    </row>
    <row r="848">
      <c r="A848" s="17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 t="str">
        <f>IFERROR(VLOOKUP(B848,'MASTER DATA'!$A$1:$E$212,4,FALSE),"")</f>
        <v/>
      </c>
      <c r="G848" s="17"/>
      <c r="H848" s="17"/>
      <c r="I848" s="17"/>
      <c r="J848" s="17" t="b">
        <v>0</v>
      </c>
    </row>
    <row r="849">
      <c r="A849" s="17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 t="str">
        <f>IFERROR(VLOOKUP(B849,'MASTER DATA'!$A$1:$E$212,4,FALSE),"")</f>
        <v/>
      </c>
      <c r="G849" s="17"/>
      <c r="H849" s="17"/>
      <c r="I849" s="17"/>
      <c r="J849" s="17" t="b">
        <v>0</v>
      </c>
    </row>
    <row r="850">
      <c r="A850" s="17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 t="str">
        <f>IFERROR(VLOOKUP(B850,'MASTER DATA'!$A$1:$E$212,4,FALSE),"")</f>
        <v/>
      </c>
      <c r="G850" s="17"/>
      <c r="H850" s="17"/>
      <c r="I850" s="17"/>
      <c r="J850" s="17" t="b">
        <v>0</v>
      </c>
    </row>
    <row r="851">
      <c r="A851" s="17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 t="str">
        <f>IFERROR(VLOOKUP(B851,'MASTER DATA'!$A$1:$E$212,4,FALSE),"")</f>
        <v/>
      </c>
      <c r="G851" s="17"/>
      <c r="H851" s="17"/>
      <c r="I851" s="17"/>
      <c r="J851" s="17" t="b">
        <v>0</v>
      </c>
    </row>
    <row r="852">
      <c r="A852" s="17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 t="str">
        <f>IFERROR(VLOOKUP(B852,'MASTER DATA'!$A$1:$E$212,4,FALSE),"")</f>
        <v/>
      </c>
      <c r="G852" s="17"/>
      <c r="H852" s="17"/>
      <c r="I852" s="17"/>
      <c r="J852" s="17" t="b">
        <v>0</v>
      </c>
    </row>
    <row r="853">
      <c r="A853" s="17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 t="str">
        <f>IFERROR(VLOOKUP(B853,'MASTER DATA'!$A$1:$E$212,4,FALSE),"")</f>
        <v/>
      </c>
      <c r="G853" s="17"/>
      <c r="H853" s="17"/>
      <c r="I853" s="17"/>
      <c r="J853" s="17" t="b">
        <v>0</v>
      </c>
    </row>
    <row r="854">
      <c r="A854" s="17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 t="str">
        <f>IFERROR(VLOOKUP(B854,'MASTER DATA'!$A$1:$E$212,4,FALSE),"")</f>
        <v/>
      </c>
      <c r="G854" s="17"/>
      <c r="H854" s="17"/>
      <c r="I854" s="17"/>
      <c r="J854" s="17" t="b">
        <v>0</v>
      </c>
    </row>
    <row r="855">
      <c r="A855" s="17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 t="str">
        <f>IFERROR(VLOOKUP(B855,'MASTER DATA'!$A$1:$E$212,4,FALSE),"")</f>
        <v/>
      </c>
      <c r="G855" s="17"/>
      <c r="H855" s="17"/>
      <c r="I855" s="17"/>
      <c r="J855" s="17" t="b">
        <v>0</v>
      </c>
    </row>
    <row r="856">
      <c r="A856" s="17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 t="str">
        <f>IFERROR(VLOOKUP(B856,'MASTER DATA'!$A$1:$E$212,4,FALSE),"")</f>
        <v/>
      </c>
      <c r="G856" s="17"/>
      <c r="H856" s="17"/>
      <c r="I856" s="17"/>
      <c r="J856" s="17" t="b">
        <v>0</v>
      </c>
    </row>
    <row r="857">
      <c r="A857" s="17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 t="str">
        <f>IFERROR(VLOOKUP(B857,'MASTER DATA'!$A$1:$E$212,4,FALSE),"")</f>
        <v/>
      </c>
      <c r="G857" s="17"/>
      <c r="H857" s="17"/>
      <c r="I857" s="17"/>
      <c r="J857" s="17" t="b">
        <v>0</v>
      </c>
    </row>
    <row r="858">
      <c r="A858" s="17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 t="str">
        <f>IFERROR(VLOOKUP(B858,'MASTER DATA'!$A$1:$E$212,4,FALSE),"")</f>
        <v/>
      </c>
      <c r="G858" s="17"/>
      <c r="H858" s="17"/>
      <c r="I858" s="17"/>
      <c r="J858" s="17" t="b">
        <v>0</v>
      </c>
    </row>
    <row r="859">
      <c r="A859" s="17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 t="str">
        <f>IFERROR(VLOOKUP(B859,'MASTER DATA'!$A$1:$E$212,4,FALSE),"")</f>
        <v/>
      </c>
      <c r="G859" s="17"/>
      <c r="H859" s="17"/>
      <c r="I859" s="17"/>
      <c r="J859" s="17" t="b">
        <v>0</v>
      </c>
    </row>
    <row r="860">
      <c r="A860" s="17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 t="str">
        <f>IFERROR(VLOOKUP(B860,'MASTER DATA'!$A$1:$E$212,4,FALSE),"")</f>
        <v/>
      </c>
      <c r="G860" s="17"/>
      <c r="H860" s="17"/>
      <c r="I860" s="17"/>
      <c r="J860" s="17" t="b">
        <v>0</v>
      </c>
    </row>
    <row r="861">
      <c r="A861" s="17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 t="str">
        <f>IFERROR(VLOOKUP(B861,'MASTER DATA'!$A$1:$E$212,4,FALSE),"")</f>
        <v/>
      </c>
      <c r="G861" s="17"/>
      <c r="H861" s="17"/>
      <c r="I861" s="17"/>
      <c r="J861" s="17" t="b">
        <v>0</v>
      </c>
    </row>
    <row r="862">
      <c r="A862" s="17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 t="str">
        <f>IFERROR(VLOOKUP(B862,'MASTER DATA'!$A$1:$E$212,4,FALSE),"")</f>
        <v/>
      </c>
      <c r="G862" s="17"/>
      <c r="H862" s="17"/>
      <c r="I862" s="17"/>
      <c r="J862" s="17" t="b">
        <v>0</v>
      </c>
    </row>
    <row r="863">
      <c r="A863" s="17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 t="str">
        <f>IFERROR(VLOOKUP(B863,'MASTER DATA'!$A$1:$E$212,4,FALSE),"")</f>
        <v/>
      </c>
      <c r="G863" s="17"/>
      <c r="H863" s="17"/>
      <c r="I863" s="17"/>
      <c r="J863" s="17" t="b">
        <v>0</v>
      </c>
    </row>
    <row r="864">
      <c r="A864" s="17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 t="str">
        <f>IFERROR(VLOOKUP(B864,'MASTER DATA'!$A$1:$E$212,4,FALSE),"")</f>
        <v/>
      </c>
      <c r="G864" s="17"/>
      <c r="H864" s="17"/>
      <c r="I864" s="17"/>
      <c r="J864" s="17" t="b">
        <v>0</v>
      </c>
    </row>
    <row r="865">
      <c r="A865" s="17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 t="str">
        <f>IFERROR(VLOOKUP(B865,'MASTER DATA'!$A$1:$E$212,4,FALSE),"")</f>
        <v/>
      </c>
      <c r="G865" s="17"/>
      <c r="H865" s="17"/>
      <c r="I865" s="17"/>
      <c r="J865" s="17" t="b">
        <v>0</v>
      </c>
    </row>
    <row r="866">
      <c r="A866" s="17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 t="str">
        <f>IFERROR(VLOOKUP(B866,'MASTER DATA'!$A$1:$E$212,4,FALSE),"")</f>
        <v/>
      </c>
      <c r="G866" s="17"/>
      <c r="H866" s="17"/>
      <c r="I866" s="17"/>
      <c r="J866" s="17" t="b">
        <v>0</v>
      </c>
    </row>
    <row r="867">
      <c r="A867" s="17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 t="str">
        <f>IFERROR(VLOOKUP(B867,'MASTER DATA'!$A$1:$E$212,4,FALSE),"")</f>
        <v/>
      </c>
      <c r="G867" s="17"/>
      <c r="H867" s="17"/>
      <c r="I867" s="17"/>
      <c r="J867" s="17" t="b">
        <v>0</v>
      </c>
    </row>
    <row r="868">
      <c r="A868" s="17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 t="str">
        <f>IFERROR(VLOOKUP(B868,'MASTER DATA'!$A$1:$E$212,4,FALSE),"")</f>
        <v/>
      </c>
      <c r="G868" s="17"/>
      <c r="H868" s="17"/>
      <c r="I868" s="17"/>
      <c r="J868" s="17" t="b">
        <v>0</v>
      </c>
    </row>
    <row r="869">
      <c r="A869" s="17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 t="str">
        <f>IFERROR(VLOOKUP(B869,'MASTER DATA'!$A$1:$E$212,4,FALSE),"")</f>
        <v/>
      </c>
      <c r="G869" s="17"/>
      <c r="H869" s="17"/>
      <c r="I869" s="17"/>
      <c r="J869" s="17" t="b">
        <v>0</v>
      </c>
    </row>
    <row r="870">
      <c r="A870" s="17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 t="str">
        <f>IFERROR(VLOOKUP(B870,'MASTER DATA'!$A$1:$E$212,4,FALSE),"")</f>
        <v/>
      </c>
      <c r="G870" s="17"/>
      <c r="H870" s="17"/>
      <c r="I870" s="17"/>
      <c r="J870" s="17" t="b">
        <v>0</v>
      </c>
    </row>
    <row r="871">
      <c r="A871" s="17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 t="str">
        <f>IFERROR(VLOOKUP(B871,'MASTER DATA'!$A$1:$E$212,4,FALSE),"")</f>
        <v/>
      </c>
      <c r="G871" s="17"/>
      <c r="H871" s="17"/>
      <c r="I871" s="17"/>
      <c r="J871" s="17" t="b">
        <v>0</v>
      </c>
    </row>
    <row r="872">
      <c r="A872" s="17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 t="str">
        <f>IFERROR(VLOOKUP(B872,'MASTER DATA'!$A$1:$E$212,4,FALSE),"")</f>
        <v/>
      </c>
      <c r="G872" s="17"/>
      <c r="H872" s="17"/>
      <c r="I872" s="17"/>
      <c r="J872" s="17" t="b">
        <v>0</v>
      </c>
    </row>
    <row r="873">
      <c r="A873" s="17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 t="str">
        <f>IFERROR(VLOOKUP(B873,'MASTER DATA'!$A$1:$E$212,4,FALSE),"")</f>
        <v/>
      </c>
      <c r="G873" s="17"/>
      <c r="H873" s="17"/>
      <c r="I873" s="17"/>
      <c r="J873" s="17" t="b">
        <v>0</v>
      </c>
    </row>
    <row r="874">
      <c r="A874" s="17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 t="str">
        <f>IFERROR(VLOOKUP(B874,'MASTER DATA'!$A$1:$E$212,4,FALSE),"")</f>
        <v/>
      </c>
      <c r="G874" s="17"/>
      <c r="H874" s="17"/>
      <c r="I874" s="17"/>
      <c r="J874" s="17" t="b">
        <v>0</v>
      </c>
    </row>
    <row r="875">
      <c r="A875" s="17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 t="str">
        <f>IFERROR(VLOOKUP(B875,'MASTER DATA'!$A$1:$E$212,4,FALSE),"")</f>
        <v/>
      </c>
      <c r="G875" s="17"/>
      <c r="H875" s="17"/>
      <c r="I875" s="17"/>
      <c r="J875" s="17" t="b">
        <v>0</v>
      </c>
    </row>
    <row r="876">
      <c r="A876" s="17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 t="str">
        <f>IFERROR(VLOOKUP(B876,'MASTER DATA'!$A$1:$E$212,4,FALSE),"")</f>
        <v/>
      </c>
      <c r="G876" s="17"/>
      <c r="H876" s="17"/>
      <c r="I876" s="17"/>
      <c r="J876" s="17" t="b">
        <v>0</v>
      </c>
    </row>
    <row r="877">
      <c r="A877" s="17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 t="str">
        <f>IFERROR(VLOOKUP(B877,'MASTER DATA'!$A$1:$E$212,4,FALSE),"")</f>
        <v/>
      </c>
      <c r="G877" s="17"/>
      <c r="H877" s="17"/>
      <c r="I877" s="17"/>
      <c r="J877" s="17" t="b">
        <v>0</v>
      </c>
    </row>
    <row r="878">
      <c r="A878" s="17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 t="str">
        <f>IFERROR(VLOOKUP(B878,'MASTER DATA'!$A$1:$E$212,4,FALSE),"")</f>
        <v/>
      </c>
      <c r="G878" s="17"/>
      <c r="H878" s="17"/>
      <c r="I878" s="17"/>
      <c r="J878" s="17" t="b">
        <v>0</v>
      </c>
    </row>
    <row r="879">
      <c r="A879" s="17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 t="str">
        <f>IFERROR(VLOOKUP(B879,'MASTER DATA'!$A$1:$E$212,4,FALSE),"")</f>
        <v/>
      </c>
      <c r="G879" s="17"/>
      <c r="H879" s="17"/>
      <c r="I879" s="17"/>
      <c r="J879" s="17" t="b">
        <v>0</v>
      </c>
    </row>
    <row r="880">
      <c r="A880" s="17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 t="str">
        <f>IFERROR(VLOOKUP(B880,'MASTER DATA'!$A$1:$E$212,4,FALSE),"")</f>
        <v/>
      </c>
      <c r="G880" s="17"/>
      <c r="H880" s="17"/>
      <c r="I880" s="17"/>
      <c r="J880" s="17" t="b">
        <v>0</v>
      </c>
    </row>
    <row r="881">
      <c r="A881" s="17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 t="str">
        <f>IFERROR(VLOOKUP(B881,'MASTER DATA'!$A$1:$E$212,4,FALSE),"")</f>
        <v/>
      </c>
      <c r="G881" s="17"/>
      <c r="H881" s="17"/>
      <c r="I881" s="17"/>
      <c r="J881" s="17" t="b">
        <v>0</v>
      </c>
    </row>
    <row r="882">
      <c r="A882" s="17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 t="str">
        <f>IFERROR(VLOOKUP(B882,'MASTER DATA'!$A$1:$E$212,4,FALSE),"")</f>
        <v/>
      </c>
      <c r="G882" s="17"/>
      <c r="H882" s="17"/>
      <c r="I882" s="17"/>
      <c r="J882" s="17" t="b">
        <v>0</v>
      </c>
    </row>
    <row r="883">
      <c r="A883" s="17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 t="str">
        <f>IFERROR(VLOOKUP(B883,'MASTER DATA'!$A$1:$E$212,4,FALSE),"")</f>
        <v/>
      </c>
      <c r="G883" s="17"/>
      <c r="H883" s="17"/>
      <c r="I883" s="17"/>
      <c r="J883" s="17" t="b">
        <v>0</v>
      </c>
    </row>
    <row r="884">
      <c r="A884" s="17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 t="str">
        <f>IFERROR(VLOOKUP(B884,'MASTER DATA'!$A$1:$E$212,4,FALSE),"")</f>
        <v/>
      </c>
      <c r="G884" s="17"/>
      <c r="H884" s="17"/>
      <c r="I884" s="17"/>
      <c r="J884" s="17" t="b">
        <v>0</v>
      </c>
    </row>
    <row r="885">
      <c r="A885" s="17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 t="str">
        <f>IFERROR(VLOOKUP(B885,'MASTER DATA'!$A$1:$E$212,4,FALSE),"")</f>
        <v/>
      </c>
      <c r="G885" s="17"/>
      <c r="H885" s="17"/>
      <c r="I885" s="17"/>
      <c r="J885" s="17" t="b">
        <v>0</v>
      </c>
    </row>
    <row r="886">
      <c r="A886" s="17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 t="str">
        <f>IFERROR(VLOOKUP(B886,'MASTER DATA'!$A$1:$E$212,4,FALSE),"")</f>
        <v/>
      </c>
      <c r="G886" s="17"/>
      <c r="H886" s="17"/>
      <c r="I886" s="17"/>
      <c r="J886" s="17" t="b">
        <v>0</v>
      </c>
    </row>
    <row r="887">
      <c r="A887" s="17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 t="str">
        <f>IFERROR(VLOOKUP(B887,'MASTER DATA'!$A$1:$E$212,4,FALSE),"")</f>
        <v/>
      </c>
      <c r="G887" s="17"/>
      <c r="H887" s="17"/>
      <c r="I887" s="17"/>
      <c r="J887" s="17" t="b">
        <v>0</v>
      </c>
    </row>
    <row r="888">
      <c r="A888" s="17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 t="str">
        <f>IFERROR(VLOOKUP(B888,'MASTER DATA'!$A$1:$E$212,4,FALSE),"")</f>
        <v/>
      </c>
      <c r="G888" s="17"/>
      <c r="H888" s="17"/>
      <c r="I888" s="17"/>
      <c r="J888" s="17" t="b">
        <v>0</v>
      </c>
    </row>
    <row r="889">
      <c r="A889" s="17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 t="str">
        <f>IFERROR(VLOOKUP(B889,'MASTER DATA'!$A$1:$E$212,4,FALSE),"")</f>
        <v/>
      </c>
      <c r="G889" s="17"/>
      <c r="H889" s="17"/>
      <c r="I889" s="17"/>
      <c r="J889" s="17" t="b">
        <v>0</v>
      </c>
    </row>
    <row r="890">
      <c r="A890" s="17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 t="str">
        <f>IFERROR(VLOOKUP(B890,'MASTER DATA'!$A$1:$E$212,4,FALSE),"")</f>
        <v/>
      </c>
      <c r="G890" s="17"/>
      <c r="H890" s="17"/>
      <c r="I890" s="17"/>
      <c r="J890" s="17" t="b">
        <v>0</v>
      </c>
    </row>
    <row r="891">
      <c r="A891" s="17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 t="str">
        <f>IFERROR(VLOOKUP(B891,'MASTER DATA'!$A$1:$E$212,4,FALSE),"")</f>
        <v/>
      </c>
      <c r="G891" s="17"/>
      <c r="H891" s="17"/>
      <c r="I891" s="17"/>
      <c r="J891" s="17" t="b">
        <v>0</v>
      </c>
    </row>
    <row r="892">
      <c r="A892" s="17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 t="str">
        <f>IFERROR(VLOOKUP(B892,'MASTER DATA'!$A$1:$E$212,4,FALSE),"")</f>
        <v/>
      </c>
      <c r="G892" s="17"/>
      <c r="H892" s="17"/>
      <c r="I892" s="17"/>
      <c r="J892" s="17" t="b">
        <v>0</v>
      </c>
    </row>
    <row r="893">
      <c r="A893" s="17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 t="str">
        <f>IFERROR(VLOOKUP(B893,'MASTER DATA'!$A$1:$E$212,4,FALSE),"")</f>
        <v/>
      </c>
      <c r="G893" s="17"/>
      <c r="H893" s="17"/>
      <c r="I893" s="17"/>
      <c r="J893" s="17" t="b">
        <v>0</v>
      </c>
    </row>
    <row r="894">
      <c r="A894" s="17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 t="str">
        <f>IFERROR(VLOOKUP(B894,'MASTER DATA'!$A$1:$E$212,4,FALSE),"")</f>
        <v/>
      </c>
      <c r="G894" s="17"/>
      <c r="H894" s="17"/>
      <c r="I894" s="17"/>
      <c r="J894" s="17" t="b">
        <v>0</v>
      </c>
    </row>
    <row r="895">
      <c r="A895" s="17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 t="str">
        <f>IFERROR(VLOOKUP(B895,'MASTER DATA'!$A$1:$E$212,4,FALSE),"")</f>
        <v/>
      </c>
      <c r="G895" s="17"/>
      <c r="H895" s="17"/>
      <c r="I895" s="17"/>
      <c r="J895" s="17" t="b">
        <v>0</v>
      </c>
    </row>
    <row r="896">
      <c r="A896" s="17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 t="str">
        <f>IFERROR(VLOOKUP(B896,'MASTER DATA'!$A$1:$E$212,4,FALSE),"")</f>
        <v/>
      </c>
      <c r="G896" s="17"/>
      <c r="H896" s="17"/>
      <c r="I896" s="17"/>
      <c r="J896" s="17" t="b">
        <v>0</v>
      </c>
    </row>
    <row r="897">
      <c r="A897" s="17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 t="str">
        <f>IFERROR(VLOOKUP(B897,'MASTER DATA'!$A$1:$E$212,4,FALSE),"")</f>
        <v/>
      </c>
      <c r="G897" s="17"/>
      <c r="H897" s="17"/>
      <c r="I897" s="17"/>
      <c r="J897" s="17" t="b">
        <v>0</v>
      </c>
    </row>
    <row r="898">
      <c r="A898" s="17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 t="str">
        <f>IFERROR(VLOOKUP(B898,'MASTER DATA'!$A$1:$E$212,4,FALSE),"")</f>
        <v/>
      </c>
      <c r="G898" s="17"/>
      <c r="H898" s="17"/>
      <c r="I898" s="17"/>
      <c r="J898" s="17" t="b">
        <v>0</v>
      </c>
    </row>
    <row r="899">
      <c r="A899" s="17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 t="str">
        <f>IFERROR(VLOOKUP(B899,'MASTER DATA'!$A$1:$E$212,4,FALSE),"")</f>
        <v/>
      </c>
      <c r="G899" s="17"/>
      <c r="H899" s="17"/>
      <c r="I899" s="17"/>
      <c r="J899" s="17" t="b">
        <v>0</v>
      </c>
    </row>
    <row r="900">
      <c r="A900" s="17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 t="str">
        <f>IFERROR(VLOOKUP(B900,'MASTER DATA'!$A$1:$E$212,4,FALSE),"")</f>
        <v/>
      </c>
      <c r="G900" s="17"/>
      <c r="H900" s="17"/>
      <c r="I900" s="17"/>
      <c r="J900" s="17" t="b">
        <v>0</v>
      </c>
    </row>
    <row r="901">
      <c r="A901" s="17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 t="str">
        <f>IFERROR(VLOOKUP(B901,'MASTER DATA'!$A$1:$E$212,4,FALSE),"")</f>
        <v/>
      </c>
      <c r="G901" s="17"/>
      <c r="H901" s="17"/>
      <c r="I901" s="17"/>
      <c r="J901" s="17" t="b">
        <v>0</v>
      </c>
    </row>
    <row r="902">
      <c r="A902" s="17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 t="str">
        <f>IFERROR(VLOOKUP(B902,'MASTER DATA'!$A$1:$E$212,4,FALSE),"")</f>
        <v/>
      </c>
      <c r="G902" s="17"/>
      <c r="H902" s="17"/>
      <c r="I902" s="17"/>
      <c r="J902" s="17" t="b">
        <v>0</v>
      </c>
    </row>
    <row r="903">
      <c r="A903" s="17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 t="str">
        <f>IFERROR(VLOOKUP(B903,'MASTER DATA'!$A$1:$E$212,4,FALSE),"")</f>
        <v/>
      </c>
      <c r="G903" s="17"/>
      <c r="H903" s="17"/>
      <c r="I903" s="17"/>
      <c r="J903" s="17" t="b">
        <v>0</v>
      </c>
    </row>
    <row r="904">
      <c r="A904" s="17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 t="str">
        <f>IFERROR(VLOOKUP(B904,'MASTER DATA'!$A$1:$E$212,4,FALSE),"")</f>
        <v/>
      </c>
      <c r="G904" s="17"/>
      <c r="H904" s="17"/>
      <c r="I904" s="17"/>
      <c r="J904" s="17" t="b">
        <v>0</v>
      </c>
    </row>
    <row r="905">
      <c r="A905" s="17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 t="str">
        <f>IFERROR(VLOOKUP(B905,'MASTER DATA'!$A$1:$E$212,4,FALSE),"")</f>
        <v/>
      </c>
      <c r="G905" s="17"/>
      <c r="H905" s="17"/>
      <c r="I905" s="17"/>
      <c r="J905" s="17" t="b">
        <v>0</v>
      </c>
    </row>
    <row r="906">
      <c r="A906" s="17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 t="str">
        <f>IFERROR(VLOOKUP(B906,'MASTER DATA'!$A$1:$E$212,4,FALSE),"")</f>
        <v/>
      </c>
      <c r="G906" s="17"/>
      <c r="H906" s="17"/>
      <c r="I906" s="17"/>
      <c r="J906" s="17" t="b">
        <v>0</v>
      </c>
    </row>
    <row r="907">
      <c r="A907" s="17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 t="str">
        <f>IFERROR(VLOOKUP(B907,'MASTER DATA'!$A$1:$E$212,4,FALSE),"")</f>
        <v/>
      </c>
      <c r="G907" s="17"/>
      <c r="H907" s="17"/>
      <c r="I907" s="17"/>
      <c r="J907" s="17" t="b">
        <v>0</v>
      </c>
    </row>
    <row r="908">
      <c r="A908" s="17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 t="str">
        <f>IFERROR(VLOOKUP(B908,'MASTER DATA'!$A$1:$E$212,4,FALSE),"")</f>
        <v/>
      </c>
      <c r="G908" s="17"/>
      <c r="H908" s="17"/>
      <c r="I908" s="17"/>
      <c r="J908" s="17" t="b">
        <v>0</v>
      </c>
    </row>
    <row r="909">
      <c r="A909" s="17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 t="str">
        <f>IFERROR(VLOOKUP(B909,'MASTER DATA'!$A$1:$E$212,4,FALSE),"")</f>
        <v/>
      </c>
      <c r="G909" s="17"/>
      <c r="H909" s="17"/>
      <c r="I909" s="17"/>
      <c r="J909" s="17" t="b">
        <v>0</v>
      </c>
    </row>
    <row r="910">
      <c r="A910" s="17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 t="str">
        <f>IFERROR(VLOOKUP(B910,'MASTER DATA'!$A$1:$E$212,4,FALSE),"")</f>
        <v/>
      </c>
      <c r="G910" s="17"/>
      <c r="H910" s="17"/>
      <c r="I910" s="17"/>
      <c r="J910" s="17" t="b">
        <v>0</v>
      </c>
    </row>
    <row r="911">
      <c r="A911" s="17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 t="str">
        <f>IFERROR(VLOOKUP(B911,'MASTER DATA'!$A$1:$E$212,4,FALSE),"")</f>
        <v/>
      </c>
      <c r="G911" s="17"/>
      <c r="H911" s="17"/>
      <c r="I911" s="17"/>
      <c r="J911" s="17" t="b">
        <v>0</v>
      </c>
    </row>
    <row r="912">
      <c r="A912" s="17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 t="str">
        <f>IFERROR(VLOOKUP(B912,'MASTER DATA'!$A$1:$E$212,4,FALSE),"")</f>
        <v/>
      </c>
      <c r="G912" s="17"/>
      <c r="H912" s="17"/>
      <c r="I912" s="17"/>
      <c r="J912" s="17" t="b">
        <v>0</v>
      </c>
    </row>
    <row r="913">
      <c r="A913" s="17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 t="str">
        <f>IFERROR(VLOOKUP(B913,'MASTER DATA'!$A$1:$E$212,4,FALSE),"")</f>
        <v/>
      </c>
      <c r="G913" s="17"/>
      <c r="H913" s="17"/>
      <c r="I913" s="17"/>
      <c r="J913" s="17" t="b">
        <v>0</v>
      </c>
    </row>
    <row r="914">
      <c r="A914" s="17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 t="str">
        <f>IFERROR(VLOOKUP(B914,'MASTER DATA'!$A$1:$E$212,4,FALSE),"")</f>
        <v/>
      </c>
      <c r="G914" s="17"/>
      <c r="H914" s="17"/>
      <c r="I914" s="17"/>
      <c r="J914" s="17" t="b">
        <v>0</v>
      </c>
    </row>
    <row r="915">
      <c r="A915" s="17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 t="str">
        <f>IFERROR(VLOOKUP(B915,'MASTER DATA'!$A$1:$E$212,4,FALSE),"")</f>
        <v/>
      </c>
      <c r="G915" s="17"/>
      <c r="H915" s="17"/>
      <c r="I915" s="17"/>
      <c r="J915" s="17" t="b">
        <v>0</v>
      </c>
    </row>
    <row r="916">
      <c r="A916" s="17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 t="str">
        <f>IFERROR(VLOOKUP(B916,'MASTER DATA'!$A$1:$E$212,4,FALSE),"")</f>
        <v/>
      </c>
      <c r="G916" s="17"/>
      <c r="H916" s="17"/>
      <c r="I916" s="17"/>
      <c r="J916" s="17" t="b">
        <v>0</v>
      </c>
    </row>
    <row r="917">
      <c r="A917" s="17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 t="str">
        <f>IFERROR(VLOOKUP(B917,'MASTER DATA'!$A$1:$E$212,4,FALSE),"")</f>
        <v/>
      </c>
      <c r="G917" s="17"/>
      <c r="H917" s="17"/>
      <c r="I917" s="17"/>
      <c r="J917" s="17" t="b">
        <v>0</v>
      </c>
    </row>
    <row r="918">
      <c r="A918" s="17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 t="str">
        <f>IFERROR(VLOOKUP(B918,'MASTER DATA'!$A$1:$E$212,4,FALSE),"")</f>
        <v/>
      </c>
      <c r="G918" s="17"/>
      <c r="H918" s="17"/>
      <c r="I918" s="17"/>
      <c r="J918" s="17" t="b">
        <v>0</v>
      </c>
    </row>
    <row r="919">
      <c r="A919" s="17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 t="str">
        <f>IFERROR(VLOOKUP(B919,'MASTER DATA'!$A$1:$E$212,4,FALSE),"")</f>
        <v/>
      </c>
      <c r="G919" s="17"/>
      <c r="H919" s="17"/>
      <c r="I919" s="17"/>
      <c r="J919" s="17" t="b">
        <v>0</v>
      </c>
    </row>
    <row r="920">
      <c r="A920" s="17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 t="str">
        <f>IFERROR(VLOOKUP(B920,'MASTER DATA'!$A$1:$E$212,4,FALSE),"")</f>
        <v/>
      </c>
      <c r="G920" s="17"/>
      <c r="H920" s="17"/>
      <c r="I920" s="17"/>
      <c r="J920" s="17" t="b">
        <v>0</v>
      </c>
    </row>
    <row r="921">
      <c r="A921" s="17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 t="str">
        <f>IFERROR(VLOOKUP(B921,'MASTER DATA'!$A$1:$E$212,4,FALSE),"")</f>
        <v/>
      </c>
      <c r="G921" s="17"/>
      <c r="H921" s="17"/>
      <c r="I921" s="17"/>
      <c r="J921" s="17" t="b">
        <v>0</v>
      </c>
    </row>
    <row r="922">
      <c r="A922" s="17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 t="str">
        <f>IFERROR(VLOOKUP(B922,'MASTER DATA'!$A$1:$E$212,4,FALSE),"")</f>
        <v/>
      </c>
      <c r="G922" s="17"/>
      <c r="H922" s="17"/>
      <c r="I922" s="17"/>
      <c r="J922" s="17" t="b">
        <v>0</v>
      </c>
    </row>
    <row r="923">
      <c r="A923" s="17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 t="str">
        <f>IFERROR(VLOOKUP(B923,'MASTER DATA'!$A$1:$E$212,4,FALSE),"")</f>
        <v/>
      </c>
      <c r="G923" s="17"/>
      <c r="H923" s="17"/>
      <c r="I923" s="17"/>
      <c r="J923" s="17" t="b">
        <v>0</v>
      </c>
    </row>
    <row r="924">
      <c r="A924" s="17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 t="str">
        <f>IFERROR(VLOOKUP(B924,'MASTER DATA'!$A$1:$E$212,4,FALSE),"")</f>
        <v/>
      </c>
      <c r="G924" s="17"/>
      <c r="H924" s="17"/>
      <c r="I924" s="17"/>
      <c r="J924" s="17" t="b">
        <v>0</v>
      </c>
    </row>
    <row r="925">
      <c r="A925" s="17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 t="str">
        <f>IFERROR(VLOOKUP(B925,'MASTER DATA'!$A$1:$E$212,4,FALSE),"")</f>
        <v/>
      </c>
      <c r="G925" s="17"/>
      <c r="H925" s="17"/>
      <c r="I925" s="17"/>
      <c r="J925" s="17" t="b">
        <v>0</v>
      </c>
    </row>
    <row r="926">
      <c r="A926" s="17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 t="str">
        <f>IFERROR(VLOOKUP(B926,'MASTER DATA'!$A$1:$E$212,4,FALSE),"")</f>
        <v/>
      </c>
      <c r="G926" s="17"/>
      <c r="H926" s="17"/>
      <c r="I926" s="17"/>
      <c r="J926" s="17" t="b">
        <v>0</v>
      </c>
    </row>
    <row r="927">
      <c r="A927" s="17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 t="str">
        <f>IFERROR(VLOOKUP(B927,'MASTER DATA'!$A$1:$E$212,4,FALSE),"")</f>
        <v/>
      </c>
      <c r="G927" s="17"/>
      <c r="H927" s="17"/>
      <c r="I927" s="17"/>
      <c r="J927" s="17" t="b">
        <v>0</v>
      </c>
    </row>
    <row r="928">
      <c r="A928" s="17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 t="str">
        <f>IFERROR(VLOOKUP(B928,'MASTER DATA'!$A$1:$E$212,4,FALSE),"")</f>
        <v/>
      </c>
      <c r="G928" s="17"/>
      <c r="H928" s="17"/>
      <c r="I928" s="17"/>
      <c r="J928" s="17" t="b">
        <v>0</v>
      </c>
    </row>
    <row r="929">
      <c r="A929" s="17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 t="str">
        <f>IFERROR(VLOOKUP(B929,'MASTER DATA'!$A$1:$E$212,4,FALSE),"")</f>
        <v/>
      </c>
      <c r="G929" s="17"/>
      <c r="H929" s="17"/>
      <c r="I929" s="17"/>
      <c r="J929" s="17" t="b">
        <v>0</v>
      </c>
    </row>
    <row r="930">
      <c r="A930" s="17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 t="str">
        <f>IFERROR(VLOOKUP(B930,'MASTER DATA'!$A$1:$E$212,4,FALSE),"")</f>
        <v/>
      </c>
      <c r="G930" s="17"/>
      <c r="H930" s="17"/>
      <c r="I930" s="17"/>
      <c r="J930" s="17" t="b">
        <v>0</v>
      </c>
    </row>
    <row r="931">
      <c r="A931" s="17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 t="str">
        <f>IFERROR(VLOOKUP(B931,'MASTER DATA'!$A$1:$E$212,4,FALSE),"")</f>
        <v/>
      </c>
      <c r="G931" s="17"/>
      <c r="H931" s="17"/>
      <c r="I931" s="17"/>
      <c r="J931" s="17" t="b">
        <v>0</v>
      </c>
    </row>
    <row r="932">
      <c r="A932" s="17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 t="str">
        <f>IFERROR(VLOOKUP(B932,'MASTER DATA'!$A$1:$E$212,4,FALSE),"")</f>
        <v/>
      </c>
      <c r="G932" s="17"/>
      <c r="H932" s="17"/>
      <c r="I932" s="17"/>
      <c r="J932" s="17" t="b">
        <v>0</v>
      </c>
    </row>
    <row r="933">
      <c r="A933" s="17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 t="str">
        <f>IFERROR(VLOOKUP(B933,'MASTER DATA'!$A$1:$E$212,4,FALSE),"")</f>
        <v/>
      </c>
      <c r="G933" s="17"/>
      <c r="H933" s="17"/>
      <c r="I933" s="17"/>
      <c r="J933" s="17" t="b">
        <v>0</v>
      </c>
    </row>
    <row r="934">
      <c r="A934" s="17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 t="str">
        <f>IFERROR(VLOOKUP(B934,'MASTER DATA'!$A$1:$E$212,4,FALSE),"")</f>
        <v/>
      </c>
      <c r="G934" s="17"/>
      <c r="H934" s="17"/>
      <c r="I934" s="17"/>
      <c r="J934" s="17" t="b">
        <v>0</v>
      </c>
    </row>
    <row r="935">
      <c r="A935" s="17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 t="str">
        <f>IFERROR(VLOOKUP(B935,'MASTER DATA'!$A$1:$E$212,4,FALSE),"")</f>
        <v/>
      </c>
      <c r="G935" s="17"/>
      <c r="H935" s="17"/>
      <c r="I935" s="17"/>
      <c r="J935" s="17" t="b">
        <v>0</v>
      </c>
    </row>
    <row r="936">
      <c r="A936" s="17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 t="str">
        <f>IFERROR(VLOOKUP(B936,'MASTER DATA'!$A$1:$E$212,4,FALSE),"")</f>
        <v/>
      </c>
      <c r="G936" s="17"/>
      <c r="H936" s="17"/>
      <c r="I936" s="17"/>
      <c r="J936" s="17" t="b">
        <v>0</v>
      </c>
    </row>
    <row r="937">
      <c r="A937" s="17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 t="str">
        <f>IFERROR(VLOOKUP(B937,'MASTER DATA'!$A$1:$E$212,4,FALSE),"")</f>
        <v/>
      </c>
      <c r="G937" s="17"/>
      <c r="H937" s="17"/>
      <c r="I937" s="17"/>
      <c r="J937" s="17" t="b">
        <v>0</v>
      </c>
    </row>
    <row r="938">
      <c r="A938" s="17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 t="str">
        <f>IFERROR(VLOOKUP(B938,'MASTER DATA'!$A$1:$E$212,4,FALSE),"")</f>
        <v/>
      </c>
      <c r="G938" s="17"/>
      <c r="H938" s="17"/>
      <c r="I938" s="17"/>
      <c r="J938" s="17" t="b">
        <v>0</v>
      </c>
    </row>
    <row r="939">
      <c r="A939" s="17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 t="str">
        <f>IFERROR(VLOOKUP(B939,'MASTER DATA'!$A$1:$E$212,4,FALSE),"")</f>
        <v/>
      </c>
      <c r="G939" s="17"/>
      <c r="H939" s="17"/>
      <c r="I939" s="17"/>
      <c r="J939" s="17" t="b">
        <v>0</v>
      </c>
    </row>
    <row r="940">
      <c r="A940" s="17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 t="str">
        <f>IFERROR(VLOOKUP(B940,'MASTER DATA'!$A$1:$E$212,4,FALSE),"")</f>
        <v/>
      </c>
      <c r="G940" s="17"/>
      <c r="H940" s="17"/>
      <c r="I940" s="17"/>
      <c r="J940" s="17" t="b">
        <v>0</v>
      </c>
    </row>
    <row r="941">
      <c r="A941" s="17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 t="str">
        <f>IFERROR(VLOOKUP(B941,'MASTER DATA'!$A$1:$E$212,4,FALSE),"")</f>
        <v/>
      </c>
      <c r="G941" s="17"/>
      <c r="H941" s="17"/>
      <c r="I941" s="17"/>
      <c r="J941" s="17" t="b">
        <v>0</v>
      </c>
    </row>
    <row r="942">
      <c r="A942" s="17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 t="str">
        <f>IFERROR(VLOOKUP(B942,'MASTER DATA'!$A$1:$E$212,4,FALSE),"")</f>
        <v/>
      </c>
      <c r="G942" s="17"/>
      <c r="H942" s="17"/>
      <c r="I942" s="17"/>
      <c r="J942" s="17" t="b">
        <v>0</v>
      </c>
    </row>
    <row r="943">
      <c r="A943" s="17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 t="str">
        <f>IFERROR(VLOOKUP(B943,'MASTER DATA'!$A$1:$E$212,4,FALSE),"")</f>
        <v/>
      </c>
      <c r="G943" s="17"/>
      <c r="H943" s="17"/>
      <c r="I943" s="17"/>
      <c r="J943" s="17" t="b">
        <v>0</v>
      </c>
    </row>
    <row r="944">
      <c r="A944" s="17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 t="str">
        <f>IFERROR(VLOOKUP(B944,'MASTER DATA'!$A$1:$E$212,4,FALSE),"")</f>
        <v/>
      </c>
      <c r="G944" s="17"/>
      <c r="H944" s="17"/>
      <c r="I944" s="17"/>
      <c r="J944" s="17" t="b">
        <v>0</v>
      </c>
    </row>
    <row r="945">
      <c r="A945" s="17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 t="str">
        <f>IFERROR(VLOOKUP(B945,'MASTER DATA'!$A$1:$E$212,4,FALSE),"")</f>
        <v/>
      </c>
      <c r="G945" s="17"/>
      <c r="H945" s="17"/>
      <c r="I945" s="17"/>
      <c r="J945" s="17" t="b">
        <v>0</v>
      </c>
    </row>
    <row r="946">
      <c r="A946" s="17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 t="str">
        <f>IFERROR(VLOOKUP(B946,'MASTER DATA'!$A$1:$E$212,4,FALSE),"")</f>
        <v/>
      </c>
      <c r="G946" s="17"/>
      <c r="H946" s="17"/>
      <c r="I946" s="17"/>
      <c r="J946" s="17" t="b">
        <v>0</v>
      </c>
    </row>
    <row r="947">
      <c r="A947" s="17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 t="str">
        <f>IFERROR(VLOOKUP(B947,'MASTER DATA'!$A$1:$E$212,4,FALSE),"")</f>
        <v/>
      </c>
      <c r="G947" s="17"/>
      <c r="H947" s="17"/>
      <c r="I947" s="17"/>
      <c r="J947" s="17" t="b">
        <v>0</v>
      </c>
    </row>
    <row r="948">
      <c r="A948" s="17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 t="str">
        <f>IFERROR(VLOOKUP(B948,'MASTER DATA'!$A$1:$E$212,4,FALSE),"")</f>
        <v/>
      </c>
      <c r="G948" s="17"/>
      <c r="H948" s="17"/>
      <c r="I948" s="17"/>
      <c r="J948" s="17" t="b">
        <v>0</v>
      </c>
    </row>
    <row r="949">
      <c r="A949" s="17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 t="str">
        <f>IFERROR(VLOOKUP(B949,'MASTER DATA'!$A$1:$E$212,4,FALSE),"")</f>
        <v/>
      </c>
      <c r="G949" s="17"/>
      <c r="H949" s="17"/>
      <c r="I949" s="17"/>
      <c r="J949" s="17" t="b">
        <v>0</v>
      </c>
    </row>
    <row r="950">
      <c r="A950" s="17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 t="str">
        <f>IFERROR(VLOOKUP(B950,'MASTER DATA'!$A$1:$E$212,4,FALSE),"")</f>
        <v/>
      </c>
      <c r="G950" s="17"/>
      <c r="H950" s="17"/>
      <c r="I950" s="17"/>
      <c r="J950" s="17" t="b">
        <v>0</v>
      </c>
    </row>
    <row r="951">
      <c r="A951" s="17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 t="str">
        <f>IFERROR(VLOOKUP(B951,'MASTER DATA'!$A$1:$E$212,4,FALSE),"")</f>
        <v/>
      </c>
      <c r="G951" s="17"/>
      <c r="H951" s="17"/>
      <c r="I951" s="17"/>
      <c r="J951" s="17" t="b">
        <v>0</v>
      </c>
    </row>
    <row r="952">
      <c r="A952" s="17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 t="str">
        <f>IFERROR(VLOOKUP(B952,'MASTER DATA'!$A$1:$E$212,4,FALSE),"")</f>
        <v/>
      </c>
      <c r="G952" s="17"/>
      <c r="H952" s="17"/>
      <c r="I952" s="17"/>
      <c r="J952" s="17" t="b">
        <v>0</v>
      </c>
    </row>
    <row r="953">
      <c r="A953" s="17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 t="str">
        <f>IFERROR(VLOOKUP(B953,'MASTER DATA'!$A$1:$E$212,4,FALSE),"")</f>
        <v/>
      </c>
      <c r="G953" s="17"/>
      <c r="H953" s="17"/>
      <c r="I953" s="17"/>
      <c r="J953" s="17" t="b">
        <v>0</v>
      </c>
    </row>
    <row r="954">
      <c r="A954" s="17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 t="str">
        <f>IFERROR(VLOOKUP(B954,'MASTER DATA'!$A$1:$E$212,4,FALSE),"")</f>
        <v/>
      </c>
      <c r="G954" s="17"/>
      <c r="H954" s="17"/>
      <c r="I954" s="17"/>
      <c r="J954" s="17" t="b">
        <v>0</v>
      </c>
    </row>
    <row r="955">
      <c r="A955" s="17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 t="str">
        <f>IFERROR(VLOOKUP(B955,'MASTER DATA'!$A$1:$E$212,4,FALSE),"")</f>
        <v/>
      </c>
      <c r="G955" s="17"/>
      <c r="H955" s="17"/>
      <c r="I955" s="17"/>
      <c r="J955" s="17" t="b">
        <v>0</v>
      </c>
    </row>
    <row r="956">
      <c r="A956" s="17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 t="str">
        <f>IFERROR(VLOOKUP(B956,'MASTER DATA'!$A$1:$E$212,4,FALSE),"")</f>
        <v/>
      </c>
      <c r="G956" s="17"/>
      <c r="H956" s="17"/>
      <c r="I956" s="17"/>
      <c r="J956" s="17" t="b">
        <v>0</v>
      </c>
    </row>
    <row r="957">
      <c r="A957" s="17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 t="str">
        <f>IFERROR(VLOOKUP(B957,'MASTER DATA'!$A$1:$E$212,4,FALSE),"")</f>
        <v/>
      </c>
      <c r="G957" s="17"/>
      <c r="H957" s="17"/>
      <c r="I957" s="17"/>
      <c r="J957" s="17" t="b">
        <v>0</v>
      </c>
    </row>
    <row r="958">
      <c r="A958" s="17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 t="str">
        <f>IFERROR(VLOOKUP(B958,'MASTER DATA'!$A$1:$E$212,4,FALSE),"")</f>
        <v/>
      </c>
      <c r="G958" s="17"/>
      <c r="H958" s="17"/>
      <c r="I958" s="17"/>
      <c r="J958" s="17" t="b">
        <v>0</v>
      </c>
    </row>
    <row r="959">
      <c r="A959" s="17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 t="str">
        <f>IFERROR(VLOOKUP(B959,'MASTER DATA'!$A$1:$E$212,4,FALSE),"")</f>
        <v/>
      </c>
      <c r="G959" s="17"/>
      <c r="H959" s="17"/>
      <c r="I959" s="17"/>
      <c r="J959" s="17" t="b">
        <v>0</v>
      </c>
    </row>
    <row r="960">
      <c r="A960" s="17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 t="str">
        <f>IFERROR(VLOOKUP(B960,'MASTER DATA'!$A$1:$E$212,4,FALSE),"")</f>
        <v/>
      </c>
      <c r="G960" s="17"/>
      <c r="H960" s="17"/>
      <c r="I960" s="17"/>
      <c r="J960" s="17" t="b">
        <v>0</v>
      </c>
    </row>
    <row r="961">
      <c r="A961" s="17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 t="str">
        <f>IFERROR(VLOOKUP(B961,'MASTER DATA'!$A$1:$E$212,4,FALSE),"")</f>
        <v/>
      </c>
      <c r="G961" s="17"/>
      <c r="H961" s="17"/>
      <c r="I961" s="17"/>
      <c r="J961" s="17" t="b">
        <v>0</v>
      </c>
    </row>
    <row r="962">
      <c r="A962" s="17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 t="str">
        <f>IFERROR(VLOOKUP(B962,'MASTER DATA'!$A$1:$E$212,4,FALSE),"")</f>
        <v/>
      </c>
      <c r="G962" s="17"/>
      <c r="H962" s="17"/>
      <c r="I962" s="17"/>
      <c r="J962" s="17" t="b">
        <v>0</v>
      </c>
    </row>
    <row r="963">
      <c r="A963" s="17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 t="str">
        <f>IFERROR(VLOOKUP(B963,'MASTER DATA'!$A$1:$E$212,4,FALSE),"")</f>
        <v/>
      </c>
      <c r="G963" s="17"/>
      <c r="H963" s="17"/>
      <c r="I963" s="17"/>
      <c r="J963" s="17" t="b">
        <v>0</v>
      </c>
    </row>
    <row r="964">
      <c r="A964" s="17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 t="str">
        <f>IFERROR(VLOOKUP(B964,'MASTER DATA'!$A$1:$E$212,4,FALSE),"")</f>
        <v/>
      </c>
      <c r="G964" s="17"/>
      <c r="H964" s="17"/>
      <c r="I964" s="17"/>
      <c r="J964" s="17" t="b">
        <v>0</v>
      </c>
    </row>
    <row r="965">
      <c r="A965" s="17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 t="str">
        <f>IFERROR(VLOOKUP(B965,'MASTER DATA'!$A$1:$E$212,4,FALSE),"")</f>
        <v/>
      </c>
      <c r="G965" s="17"/>
      <c r="H965" s="17"/>
      <c r="I965" s="17"/>
      <c r="J965" s="17" t="b">
        <v>0</v>
      </c>
    </row>
    <row r="966">
      <c r="A966" s="17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 t="str">
        <f>IFERROR(VLOOKUP(B966,'MASTER DATA'!$A$1:$E$212,4,FALSE),"")</f>
        <v/>
      </c>
      <c r="G966" s="17"/>
      <c r="H966" s="17"/>
      <c r="I966" s="17"/>
      <c r="J966" s="17" t="b">
        <v>0</v>
      </c>
    </row>
    <row r="967">
      <c r="A967" s="17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 t="str">
        <f>IFERROR(VLOOKUP(B967,'MASTER DATA'!$A$1:$E$212,4,FALSE),"")</f>
        <v/>
      </c>
      <c r="G967" s="17"/>
      <c r="H967" s="17"/>
      <c r="I967" s="17"/>
      <c r="J967" s="17" t="b">
        <v>0</v>
      </c>
    </row>
    <row r="968">
      <c r="A968" s="17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 t="str">
        <f>IFERROR(VLOOKUP(B968,'MASTER DATA'!$A$1:$E$212,4,FALSE),"")</f>
        <v/>
      </c>
      <c r="G968" s="17"/>
      <c r="H968" s="17"/>
      <c r="I968" s="17"/>
      <c r="J968" s="17" t="b">
        <v>0</v>
      </c>
    </row>
    <row r="969">
      <c r="A969" s="17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 t="str">
        <f>IFERROR(VLOOKUP(B969,'MASTER DATA'!$A$1:$E$212,4,FALSE),"")</f>
        <v/>
      </c>
      <c r="G969" s="17"/>
      <c r="H969" s="17"/>
      <c r="I969" s="17"/>
      <c r="J969" s="17" t="b">
        <v>0</v>
      </c>
    </row>
    <row r="970">
      <c r="A970" s="17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 t="str">
        <f>IFERROR(VLOOKUP(B970,'MASTER DATA'!$A$1:$E$212,4,FALSE),"")</f>
        <v/>
      </c>
      <c r="G970" s="17"/>
      <c r="H970" s="17"/>
      <c r="I970" s="17"/>
      <c r="J970" s="17" t="b">
        <v>0</v>
      </c>
    </row>
    <row r="971">
      <c r="A971" s="17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 t="str">
        <f>IFERROR(VLOOKUP(B971,'MASTER DATA'!$A$1:$E$212,4,FALSE),"")</f>
        <v/>
      </c>
      <c r="G971" s="17"/>
      <c r="H971" s="17"/>
      <c r="I971" s="17"/>
      <c r="J971" s="17" t="b">
        <v>0</v>
      </c>
    </row>
    <row r="972">
      <c r="A972" s="17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 t="str">
        <f>IFERROR(VLOOKUP(B972,'MASTER DATA'!$A$1:$E$212,4,FALSE),"")</f>
        <v/>
      </c>
      <c r="G972" s="17"/>
      <c r="H972" s="17"/>
      <c r="I972" s="17"/>
      <c r="J972" s="17" t="b">
        <v>0</v>
      </c>
    </row>
    <row r="973">
      <c r="A973" s="17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 t="str">
        <f>IFERROR(VLOOKUP(B973,'MASTER DATA'!$A$1:$E$212,4,FALSE),"")</f>
        <v/>
      </c>
      <c r="G973" s="17"/>
      <c r="H973" s="17"/>
      <c r="I973" s="17"/>
      <c r="J973" s="17" t="b">
        <v>0</v>
      </c>
    </row>
    <row r="974">
      <c r="A974" s="17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 t="str">
        <f>IFERROR(VLOOKUP(B974,'MASTER DATA'!$A$1:$E$212,4,FALSE),"")</f>
        <v/>
      </c>
      <c r="G974" s="17"/>
      <c r="H974" s="17"/>
      <c r="I974" s="17"/>
      <c r="J974" s="17" t="b">
        <v>0</v>
      </c>
    </row>
    <row r="975">
      <c r="A975" s="17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 t="str">
        <f>IFERROR(VLOOKUP(B975,'MASTER DATA'!$A$1:$E$212,4,FALSE),"")</f>
        <v/>
      </c>
      <c r="G975" s="17"/>
      <c r="H975" s="17"/>
      <c r="I975" s="17"/>
      <c r="J975" s="17" t="b">
        <v>0</v>
      </c>
    </row>
    <row r="976">
      <c r="A976" s="17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 t="str">
        <f>IFERROR(VLOOKUP(B976,'MASTER DATA'!$A$1:$E$212,4,FALSE),"")</f>
        <v/>
      </c>
      <c r="G976" s="17"/>
      <c r="H976" s="17"/>
      <c r="I976" s="17"/>
      <c r="J976" s="17" t="b">
        <v>0</v>
      </c>
    </row>
    <row r="977">
      <c r="A977" s="17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 t="str">
        <f>IFERROR(VLOOKUP(B977,'MASTER DATA'!$A$1:$E$212,4,FALSE),"")</f>
        <v/>
      </c>
      <c r="G977" s="17"/>
      <c r="H977" s="17"/>
      <c r="I977" s="17"/>
      <c r="J977" s="17" t="b">
        <v>0</v>
      </c>
    </row>
    <row r="978">
      <c r="A978" s="17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 t="str">
        <f>IFERROR(VLOOKUP(B978,'MASTER DATA'!$A$1:$E$212,4,FALSE),"")</f>
        <v/>
      </c>
      <c r="G978" s="17"/>
      <c r="H978" s="17"/>
      <c r="I978" s="17"/>
      <c r="J978" s="17" t="b">
        <v>0</v>
      </c>
    </row>
    <row r="979">
      <c r="A979" s="17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 t="str">
        <f>IFERROR(VLOOKUP(B979,'MASTER DATA'!$A$1:$E$212,4,FALSE),"")</f>
        <v/>
      </c>
      <c r="G979" s="17"/>
      <c r="H979" s="17"/>
      <c r="I979" s="17"/>
      <c r="J979" s="17" t="b">
        <v>0</v>
      </c>
    </row>
    <row r="980">
      <c r="A980" s="17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 t="str">
        <f>IFERROR(VLOOKUP(B980,'MASTER DATA'!$A$1:$E$212,4,FALSE),"")</f>
        <v/>
      </c>
      <c r="G980" s="17"/>
      <c r="H980" s="17"/>
      <c r="I980" s="17"/>
      <c r="J980" s="17" t="b">
        <v>0</v>
      </c>
    </row>
    <row r="981">
      <c r="A981" s="17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 t="str">
        <f>IFERROR(VLOOKUP(B981,'MASTER DATA'!$A$1:$E$212,4,FALSE),"")</f>
        <v/>
      </c>
      <c r="G981" s="17"/>
      <c r="H981" s="17"/>
      <c r="I981" s="17"/>
      <c r="J981" s="17" t="b">
        <v>0</v>
      </c>
    </row>
    <row r="982">
      <c r="A982" s="17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 t="str">
        <f>IFERROR(VLOOKUP(B982,'MASTER DATA'!$A$1:$E$212,4,FALSE),"")</f>
        <v/>
      </c>
      <c r="G982" s="17"/>
      <c r="H982" s="17"/>
      <c r="I982" s="17"/>
      <c r="J982" s="17" t="b">
        <v>0</v>
      </c>
    </row>
    <row r="983">
      <c r="A983" s="17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 t="str">
        <f>IFERROR(VLOOKUP(B983,'MASTER DATA'!$A$1:$E$212,4,FALSE),"")</f>
        <v/>
      </c>
      <c r="G983" s="17"/>
      <c r="H983" s="17"/>
      <c r="I983" s="17"/>
      <c r="J983" s="17" t="b">
        <v>0</v>
      </c>
    </row>
    <row r="984">
      <c r="A984" s="17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 t="str">
        <f>IFERROR(VLOOKUP(B984,'MASTER DATA'!$A$1:$E$212,4,FALSE),"")</f>
        <v/>
      </c>
      <c r="G984" s="17"/>
      <c r="H984" s="17"/>
      <c r="I984" s="17"/>
      <c r="J984" s="17" t="b">
        <v>0</v>
      </c>
    </row>
    <row r="985">
      <c r="A985" s="17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 t="str">
        <f>IFERROR(VLOOKUP(B985,'MASTER DATA'!$A$1:$E$212,4,FALSE),"")</f>
        <v/>
      </c>
      <c r="G985" s="17"/>
      <c r="H985" s="17"/>
      <c r="I985" s="17"/>
      <c r="J985" s="17" t="b">
        <v>0</v>
      </c>
    </row>
    <row r="986">
      <c r="A986" s="17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 t="str">
        <f>IFERROR(VLOOKUP(B986,'MASTER DATA'!$A$1:$E$212,4,FALSE),"")</f>
        <v/>
      </c>
      <c r="G986" s="17"/>
      <c r="H986" s="17"/>
      <c r="I986" s="17"/>
      <c r="J986" s="17" t="b">
        <v>0</v>
      </c>
    </row>
    <row r="987">
      <c r="A987" s="17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 t="str">
        <f>IFERROR(VLOOKUP(B987,'MASTER DATA'!$A$1:$E$212,4,FALSE),"")</f>
        <v/>
      </c>
      <c r="G987" s="17"/>
      <c r="H987" s="17"/>
      <c r="I987" s="17"/>
      <c r="J987" s="17" t="b">
        <v>0</v>
      </c>
    </row>
    <row r="988">
      <c r="A988" s="17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 t="str">
        <f>IFERROR(VLOOKUP(B988,'MASTER DATA'!$A$1:$E$212,4,FALSE),"")</f>
        <v/>
      </c>
      <c r="G988" s="17"/>
      <c r="H988" s="17"/>
      <c r="I988" s="17"/>
      <c r="J988" s="17" t="b">
        <v>0</v>
      </c>
    </row>
    <row r="989">
      <c r="A989" s="17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 t="str">
        <f>IFERROR(VLOOKUP(B989,'MASTER DATA'!$A$1:$E$212,4,FALSE),"")</f>
        <v/>
      </c>
      <c r="G989" s="17"/>
      <c r="H989" s="17"/>
      <c r="I989" s="17"/>
      <c r="J989" s="17" t="b">
        <v>0</v>
      </c>
    </row>
    <row r="990">
      <c r="A990" s="17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 t="str">
        <f>IFERROR(VLOOKUP(B990,'MASTER DATA'!$A$1:$E$212,4,FALSE),"")</f>
        <v/>
      </c>
      <c r="G990" s="17"/>
      <c r="H990" s="17"/>
      <c r="I990" s="17"/>
      <c r="J990" s="17" t="b">
        <v>0</v>
      </c>
    </row>
    <row r="991">
      <c r="A991" s="17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 t="str">
        <f>IFERROR(VLOOKUP(B991,'MASTER DATA'!$A$1:$E$212,4,FALSE),"")</f>
        <v/>
      </c>
      <c r="G991" s="17"/>
      <c r="H991" s="17"/>
      <c r="I991" s="17"/>
      <c r="J991" s="17" t="b">
        <v>0</v>
      </c>
    </row>
    <row r="992">
      <c r="A992" s="17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 t="str">
        <f>IFERROR(VLOOKUP(B992,'MASTER DATA'!$A$1:$E$212,4,FALSE),"")</f>
        <v/>
      </c>
      <c r="G992" s="17"/>
      <c r="H992" s="17"/>
      <c r="I992" s="17"/>
      <c r="J992" s="17" t="b">
        <v>0</v>
      </c>
    </row>
    <row r="993">
      <c r="A993" s="17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 t="str">
        <f>IFERROR(VLOOKUP(B993,'MASTER DATA'!$A$1:$E$212,4,FALSE),"")</f>
        <v/>
      </c>
      <c r="G993" s="17"/>
      <c r="H993" s="17"/>
      <c r="I993" s="17"/>
      <c r="J993" s="17" t="b">
        <v>0</v>
      </c>
    </row>
    <row r="994">
      <c r="A994" s="17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 t="str">
        <f>IFERROR(VLOOKUP(B994,'MASTER DATA'!$A$1:$E$212,4,FALSE),"")</f>
        <v/>
      </c>
      <c r="G994" s="17"/>
      <c r="H994" s="17"/>
      <c r="I994" s="17"/>
      <c r="J994" s="17" t="b">
        <v>0</v>
      </c>
    </row>
    <row r="995">
      <c r="A995" s="17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 t="str">
        <f>IFERROR(VLOOKUP(B995,'MASTER DATA'!$A$1:$E$212,4,FALSE),"")</f>
        <v/>
      </c>
      <c r="G995" s="17"/>
      <c r="H995" s="17"/>
      <c r="I995" s="17"/>
      <c r="J995" s="17" t="b">
        <v>0</v>
      </c>
    </row>
    <row r="996">
      <c r="A996" s="17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 t="str">
        <f>IFERROR(VLOOKUP(B996,'MASTER DATA'!$A$1:$E$212,4,FALSE),"")</f>
        <v/>
      </c>
      <c r="G996" s="17"/>
      <c r="H996" s="17"/>
      <c r="I996" s="17"/>
      <c r="J996" s="17" t="b">
        <v>0</v>
      </c>
    </row>
    <row r="997">
      <c r="A997" s="17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 t="str">
        <f>IFERROR(VLOOKUP(B997,'MASTER DATA'!$A$1:$E$212,4,FALSE),"")</f>
        <v/>
      </c>
      <c r="G997" s="17"/>
      <c r="H997" s="17"/>
      <c r="I997" s="17"/>
      <c r="J997" s="17" t="b">
        <v>0</v>
      </c>
    </row>
    <row r="998">
      <c r="A998" s="17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 t="str">
        <f>IFERROR(VLOOKUP(B998,'MASTER DATA'!$A$1:$E$212,4,FALSE),"")</f>
        <v/>
      </c>
      <c r="G998" s="17"/>
      <c r="H998" s="17"/>
      <c r="I998" s="17"/>
      <c r="J998" s="17" t="b">
        <v>0</v>
      </c>
    </row>
    <row r="999">
      <c r="A999" s="17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 t="str">
        <f>IFERROR(VLOOKUP(B999,'MASTER DATA'!$A$1:$E$212,4,FALSE),"")</f>
        <v/>
      </c>
      <c r="G999" s="17"/>
      <c r="H999" s="17"/>
      <c r="I999" s="17"/>
      <c r="J999" s="17" t="b">
        <v>0</v>
      </c>
    </row>
    <row r="1000">
      <c r="A1000" s="17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 t="str">
        <f>IFERROR(VLOOKUP(B1000,'MASTER DATA'!$A$1:$E$212,4,FALSE),"")</f>
        <v/>
      </c>
      <c r="G1000" s="17"/>
      <c r="H1000" s="17"/>
      <c r="I1000" s="17"/>
      <c r="J1000" s="17" t="b">
        <v>0</v>
      </c>
    </row>
  </sheetData>
  <mergeCells count="4">
    <mergeCell ref="A1:J1"/>
    <mergeCell ref="A2:J2"/>
    <mergeCell ref="A3:J3"/>
    <mergeCell ref="A4:J4"/>
  </mergeCells>
  <dataValidations>
    <dataValidation type="list" allowBlank="1" showDropDown="1" showErrorMessage="1" sqref="B7:B1000">
      <formula1>'MASTER DATA'!$A$2:$A$215</formula1>
    </dataValidation>
    <dataValidation type="list" allowBlank="1" showErrorMessage="1" sqref="I7:I1000">
      <formula1>"Waste,Spoil,Training,Discontinued,Test food/kalibrasi"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4.14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>
      <c r="A2" s="6"/>
      <c r="B2" s="7" t="s">
        <v>14</v>
      </c>
      <c r="C2" s="7" t="s">
        <v>15</v>
      </c>
      <c r="D2" s="7" t="s">
        <v>16</v>
      </c>
      <c r="E2" s="9" t="s">
        <v>17</v>
      </c>
      <c r="F2" s="6"/>
      <c r="G2" s="6"/>
      <c r="H2" s="6"/>
    </row>
    <row r="3">
      <c r="A3" s="6"/>
      <c r="B3" s="7" t="s">
        <v>20</v>
      </c>
      <c r="C3" s="7" t="s">
        <v>15</v>
      </c>
      <c r="D3" s="7" t="s">
        <v>16</v>
      </c>
      <c r="E3" s="9" t="s">
        <v>17</v>
      </c>
      <c r="F3" s="6"/>
      <c r="G3" s="6"/>
      <c r="H3" s="6"/>
    </row>
    <row r="4">
      <c r="A4" s="6"/>
      <c r="B4" s="7" t="s">
        <v>22</v>
      </c>
      <c r="C4" s="7" t="s">
        <v>15</v>
      </c>
      <c r="D4" s="7" t="s">
        <v>16</v>
      </c>
      <c r="E4" s="9" t="s">
        <v>17</v>
      </c>
      <c r="F4" s="6"/>
      <c r="G4" s="6"/>
      <c r="H4" s="6"/>
    </row>
    <row r="5">
      <c r="A5" s="6"/>
      <c r="B5" s="7" t="s">
        <v>23</v>
      </c>
      <c r="C5" s="7" t="s">
        <v>15</v>
      </c>
      <c r="D5" s="7" t="s">
        <v>16</v>
      </c>
      <c r="E5" s="9" t="s">
        <v>17</v>
      </c>
      <c r="F5" s="6"/>
      <c r="G5" s="6"/>
      <c r="H5" s="6"/>
    </row>
    <row r="6">
      <c r="A6" s="6"/>
      <c r="B6" s="7" t="s">
        <v>24</v>
      </c>
      <c r="C6" s="7" t="s">
        <v>15</v>
      </c>
      <c r="D6" s="7" t="s">
        <v>16</v>
      </c>
      <c r="E6" s="9" t="s">
        <v>26</v>
      </c>
      <c r="F6" s="6"/>
      <c r="G6" s="6"/>
      <c r="H6" s="6"/>
    </row>
    <row r="7">
      <c r="A7" s="6"/>
      <c r="B7" s="7" t="s">
        <v>27</v>
      </c>
      <c r="C7" s="7" t="s">
        <v>15</v>
      </c>
      <c r="D7" s="7" t="s">
        <v>16</v>
      </c>
      <c r="E7" s="9" t="s">
        <v>17</v>
      </c>
      <c r="F7" s="6"/>
      <c r="G7" s="6"/>
      <c r="H7" s="6"/>
    </row>
    <row r="8">
      <c r="A8" s="6"/>
      <c r="B8" s="7" t="s">
        <v>28</v>
      </c>
      <c r="C8" s="7" t="s">
        <v>15</v>
      </c>
      <c r="D8" s="7" t="s">
        <v>16</v>
      </c>
      <c r="E8" s="9" t="s">
        <v>17</v>
      </c>
      <c r="F8" s="6"/>
      <c r="G8" s="6"/>
      <c r="H8" s="6"/>
    </row>
    <row r="9">
      <c r="A9" s="6"/>
      <c r="B9" s="7" t="s">
        <v>29</v>
      </c>
      <c r="C9" s="7" t="s">
        <v>15</v>
      </c>
      <c r="D9" s="7" t="s">
        <v>16</v>
      </c>
      <c r="E9" s="9" t="s">
        <v>17</v>
      </c>
      <c r="F9" s="6"/>
      <c r="G9" s="6"/>
      <c r="H9" s="6"/>
    </row>
    <row r="10">
      <c r="A10" s="6"/>
      <c r="B10" s="7" t="s">
        <v>30</v>
      </c>
      <c r="C10" s="7" t="s">
        <v>15</v>
      </c>
      <c r="D10" s="7" t="s">
        <v>16</v>
      </c>
      <c r="E10" s="9" t="s">
        <v>17</v>
      </c>
      <c r="F10" s="6"/>
      <c r="G10" s="6"/>
      <c r="H10" s="6"/>
    </row>
    <row r="11">
      <c r="A11" s="6"/>
      <c r="B11" s="7" t="s">
        <v>31</v>
      </c>
      <c r="C11" s="7" t="s">
        <v>15</v>
      </c>
      <c r="D11" s="7" t="s">
        <v>16</v>
      </c>
      <c r="E11" s="9" t="s">
        <v>17</v>
      </c>
      <c r="F11" s="6"/>
      <c r="G11" s="6"/>
      <c r="H11" s="6"/>
    </row>
    <row r="12">
      <c r="A12" s="6"/>
      <c r="B12" s="7" t="s">
        <v>32</v>
      </c>
      <c r="C12" s="7" t="s">
        <v>15</v>
      </c>
      <c r="D12" s="7" t="s">
        <v>16</v>
      </c>
      <c r="E12" s="9" t="s">
        <v>17</v>
      </c>
      <c r="F12" s="6"/>
      <c r="G12" s="6"/>
      <c r="H12" s="6"/>
    </row>
    <row r="13">
      <c r="A13" s="6"/>
      <c r="B13" s="7" t="s">
        <v>33</v>
      </c>
      <c r="C13" s="7" t="s">
        <v>15</v>
      </c>
      <c r="D13" s="7" t="s">
        <v>16</v>
      </c>
      <c r="E13" s="9" t="s">
        <v>17</v>
      </c>
      <c r="F13" s="6"/>
      <c r="G13" s="6"/>
      <c r="H13" s="6"/>
    </row>
    <row r="14">
      <c r="A14" s="6"/>
      <c r="B14" s="7" t="s">
        <v>34</v>
      </c>
      <c r="C14" s="7" t="s">
        <v>15</v>
      </c>
      <c r="D14" s="7" t="s">
        <v>16</v>
      </c>
      <c r="E14" s="9" t="s">
        <v>17</v>
      </c>
      <c r="F14" s="6"/>
      <c r="G14" s="6"/>
      <c r="H14" s="6"/>
    </row>
    <row r="15">
      <c r="A15" s="6"/>
      <c r="B15" s="7" t="s">
        <v>36</v>
      </c>
      <c r="C15" s="7" t="s">
        <v>15</v>
      </c>
      <c r="D15" s="7" t="s">
        <v>16</v>
      </c>
      <c r="E15" s="9" t="s">
        <v>37</v>
      </c>
      <c r="F15" s="6"/>
      <c r="G15" s="6"/>
      <c r="H15" s="6"/>
    </row>
    <row r="16">
      <c r="A16" s="6"/>
      <c r="B16" s="7" t="s">
        <v>38</v>
      </c>
      <c r="C16" s="7" t="s">
        <v>39</v>
      </c>
      <c r="D16" s="7" t="s">
        <v>40</v>
      </c>
      <c r="E16" s="9" t="s">
        <v>37</v>
      </c>
      <c r="F16" s="6"/>
      <c r="G16" s="6"/>
      <c r="H16" s="6"/>
    </row>
    <row r="17">
      <c r="A17" s="6"/>
      <c r="B17" s="7" t="s">
        <v>41</v>
      </c>
      <c r="C17" s="7" t="s">
        <v>39</v>
      </c>
      <c r="D17" s="7" t="s">
        <v>40</v>
      </c>
      <c r="E17" s="9" t="s">
        <v>37</v>
      </c>
      <c r="F17" s="6"/>
      <c r="G17" s="6"/>
      <c r="H17" s="6"/>
    </row>
    <row r="18">
      <c r="A18" s="6"/>
      <c r="B18" s="7" t="s">
        <v>43</v>
      </c>
      <c r="C18" s="7" t="s">
        <v>39</v>
      </c>
      <c r="D18" s="7" t="s">
        <v>40</v>
      </c>
      <c r="E18" s="9" t="s">
        <v>37</v>
      </c>
      <c r="F18" s="6"/>
      <c r="G18" s="6"/>
      <c r="H18" s="6"/>
    </row>
    <row r="19">
      <c r="A19" s="6"/>
      <c r="B19" s="7" t="s">
        <v>45</v>
      </c>
      <c r="C19" s="7" t="s">
        <v>39</v>
      </c>
      <c r="D19" s="7" t="s">
        <v>40</v>
      </c>
      <c r="E19" s="9" t="s">
        <v>37</v>
      </c>
      <c r="F19" s="6"/>
      <c r="G19" s="6"/>
      <c r="H19" s="6"/>
    </row>
    <row r="20">
      <c r="A20" s="6"/>
      <c r="B20" s="7" t="s">
        <v>46</v>
      </c>
      <c r="C20" s="7" t="s">
        <v>39</v>
      </c>
      <c r="D20" s="7" t="s">
        <v>40</v>
      </c>
      <c r="E20" s="9" t="s">
        <v>37</v>
      </c>
      <c r="F20" s="6"/>
      <c r="G20" s="6"/>
      <c r="H20" s="6"/>
    </row>
    <row r="21" ht="15.75" customHeight="1">
      <c r="A21" s="6"/>
      <c r="B21" s="7" t="s">
        <v>47</v>
      </c>
      <c r="C21" s="7" t="s">
        <v>39</v>
      </c>
      <c r="D21" s="7" t="s">
        <v>40</v>
      </c>
      <c r="E21" s="9" t="s">
        <v>37</v>
      </c>
      <c r="F21" s="6"/>
      <c r="G21" s="6"/>
      <c r="H21" s="6"/>
    </row>
    <row r="22" ht="15.75" customHeight="1">
      <c r="A22" s="6"/>
      <c r="B22" s="7" t="s">
        <v>48</v>
      </c>
      <c r="C22" s="7" t="s">
        <v>39</v>
      </c>
      <c r="D22" s="7" t="s">
        <v>40</v>
      </c>
      <c r="E22" s="9" t="s">
        <v>37</v>
      </c>
      <c r="F22" s="6"/>
      <c r="G22" s="6"/>
      <c r="H22" s="6"/>
    </row>
    <row r="23" ht="15.75" customHeight="1">
      <c r="A23" s="6"/>
      <c r="B23" s="7" t="s">
        <v>50</v>
      </c>
      <c r="C23" s="7" t="s">
        <v>15</v>
      </c>
      <c r="D23" s="7" t="s">
        <v>16</v>
      </c>
      <c r="E23" s="9" t="s">
        <v>17</v>
      </c>
      <c r="F23" s="6"/>
      <c r="G23" s="6"/>
      <c r="H23" s="6"/>
    </row>
    <row r="24" ht="15.75" customHeight="1">
      <c r="A24" s="6"/>
      <c r="B24" s="7" t="s">
        <v>51</v>
      </c>
      <c r="C24" s="7" t="s">
        <v>15</v>
      </c>
      <c r="D24" s="7" t="s">
        <v>16</v>
      </c>
      <c r="E24" s="9" t="s">
        <v>17</v>
      </c>
      <c r="F24" s="6"/>
      <c r="G24" s="6"/>
      <c r="H24" s="6"/>
    </row>
    <row r="25" ht="15.75" customHeight="1">
      <c r="A25" s="6"/>
      <c r="B25" s="7" t="s">
        <v>52</v>
      </c>
      <c r="C25" s="7" t="s">
        <v>15</v>
      </c>
      <c r="D25" s="7" t="s">
        <v>16</v>
      </c>
      <c r="E25" s="9" t="s">
        <v>17</v>
      </c>
      <c r="F25" s="6"/>
      <c r="G25" s="6"/>
      <c r="H25" s="6"/>
    </row>
    <row r="26" ht="15.75" customHeight="1">
      <c r="A26" s="6"/>
      <c r="B26" s="7" t="s">
        <v>55</v>
      </c>
      <c r="C26" s="7" t="s">
        <v>15</v>
      </c>
      <c r="D26" s="7" t="s">
        <v>16</v>
      </c>
      <c r="E26" s="9" t="s">
        <v>17</v>
      </c>
      <c r="F26" s="6"/>
      <c r="G26" s="6"/>
      <c r="H26" s="6"/>
    </row>
    <row r="27" ht="15.75" customHeight="1">
      <c r="A27" s="6"/>
      <c r="B27" s="7" t="s">
        <v>56</v>
      </c>
      <c r="C27" s="7" t="s">
        <v>15</v>
      </c>
      <c r="D27" s="7" t="s">
        <v>16</v>
      </c>
      <c r="E27" s="9" t="s">
        <v>17</v>
      </c>
      <c r="F27" s="6"/>
      <c r="G27" s="6"/>
      <c r="H27" s="6"/>
    </row>
    <row r="28" ht="15.75" customHeight="1">
      <c r="A28" s="6"/>
      <c r="B28" s="7" t="s">
        <v>57</v>
      </c>
      <c r="C28" s="7" t="s">
        <v>15</v>
      </c>
      <c r="D28" s="7" t="s">
        <v>16</v>
      </c>
      <c r="E28" s="9" t="s">
        <v>17</v>
      </c>
      <c r="F28" s="6"/>
      <c r="G28" s="6"/>
      <c r="H28" s="6"/>
    </row>
    <row r="29" ht="15.75" customHeight="1">
      <c r="A29" s="6"/>
      <c r="B29" s="7" t="s">
        <v>58</v>
      </c>
      <c r="C29" s="7" t="s">
        <v>15</v>
      </c>
      <c r="D29" s="7" t="s">
        <v>16</v>
      </c>
      <c r="E29" s="9" t="s">
        <v>17</v>
      </c>
      <c r="F29" s="6"/>
      <c r="G29" s="6"/>
      <c r="H29" s="6"/>
    </row>
    <row r="30" ht="15.75" customHeight="1">
      <c r="A30" s="6"/>
      <c r="B30" s="7" t="s">
        <v>60</v>
      </c>
      <c r="C30" s="7" t="s">
        <v>15</v>
      </c>
      <c r="D30" s="7" t="s">
        <v>16</v>
      </c>
      <c r="E30" s="9" t="s">
        <v>17</v>
      </c>
      <c r="F30" s="6"/>
      <c r="G30" s="6"/>
      <c r="H30" s="6"/>
    </row>
    <row r="31" ht="15.75" customHeight="1">
      <c r="A31" s="6"/>
      <c r="B31" s="7" t="s">
        <v>61</v>
      </c>
      <c r="C31" s="7" t="s">
        <v>15</v>
      </c>
      <c r="D31" s="7" t="s">
        <v>16</v>
      </c>
      <c r="E31" s="9" t="s">
        <v>17</v>
      </c>
      <c r="F31" s="6"/>
      <c r="G31" s="6"/>
      <c r="H31" s="6"/>
    </row>
    <row r="32" ht="15.75" customHeight="1">
      <c r="A32" s="6"/>
      <c r="B32" s="7" t="s">
        <v>62</v>
      </c>
      <c r="C32" s="7" t="s">
        <v>15</v>
      </c>
      <c r="D32" s="7" t="s">
        <v>16</v>
      </c>
      <c r="E32" s="9" t="s">
        <v>17</v>
      </c>
      <c r="F32" s="6"/>
      <c r="G32" s="6"/>
      <c r="H32" s="6"/>
    </row>
    <row r="33" ht="15.75" customHeight="1">
      <c r="A33" s="6"/>
      <c r="B33" s="7" t="s">
        <v>64</v>
      </c>
      <c r="C33" s="7" t="s">
        <v>15</v>
      </c>
      <c r="D33" s="7" t="s">
        <v>16</v>
      </c>
      <c r="E33" s="9" t="s">
        <v>17</v>
      </c>
      <c r="F33" s="6"/>
      <c r="G33" s="6"/>
      <c r="H33" s="6"/>
    </row>
    <row r="34" ht="15.75" customHeight="1">
      <c r="A34" s="6"/>
      <c r="B34" s="7" t="s">
        <v>65</v>
      </c>
      <c r="C34" s="7" t="s">
        <v>39</v>
      </c>
      <c r="D34" s="7" t="s">
        <v>40</v>
      </c>
      <c r="E34" s="9" t="s">
        <v>37</v>
      </c>
      <c r="F34" s="6"/>
      <c r="G34" s="6"/>
      <c r="H34" s="6"/>
    </row>
    <row r="35" ht="15.75" customHeight="1">
      <c r="A35" s="6"/>
      <c r="B35" s="7" t="s">
        <v>66</v>
      </c>
      <c r="C35" s="7" t="s">
        <v>15</v>
      </c>
      <c r="D35" s="7" t="s">
        <v>16</v>
      </c>
      <c r="E35" s="9" t="s">
        <v>17</v>
      </c>
      <c r="F35" s="6"/>
      <c r="G35" s="6"/>
      <c r="H35" s="6"/>
    </row>
    <row r="36" ht="15.75" customHeight="1">
      <c r="A36" s="6"/>
      <c r="B36" s="7" t="s">
        <v>67</v>
      </c>
      <c r="C36" s="7" t="s">
        <v>15</v>
      </c>
      <c r="D36" s="7" t="s">
        <v>16</v>
      </c>
      <c r="E36" s="9" t="s">
        <v>17</v>
      </c>
      <c r="F36" s="6"/>
      <c r="G36" s="6"/>
      <c r="H36" s="6"/>
    </row>
    <row r="37" ht="15.75" customHeight="1">
      <c r="A37" s="6"/>
      <c r="B37" s="7" t="s">
        <v>69</v>
      </c>
      <c r="C37" s="7" t="s">
        <v>15</v>
      </c>
      <c r="D37" s="7" t="s">
        <v>16</v>
      </c>
      <c r="E37" s="9" t="s">
        <v>17</v>
      </c>
      <c r="F37" s="6"/>
      <c r="G37" s="6"/>
      <c r="H37" s="6"/>
    </row>
    <row r="38" ht="15.75" customHeight="1">
      <c r="A38" s="6"/>
      <c r="B38" s="7" t="s">
        <v>70</v>
      </c>
      <c r="C38" s="7" t="s">
        <v>39</v>
      </c>
      <c r="D38" s="7" t="s">
        <v>40</v>
      </c>
      <c r="E38" s="9" t="s">
        <v>37</v>
      </c>
      <c r="F38" s="6"/>
      <c r="G38" s="6"/>
      <c r="H38" s="6"/>
    </row>
    <row r="39" ht="15.75" customHeight="1">
      <c r="A39" s="6"/>
      <c r="B39" s="7" t="s">
        <v>71</v>
      </c>
      <c r="C39" s="7" t="s">
        <v>15</v>
      </c>
      <c r="D39" s="7" t="s">
        <v>16</v>
      </c>
      <c r="E39" s="9" t="s">
        <v>17</v>
      </c>
      <c r="F39" s="6"/>
      <c r="G39" s="6"/>
      <c r="H39" s="6"/>
    </row>
    <row r="40" ht="15.75" customHeight="1">
      <c r="A40" s="6"/>
      <c r="B40" s="7" t="s">
        <v>74</v>
      </c>
      <c r="C40" s="7" t="s">
        <v>15</v>
      </c>
      <c r="D40" s="7" t="s">
        <v>16</v>
      </c>
      <c r="E40" s="9" t="s">
        <v>17</v>
      </c>
      <c r="F40" s="6"/>
      <c r="G40" s="6"/>
      <c r="H40" s="6"/>
    </row>
    <row r="41" ht="15.75" customHeight="1">
      <c r="A41" s="6"/>
      <c r="B41" s="7" t="s">
        <v>75</v>
      </c>
      <c r="C41" s="7" t="s">
        <v>15</v>
      </c>
      <c r="D41" s="7" t="s">
        <v>16</v>
      </c>
      <c r="E41" s="9" t="s">
        <v>17</v>
      </c>
      <c r="F41" s="6"/>
      <c r="G41" s="6"/>
      <c r="H41" s="6"/>
    </row>
    <row r="42" ht="15.75" customHeight="1">
      <c r="A42" s="6"/>
      <c r="B42" s="7" t="s">
        <v>76</v>
      </c>
      <c r="C42" s="7" t="s">
        <v>15</v>
      </c>
      <c r="D42" s="7" t="s">
        <v>16</v>
      </c>
      <c r="E42" s="9" t="s">
        <v>37</v>
      </c>
      <c r="F42" s="6"/>
      <c r="G42" s="6"/>
      <c r="H42" s="6"/>
    </row>
    <row r="43" ht="15.75" customHeight="1">
      <c r="A43" s="6"/>
      <c r="B43" s="7" t="s">
        <v>77</v>
      </c>
      <c r="C43" s="7" t="s">
        <v>15</v>
      </c>
      <c r="D43" s="7" t="s">
        <v>16</v>
      </c>
      <c r="E43" s="9" t="s">
        <v>37</v>
      </c>
      <c r="F43" s="6"/>
      <c r="G43" s="6"/>
      <c r="H43" s="6"/>
    </row>
    <row r="44" ht="15.75" customHeight="1">
      <c r="A44" s="6"/>
      <c r="B44" s="7" t="s">
        <v>79</v>
      </c>
      <c r="C44" s="7" t="s">
        <v>15</v>
      </c>
      <c r="D44" s="7" t="s">
        <v>16</v>
      </c>
      <c r="E44" s="9" t="s">
        <v>37</v>
      </c>
      <c r="F44" s="6"/>
      <c r="G44" s="6"/>
      <c r="H44" s="6"/>
    </row>
    <row r="45" ht="15.75" customHeight="1">
      <c r="A45" s="6"/>
      <c r="B45" s="7" t="s">
        <v>80</v>
      </c>
      <c r="C45" s="7" t="s">
        <v>15</v>
      </c>
      <c r="D45" s="7" t="s">
        <v>16</v>
      </c>
      <c r="E45" s="9" t="s">
        <v>37</v>
      </c>
      <c r="F45" s="6"/>
      <c r="G45" s="6"/>
      <c r="H45" s="6"/>
    </row>
    <row r="46" ht="15.75" customHeight="1">
      <c r="A46" s="6"/>
      <c r="B46" s="7" t="s">
        <v>81</v>
      </c>
      <c r="C46" s="7" t="s">
        <v>15</v>
      </c>
      <c r="D46" s="7" t="s">
        <v>16</v>
      </c>
      <c r="E46" s="9" t="s">
        <v>17</v>
      </c>
      <c r="F46" s="6"/>
      <c r="G46" s="6"/>
      <c r="H46" s="6"/>
    </row>
    <row r="47" ht="15.75" customHeight="1">
      <c r="A47" s="6"/>
      <c r="B47" s="7" t="s">
        <v>82</v>
      </c>
      <c r="C47" s="7" t="s">
        <v>15</v>
      </c>
      <c r="D47" s="7" t="s">
        <v>16</v>
      </c>
      <c r="E47" s="9" t="s">
        <v>17</v>
      </c>
      <c r="F47" s="6"/>
      <c r="G47" s="6"/>
      <c r="H47" s="6"/>
    </row>
    <row r="48" ht="15.75" customHeight="1">
      <c r="A48" s="6"/>
      <c r="B48" s="7" t="s">
        <v>85</v>
      </c>
      <c r="C48" s="7" t="s">
        <v>15</v>
      </c>
      <c r="D48" s="7" t="s">
        <v>16</v>
      </c>
      <c r="E48" s="9" t="s">
        <v>17</v>
      </c>
      <c r="F48" s="6"/>
      <c r="G48" s="6"/>
      <c r="H48" s="6"/>
    </row>
    <row r="49" ht="15.75" customHeight="1">
      <c r="A49" s="6"/>
      <c r="B49" s="7" t="s">
        <v>86</v>
      </c>
      <c r="C49" s="7" t="s">
        <v>15</v>
      </c>
      <c r="D49" s="7" t="s">
        <v>16</v>
      </c>
      <c r="E49" s="9" t="s">
        <v>17</v>
      </c>
      <c r="F49" s="6"/>
      <c r="G49" s="6"/>
      <c r="H49" s="6"/>
    </row>
    <row r="50" ht="15.75" customHeight="1">
      <c r="A50" s="6"/>
      <c r="B50" s="7" t="s">
        <v>87</v>
      </c>
      <c r="C50" s="7" t="s">
        <v>15</v>
      </c>
      <c r="D50" s="7" t="s">
        <v>16</v>
      </c>
      <c r="E50" s="9" t="s">
        <v>17</v>
      </c>
      <c r="F50" s="6"/>
      <c r="G50" s="6"/>
      <c r="H50" s="6"/>
    </row>
    <row r="51" ht="15.75" customHeight="1">
      <c r="A51" s="6"/>
      <c r="B51" s="7" t="s">
        <v>89</v>
      </c>
      <c r="C51" s="7" t="s">
        <v>15</v>
      </c>
      <c r="D51" s="7" t="s">
        <v>16</v>
      </c>
      <c r="E51" s="9" t="s">
        <v>17</v>
      </c>
      <c r="F51" s="6"/>
      <c r="G51" s="6"/>
      <c r="H51" s="6"/>
    </row>
    <row r="52" ht="15.75" customHeight="1">
      <c r="A52" s="6"/>
      <c r="B52" s="7" t="s">
        <v>90</v>
      </c>
      <c r="C52" s="7" t="s">
        <v>15</v>
      </c>
      <c r="D52" s="7" t="s">
        <v>16</v>
      </c>
      <c r="E52" s="9" t="s">
        <v>17</v>
      </c>
      <c r="F52" s="6"/>
      <c r="G52" s="6"/>
      <c r="H52" s="6"/>
    </row>
    <row r="53" ht="15.75" customHeight="1">
      <c r="A53" s="6"/>
      <c r="B53" s="7" t="s">
        <v>91</v>
      </c>
      <c r="C53" s="7" t="s">
        <v>15</v>
      </c>
      <c r="D53" s="7" t="s">
        <v>16</v>
      </c>
      <c r="E53" s="9" t="s">
        <v>17</v>
      </c>
      <c r="F53" s="6"/>
      <c r="G53" s="6"/>
      <c r="H53" s="6"/>
    </row>
    <row r="54" ht="15.75" customHeight="1">
      <c r="A54" s="6"/>
      <c r="B54" s="7" t="s">
        <v>92</v>
      </c>
      <c r="C54" s="7" t="s">
        <v>15</v>
      </c>
      <c r="D54" s="7" t="s">
        <v>16</v>
      </c>
      <c r="E54" s="9" t="s">
        <v>17</v>
      </c>
      <c r="F54" s="6"/>
      <c r="G54" s="6"/>
      <c r="H54" s="6"/>
    </row>
    <row r="55" ht="15.75" customHeight="1">
      <c r="A55" s="6"/>
      <c r="B55" s="7" t="s">
        <v>93</v>
      </c>
      <c r="C55" s="7" t="s">
        <v>39</v>
      </c>
      <c r="D55" s="7" t="s">
        <v>40</v>
      </c>
      <c r="E55" s="9" t="s">
        <v>37</v>
      </c>
      <c r="F55" s="6"/>
      <c r="G55" s="6"/>
      <c r="H55" s="6"/>
    </row>
    <row r="56" ht="15.75" customHeight="1">
      <c r="A56" s="6"/>
      <c r="B56" s="7" t="s">
        <v>94</v>
      </c>
      <c r="C56" s="7" t="s">
        <v>39</v>
      </c>
      <c r="D56" s="7" t="s">
        <v>40</v>
      </c>
      <c r="E56" s="9" t="s">
        <v>37</v>
      </c>
      <c r="F56" s="6"/>
      <c r="G56" s="6"/>
      <c r="H56" s="6"/>
    </row>
    <row r="57" ht="15.75" customHeight="1">
      <c r="A57" s="6"/>
      <c r="B57" s="7" t="s">
        <v>95</v>
      </c>
      <c r="C57" s="7" t="s">
        <v>39</v>
      </c>
      <c r="D57" s="7" t="s">
        <v>40</v>
      </c>
      <c r="E57" s="9" t="s">
        <v>37</v>
      </c>
      <c r="F57" s="6"/>
      <c r="G57" s="6"/>
      <c r="H57" s="6"/>
    </row>
    <row r="58" ht="15.75" customHeight="1">
      <c r="A58" s="6"/>
      <c r="B58" s="7" t="s">
        <v>96</v>
      </c>
      <c r="C58" s="7" t="s">
        <v>15</v>
      </c>
      <c r="D58" s="7" t="s">
        <v>16</v>
      </c>
      <c r="E58" s="9" t="s">
        <v>17</v>
      </c>
      <c r="F58" s="6"/>
      <c r="G58" s="6"/>
      <c r="H58" s="6"/>
    </row>
    <row r="59" ht="15.75" customHeight="1">
      <c r="A59" s="6"/>
      <c r="B59" s="7" t="s">
        <v>98</v>
      </c>
      <c r="C59" s="7" t="s">
        <v>15</v>
      </c>
      <c r="D59" s="7" t="s">
        <v>16</v>
      </c>
      <c r="E59" s="9" t="s">
        <v>17</v>
      </c>
      <c r="F59" s="6"/>
      <c r="G59" s="6"/>
      <c r="H59" s="6"/>
    </row>
    <row r="60" ht="15.75" customHeight="1">
      <c r="A60" s="6"/>
      <c r="B60" s="7" t="s">
        <v>99</v>
      </c>
      <c r="C60" s="7" t="s">
        <v>15</v>
      </c>
      <c r="D60" s="7" t="s">
        <v>16</v>
      </c>
      <c r="E60" s="9" t="s">
        <v>17</v>
      </c>
      <c r="F60" s="6"/>
      <c r="G60" s="6"/>
      <c r="H60" s="6"/>
    </row>
    <row r="61" ht="15.75" customHeight="1">
      <c r="A61" s="6"/>
      <c r="B61" s="7" t="s">
        <v>100</v>
      </c>
      <c r="C61" s="7" t="s">
        <v>39</v>
      </c>
      <c r="D61" s="7" t="s">
        <v>40</v>
      </c>
      <c r="E61" s="9" t="s">
        <v>37</v>
      </c>
      <c r="F61" s="6"/>
      <c r="G61" s="6"/>
      <c r="H61" s="6"/>
    </row>
    <row r="62" ht="15.75" customHeight="1">
      <c r="A62" s="6"/>
      <c r="B62" s="7" t="s">
        <v>102</v>
      </c>
      <c r="C62" s="7" t="s">
        <v>39</v>
      </c>
      <c r="D62" s="7" t="s">
        <v>40</v>
      </c>
      <c r="E62" s="9" t="s">
        <v>37</v>
      </c>
      <c r="F62" s="6"/>
      <c r="G62" s="6"/>
      <c r="H62" s="6"/>
    </row>
    <row r="63" ht="15.75" customHeight="1">
      <c r="A63" s="6"/>
      <c r="B63" s="7" t="s">
        <v>103</v>
      </c>
      <c r="C63" s="7" t="s">
        <v>39</v>
      </c>
      <c r="D63" s="7" t="s">
        <v>40</v>
      </c>
      <c r="E63" s="9" t="s">
        <v>37</v>
      </c>
      <c r="F63" s="6"/>
      <c r="G63" s="6"/>
      <c r="H63" s="6"/>
    </row>
    <row r="64" ht="15.75" customHeight="1">
      <c r="A64" s="6"/>
      <c r="B64" s="7" t="s">
        <v>104</v>
      </c>
      <c r="C64" s="7" t="s">
        <v>15</v>
      </c>
      <c r="D64" s="7" t="s">
        <v>16</v>
      </c>
      <c r="E64" s="9" t="s">
        <v>17</v>
      </c>
      <c r="F64" s="6"/>
      <c r="G64" s="6"/>
      <c r="H64" s="6"/>
    </row>
    <row r="65" ht="15.75" customHeight="1">
      <c r="A65" s="6"/>
      <c r="B65" s="7" t="s">
        <v>106</v>
      </c>
      <c r="C65" s="7" t="s">
        <v>15</v>
      </c>
      <c r="D65" s="7" t="s">
        <v>16</v>
      </c>
      <c r="E65" s="9" t="s">
        <v>17</v>
      </c>
      <c r="F65" s="6"/>
      <c r="G65" s="6"/>
      <c r="H65" s="6"/>
    </row>
    <row r="66" ht="15.75" customHeight="1">
      <c r="A66" s="6"/>
      <c r="B66" s="7" t="s">
        <v>107</v>
      </c>
      <c r="C66" s="7" t="s">
        <v>15</v>
      </c>
      <c r="D66" s="7" t="s">
        <v>16</v>
      </c>
      <c r="E66" s="9" t="s">
        <v>17</v>
      </c>
      <c r="F66" s="6"/>
      <c r="G66" s="6"/>
      <c r="H66" s="6"/>
    </row>
    <row r="67" ht="15.75" customHeight="1">
      <c r="A67" s="6"/>
      <c r="B67" s="7" t="s">
        <v>108</v>
      </c>
      <c r="C67" s="7" t="s">
        <v>15</v>
      </c>
      <c r="D67" s="7" t="s">
        <v>16</v>
      </c>
      <c r="E67" s="9" t="s">
        <v>17</v>
      </c>
      <c r="F67" s="6"/>
      <c r="G67" s="6"/>
      <c r="H67" s="6"/>
    </row>
    <row r="68" ht="15.75" customHeight="1">
      <c r="A68" s="6"/>
      <c r="B68" s="7" t="s">
        <v>109</v>
      </c>
      <c r="C68" s="7" t="s">
        <v>15</v>
      </c>
      <c r="D68" s="7" t="s">
        <v>16</v>
      </c>
      <c r="E68" s="9" t="s">
        <v>17</v>
      </c>
      <c r="F68" s="6"/>
      <c r="G68" s="6"/>
      <c r="H68" s="6"/>
    </row>
    <row r="69" ht="15.75" customHeight="1">
      <c r="A69" s="6"/>
      <c r="B69" s="7" t="s">
        <v>53</v>
      </c>
      <c r="C69" s="7" t="s">
        <v>15</v>
      </c>
      <c r="D69" s="7" t="s">
        <v>16</v>
      </c>
      <c r="E69" s="9" t="s">
        <v>17</v>
      </c>
      <c r="F69" s="6"/>
      <c r="G69" s="6"/>
      <c r="H69" s="6"/>
    </row>
    <row r="70" ht="15.75" customHeight="1">
      <c r="A70" s="6"/>
      <c r="B70" s="7" t="s">
        <v>111</v>
      </c>
      <c r="C70" s="7" t="s">
        <v>15</v>
      </c>
      <c r="D70" s="7" t="s">
        <v>16</v>
      </c>
      <c r="E70" s="9" t="s">
        <v>17</v>
      </c>
      <c r="F70" s="6"/>
      <c r="G70" s="6"/>
      <c r="H70" s="6"/>
    </row>
    <row r="71" ht="15.75" customHeight="1">
      <c r="A71" s="6"/>
      <c r="B71" s="7" t="s">
        <v>112</v>
      </c>
      <c r="C71" s="7" t="s">
        <v>15</v>
      </c>
      <c r="D71" s="7" t="s">
        <v>16</v>
      </c>
      <c r="E71" s="9" t="s">
        <v>17</v>
      </c>
      <c r="F71" s="6"/>
      <c r="G71" s="6"/>
      <c r="H71" s="6"/>
    </row>
    <row r="72" ht="15.75" customHeight="1">
      <c r="A72" s="6"/>
      <c r="B72" s="7" t="s">
        <v>113</v>
      </c>
      <c r="C72" s="7" t="s">
        <v>114</v>
      </c>
      <c r="D72" s="7" t="s">
        <v>115</v>
      </c>
      <c r="E72" s="9" t="s">
        <v>116</v>
      </c>
      <c r="F72" s="6"/>
      <c r="G72" s="6"/>
      <c r="H72" s="6"/>
    </row>
    <row r="73" ht="15.75" customHeight="1">
      <c r="A73" s="6"/>
      <c r="B73" s="7" t="s">
        <v>117</v>
      </c>
      <c r="C73" s="7" t="s">
        <v>114</v>
      </c>
      <c r="D73" s="7" t="s">
        <v>115</v>
      </c>
      <c r="E73" s="9" t="s">
        <v>116</v>
      </c>
      <c r="F73" s="6"/>
      <c r="G73" s="6"/>
      <c r="H73" s="6"/>
    </row>
    <row r="74" ht="15.75" customHeight="1">
      <c r="A74" s="6"/>
      <c r="B74" s="7" t="s">
        <v>118</v>
      </c>
      <c r="C74" s="7" t="s">
        <v>114</v>
      </c>
      <c r="D74" s="7" t="s">
        <v>115</v>
      </c>
      <c r="E74" s="9" t="s">
        <v>116</v>
      </c>
      <c r="F74" s="6"/>
      <c r="G74" s="6"/>
      <c r="H74" s="6"/>
    </row>
    <row r="75" ht="15.75" customHeight="1">
      <c r="A75" s="6"/>
      <c r="B75" s="7" t="s">
        <v>120</v>
      </c>
      <c r="C75" s="7" t="s">
        <v>114</v>
      </c>
      <c r="D75" s="7" t="s">
        <v>115</v>
      </c>
      <c r="E75" s="9" t="s">
        <v>116</v>
      </c>
      <c r="F75" s="6"/>
      <c r="G75" s="6"/>
      <c r="H75" s="6"/>
    </row>
    <row r="76" ht="15.75" customHeight="1">
      <c r="A76" s="6"/>
      <c r="B76" s="7" t="s">
        <v>121</v>
      </c>
      <c r="C76" s="7" t="s">
        <v>114</v>
      </c>
      <c r="D76" s="7" t="s">
        <v>115</v>
      </c>
      <c r="E76" s="9" t="s">
        <v>116</v>
      </c>
      <c r="F76" s="6"/>
      <c r="G76" s="6"/>
      <c r="H76" s="6"/>
    </row>
    <row r="77" ht="15.75" customHeight="1">
      <c r="A77" s="6"/>
      <c r="B77" s="7" t="s">
        <v>122</v>
      </c>
      <c r="C77" s="7" t="s">
        <v>114</v>
      </c>
      <c r="D77" s="7" t="s">
        <v>115</v>
      </c>
      <c r="E77" s="9" t="s">
        <v>116</v>
      </c>
      <c r="F77" s="6"/>
      <c r="G77" s="6"/>
      <c r="H77" s="6"/>
    </row>
    <row r="78" ht="15.75" customHeight="1">
      <c r="A78" s="6"/>
      <c r="B78" s="7" t="s">
        <v>123</v>
      </c>
      <c r="C78" s="7" t="s">
        <v>114</v>
      </c>
      <c r="D78" s="7" t="s">
        <v>115</v>
      </c>
      <c r="E78" s="9" t="s">
        <v>116</v>
      </c>
      <c r="F78" s="6"/>
      <c r="G78" s="6"/>
      <c r="H78" s="6"/>
    </row>
    <row r="79" ht="15.75" customHeight="1">
      <c r="A79" s="6"/>
      <c r="B79" s="7" t="s">
        <v>125</v>
      </c>
      <c r="C79" s="7" t="s">
        <v>114</v>
      </c>
      <c r="D79" s="7" t="s">
        <v>115</v>
      </c>
      <c r="E79" s="9" t="s">
        <v>116</v>
      </c>
      <c r="F79" s="6"/>
      <c r="G79" s="6"/>
      <c r="H79" s="6"/>
    </row>
    <row r="80" ht="15.75" customHeight="1">
      <c r="A80" s="6"/>
      <c r="B80" s="7" t="s">
        <v>126</v>
      </c>
      <c r="C80" s="7" t="s">
        <v>114</v>
      </c>
      <c r="D80" s="7" t="s">
        <v>115</v>
      </c>
      <c r="E80" s="9" t="s">
        <v>116</v>
      </c>
      <c r="F80" s="6"/>
      <c r="G80" s="6"/>
      <c r="H80" s="6"/>
    </row>
    <row r="81" ht="15.75" customHeight="1">
      <c r="A81" s="6"/>
      <c r="B81" s="7" t="s">
        <v>127</v>
      </c>
      <c r="C81" s="7" t="s">
        <v>114</v>
      </c>
      <c r="D81" s="7" t="s">
        <v>115</v>
      </c>
      <c r="E81" s="9" t="s">
        <v>116</v>
      </c>
      <c r="F81" s="6"/>
      <c r="G81" s="6"/>
      <c r="H81" s="6"/>
    </row>
    <row r="82" ht="15.75" customHeight="1">
      <c r="A82" s="6"/>
      <c r="B82" s="7" t="s">
        <v>129</v>
      </c>
      <c r="C82" s="7" t="s">
        <v>114</v>
      </c>
      <c r="D82" s="7" t="s">
        <v>115</v>
      </c>
      <c r="E82" s="9" t="s">
        <v>116</v>
      </c>
      <c r="F82" s="6"/>
      <c r="G82" s="6"/>
      <c r="H82" s="6"/>
    </row>
    <row r="83" ht="15.75" customHeight="1">
      <c r="A83" s="6"/>
      <c r="B83" s="7" t="s">
        <v>130</v>
      </c>
      <c r="C83" s="7" t="s">
        <v>114</v>
      </c>
      <c r="D83" s="7" t="s">
        <v>115</v>
      </c>
      <c r="E83" s="9" t="s">
        <v>116</v>
      </c>
      <c r="F83" s="6"/>
      <c r="G83" s="6"/>
      <c r="H83" s="6"/>
    </row>
    <row r="84" ht="15.75" customHeight="1">
      <c r="A84" s="6"/>
      <c r="B84" s="7" t="s">
        <v>131</v>
      </c>
      <c r="C84" s="7" t="s">
        <v>114</v>
      </c>
      <c r="D84" s="7" t="s">
        <v>115</v>
      </c>
      <c r="E84" s="9" t="s">
        <v>116</v>
      </c>
      <c r="F84" s="6"/>
      <c r="G84" s="6"/>
      <c r="H84" s="6"/>
    </row>
    <row r="85" ht="15.75" customHeight="1">
      <c r="A85" s="6"/>
      <c r="B85" s="7" t="s">
        <v>134</v>
      </c>
      <c r="C85" s="7" t="s">
        <v>114</v>
      </c>
      <c r="D85" s="7" t="s">
        <v>115</v>
      </c>
      <c r="E85" s="9" t="s">
        <v>116</v>
      </c>
      <c r="F85" s="6"/>
      <c r="G85" s="6"/>
      <c r="H85" s="6"/>
    </row>
    <row r="86" ht="15.75" customHeight="1">
      <c r="A86" s="6"/>
      <c r="B86" s="7" t="s">
        <v>135</v>
      </c>
      <c r="C86" s="7" t="s">
        <v>114</v>
      </c>
      <c r="D86" s="7" t="s">
        <v>115</v>
      </c>
      <c r="E86" s="9" t="s">
        <v>116</v>
      </c>
      <c r="F86" s="6"/>
      <c r="G86" s="6"/>
      <c r="H86" s="6"/>
    </row>
    <row r="87" ht="15.75" customHeight="1">
      <c r="A87" s="6"/>
      <c r="B87" s="7" t="s">
        <v>136</v>
      </c>
      <c r="C87" s="7" t="s">
        <v>114</v>
      </c>
      <c r="D87" s="7" t="s">
        <v>115</v>
      </c>
      <c r="E87" s="9" t="s">
        <v>116</v>
      </c>
      <c r="F87" s="6"/>
      <c r="G87" s="6"/>
      <c r="H87" s="6"/>
    </row>
    <row r="88" ht="15.75" customHeight="1">
      <c r="A88" s="6"/>
      <c r="B88" s="7" t="s">
        <v>137</v>
      </c>
      <c r="C88" s="7" t="s">
        <v>114</v>
      </c>
      <c r="D88" s="7" t="s">
        <v>115</v>
      </c>
      <c r="E88" s="9" t="s">
        <v>116</v>
      </c>
      <c r="F88" s="6"/>
      <c r="G88" s="6"/>
      <c r="H88" s="6"/>
    </row>
    <row r="89" ht="15.75" customHeight="1">
      <c r="A89" s="6"/>
      <c r="B89" s="7" t="s">
        <v>140</v>
      </c>
      <c r="C89" s="7" t="s">
        <v>114</v>
      </c>
      <c r="D89" s="7" t="s">
        <v>115</v>
      </c>
      <c r="E89" s="9" t="s">
        <v>116</v>
      </c>
      <c r="F89" s="6"/>
      <c r="G89" s="6"/>
      <c r="H89" s="6"/>
    </row>
    <row r="90" ht="15.75" customHeight="1">
      <c r="A90" s="6"/>
      <c r="B90" s="7" t="s">
        <v>141</v>
      </c>
      <c r="C90" s="7" t="s">
        <v>114</v>
      </c>
      <c r="D90" s="7" t="s">
        <v>115</v>
      </c>
      <c r="E90" s="9" t="s">
        <v>116</v>
      </c>
      <c r="F90" s="6"/>
      <c r="G90" s="6"/>
      <c r="H90" s="6"/>
    </row>
    <row r="91" ht="15.75" customHeight="1">
      <c r="A91" s="6"/>
      <c r="B91" s="7" t="s">
        <v>142</v>
      </c>
      <c r="C91" s="7" t="s">
        <v>114</v>
      </c>
      <c r="D91" s="7" t="s">
        <v>115</v>
      </c>
      <c r="E91" s="9" t="s">
        <v>116</v>
      </c>
      <c r="F91" s="6"/>
      <c r="G91" s="6"/>
      <c r="H91" s="6"/>
    </row>
    <row r="92" ht="15.75" customHeight="1">
      <c r="A92" s="6"/>
      <c r="B92" s="7" t="s">
        <v>143</v>
      </c>
      <c r="C92" s="7" t="s">
        <v>114</v>
      </c>
      <c r="D92" s="7" t="s">
        <v>115</v>
      </c>
      <c r="E92" s="9" t="s">
        <v>116</v>
      </c>
      <c r="F92" s="6"/>
      <c r="G92" s="6"/>
      <c r="H92" s="6"/>
    </row>
    <row r="93" ht="15.75" customHeight="1">
      <c r="A93" s="6"/>
      <c r="B93" s="7" t="s">
        <v>146</v>
      </c>
      <c r="C93" s="7" t="s">
        <v>114</v>
      </c>
      <c r="D93" s="7" t="s">
        <v>115</v>
      </c>
      <c r="E93" s="9" t="s">
        <v>116</v>
      </c>
      <c r="F93" s="6"/>
      <c r="G93" s="6"/>
      <c r="H93" s="6"/>
    </row>
    <row r="94" ht="15.75" customHeight="1">
      <c r="A94" s="6"/>
      <c r="B94" s="7" t="s">
        <v>147</v>
      </c>
      <c r="C94" s="7" t="s">
        <v>114</v>
      </c>
      <c r="D94" s="7" t="s">
        <v>115</v>
      </c>
      <c r="E94" s="9" t="s">
        <v>116</v>
      </c>
      <c r="F94" s="6"/>
      <c r="G94" s="6"/>
      <c r="H94" s="6"/>
    </row>
    <row r="95" ht="15.75" customHeight="1">
      <c r="A95" s="6"/>
      <c r="B95" s="7" t="s">
        <v>148</v>
      </c>
      <c r="C95" s="7" t="s">
        <v>114</v>
      </c>
      <c r="D95" s="7" t="s">
        <v>115</v>
      </c>
      <c r="E95" s="9" t="s">
        <v>116</v>
      </c>
      <c r="F95" s="6"/>
      <c r="G95" s="6"/>
      <c r="H95" s="6"/>
    </row>
    <row r="96" ht="15.75" customHeight="1">
      <c r="A96" s="6"/>
      <c r="B96" s="7" t="s">
        <v>149</v>
      </c>
      <c r="C96" s="7" t="s">
        <v>114</v>
      </c>
      <c r="D96" s="7" t="s">
        <v>115</v>
      </c>
      <c r="E96" s="9" t="s">
        <v>116</v>
      </c>
      <c r="F96" s="6"/>
      <c r="G96" s="6"/>
      <c r="H96" s="6"/>
    </row>
    <row r="97" ht="15.75" customHeight="1">
      <c r="A97" s="6"/>
      <c r="B97" s="7" t="s">
        <v>152</v>
      </c>
      <c r="C97" s="7" t="s">
        <v>114</v>
      </c>
      <c r="D97" s="7" t="s">
        <v>115</v>
      </c>
      <c r="E97" s="9" t="s">
        <v>116</v>
      </c>
      <c r="F97" s="6"/>
      <c r="G97" s="6"/>
      <c r="H97" s="6"/>
    </row>
    <row r="98" ht="15.75" customHeight="1">
      <c r="A98" s="6"/>
      <c r="B98" s="7" t="s">
        <v>153</v>
      </c>
      <c r="C98" s="7" t="s">
        <v>114</v>
      </c>
      <c r="D98" s="7" t="s">
        <v>115</v>
      </c>
      <c r="E98" s="9" t="s">
        <v>116</v>
      </c>
      <c r="F98" s="6"/>
      <c r="G98" s="6"/>
      <c r="H98" s="6"/>
    </row>
    <row r="99" ht="15.75" customHeight="1">
      <c r="A99" s="6"/>
      <c r="B99" s="7" t="s">
        <v>154</v>
      </c>
      <c r="C99" s="7" t="s">
        <v>114</v>
      </c>
      <c r="D99" s="7" t="s">
        <v>115</v>
      </c>
      <c r="E99" s="9" t="s">
        <v>116</v>
      </c>
      <c r="F99" s="6"/>
      <c r="G99" s="6"/>
      <c r="H99" s="6"/>
    </row>
    <row r="100" ht="15.75" customHeight="1">
      <c r="A100" s="6"/>
      <c r="B100" s="7" t="s">
        <v>155</v>
      </c>
      <c r="C100" s="7" t="s">
        <v>114</v>
      </c>
      <c r="D100" s="7" t="s">
        <v>115</v>
      </c>
      <c r="E100" s="9" t="s">
        <v>116</v>
      </c>
      <c r="F100" s="6"/>
      <c r="G100" s="6"/>
      <c r="H100" s="6"/>
    </row>
    <row r="101" ht="15.75" customHeight="1">
      <c r="A101" s="6"/>
      <c r="B101" s="7" t="s">
        <v>158</v>
      </c>
      <c r="C101" s="7" t="s">
        <v>114</v>
      </c>
      <c r="D101" s="7" t="s">
        <v>115</v>
      </c>
      <c r="E101" s="9" t="s">
        <v>116</v>
      </c>
      <c r="F101" s="6"/>
      <c r="G101" s="6"/>
      <c r="H101" s="6"/>
    </row>
    <row r="102" ht="15.75" customHeight="1">
      <c r="A102" s="6"/>
      <c r="B102" s="7" t="s">
        <v>159</v>
      </c>
      <c r="C102" s="7" t="s">
        <v>114</v>
      </c>
      <c r="D102" s="7" t="s">
        <v>115</v>
      </c>
      <c r="E102" s="9" t="s">
        <v>116</v>
      </c>
      <c r="F102" s="6"/>
      <c r="G102" s="6"/>
      <c r="H102" s="6"/>
    </row>
    <row r="103" ht="15.75" customHeight="1">
      <c r="A103" s="6"/>
      <c r="B103" s="7" t="s">
        <v>160</v>
      </c>
      <c r="C103" s="7" t="s">
        <v>114</v>
      </c>
      <c r="D103" s="7" t="s">
        <v>115</v>
      </c>
      <c r="E103" s="9" t="s">
        <v>116</v>
      </c>
      <c r="F103" s="6"/>
      <c r="G103" s="6"/>
      <c r="H103" s="6"/>
    </row>
    <row r="104" ht="15.75" customHeight="1">
      <c r="A104" s="6"/>
      <c r="B104" s="7" t="s">
        <v>161</v>
      </c>
      <c r="C104" s="7" t="s">
        <v>114</v>
      </c>
      <c r="D104" s="7" t="s">
        <v>115</v>
      </c>
      <c r="E104" s="9" t="s">
        <v>116</v>
      </c>
      <c r="F104" s="6"/>
      <c r="G104" s="6"/>
      <c r="H104" s="6"/>
    </row>
    <row r="105" ht="15.75" customHeight="1">
      <c r="A105" s="6"/>
      <c r="B105" s="7" t="s">
        <v>162</v>
      </c>
      <c r="C105" s="7" t="s">
        <v>114</v>
      </c>
      <c r="D105" s="7" t="s">
        <v>115</v>
      </c>
      <c r="E105" s="9" t="s">
        <v>116</v>
      </c>
      <c r="F105" s="6"/>
      <c r="G105" s="6"/>
      <c r="H105" s="6"/>
    </row>
    <row r="106" ht="15.75" customHeight="1">
      <c r="A106" s="6"/>
      <c r="B106" s="7" t="s">
        <v>165</v>
      </c>
      <c r="C106" s="7" t="s">
        <v>114</v>
      </c>
      <c r="D106" s="7" t="s">
        <v>115</v>
      </c>
      <c r="E106" s="9" t="s">
        <v>116</v>
      </c>
      <c r="F106" s="6"/>
      <c r="G106" s="6"/>
      <c r="H106" s="6"/>
    </row>
    <row r="107" ht="15.75" customHeight="1">
      <c r="A107" s="6"/>
      <c r="B107" s="7" t="s">
        <v>166</v>
      </c>
      <c r="C107" s="7" t="s">
        <v>114</v>
      </c>
      <c r="D107" s="7" t="s">
        <v>115</v>
      </c>
      <c r="E107" s="9" t="s">
        <v>116</v>
      </c>
      <c r="F107" s="6"/>
      <c r="G107" s="6"/>
      <c r="H107" s="6"/>
    </row>
    <row r="108" ht="15.75" customHeight="1">
      <c r="A108" s="6"/>
      <c r="B108" s="7" t="s">
        <v>169</v>
      </c>
      <c r="C108" s="7" t="s">
        <v>114</v>
      </c>
      <c r="D108" s="7" t="s">
        <v>115</v>
      </c>
      <c r="E108" s="9" t="s">
        <v>116</v>
      </c>
      <c r="F108" s="6"/>
      <c r="G108" s="6"/>
      <c r="H108" s="6"/>
    </row>
    <row r="109" ht="15.75" customHeight="1">
      <c r="A109" s="6"/>
      <c r="B109" s="7" t="s">
        <v>170</v>
      </c>
      <c r="C109" s="7" t="s">
        <v>114</v>
      </c>
      <c r="D109" s="7" t="s">
        <v>115</v>
      </c>
      <c r="E109" s="9" t="s">
        <v>116</v>
      </c>
      <c r="F109" s="6"/>
      <c r="G109" s="6"/>
      <c r="H109" s="6"/>
    </row>
    <row r="110" ht="15.75" customHeight="1">
      <c r="A110" s="6"/>
      <c r="B110" s="7" t="s">
        <v>171</v>
      </c>
      <c r="C110" s="7" t="s">
        <v>114</v>
      </c>
      <c r="D110" s="7" t="s">
        <v>115</v>
      </c>
      <c r="E110" s="9" t="s">
        <v>116</v>
      </c>
      <c r="F110" s="6"/>
      <c r="G110" s="6"/>
      <c r="H110" s="6"/>
    </row>
    <row r="111" ht="15.75" customHeight="1">
      <c r="A111" s="6"/>
      <c r="B111" s="7" t="s">
        <v>172</v>
      </c>
      <c r="C111" s="7" t="s">
        <v>114</v>
      </c>
      <c r="D111" s="7" t="s">
        <v>115</v>
      </c>
      <c r="E111" s="9" t="s">
        <v>116</v>
      </c>
      <c r="F111" s="6"/>
      <c r="G111" s="6"/>
      <c r="H111" s="6"/>
    </row>
    <row r="112" ht="15.75" customHeight="1">
      <c r="A112" s="6"/>
      <c r="B112" s="7" t="s">
        <v>173</v>
      </c>
      <c r="C112" s="7" t="s">
        <v>114</v>
      </c>
      <c r="D112" s="7" t="s">
        <v>115</v>
      </c>
      <c r="E112" s="9" t="s">
        <v>116</v>
      </c>
      <c r="F112" s="6"/>
      <c r="G112" s="6"/>
      <c r="H112" s="6"/>
    </row>
    <row r="113" ht="15.75" customHeight="1">
      <c r="A113" s="6"/>
      <c r="B113" s="7" t="s">
        <v>175</v>
      </c>
      <c r="C113" s="7" t="s">
        <v>176</v>
      </c>
      <c r="D113" s="7" t="s">
        <v>177</v>
      </c>
      <c r="E113" s="9" t="s">
        <v>17</v>
      </c>
      <c r="F113" s="6"/>
      <c r="G113" s="6"/>
      <c r="H113" s="6"/>
    </row>
    <row r="114" ht="15.75" customHeight="1">
      <c r="A114" s="6"/>
      <c r="B114" s="7" t="s">
        <v>178</v>
      </c>
      <c r="C114" s="7" t="s">
        <v>176</v>
      </c>
      <c r="D114" s="7" t="s">
        <v>177</v>
      </c>
      <c r="E114" s="9" t="s">
        <v>17</v>
      </c>
      <c r="F114" s="6"/>
      <c r="G114" s="6"/>
      <c r="H114" s="6"/>
    </row>
    <row r="115" ht="15.75" customHeight="1">
      <c r="A115" s="6"/>
      <c r="B115" s="7" t="s">
        <v>179</v>
      </c>
      <c r="C115" s="7" t="s">
        <v>176</v>
      </c>
      <c r="D115" s="7" t="s">
        <v>177</v>
      </c>
      <c r="E115" s="9" t="s">
        <v>17</v>
      </c>
      <c r="F115" s="6"/>
      <c r="G115" s="6"/>
      <c r="H115" s="6"/>
    </row>
    <row r="116" ht="15.75" customHeight="1">
      <c r="A116" s="6"/>
      <c r="B116" s="7" t="s">
        <v>181</v>
      </c>
      <c r="C116" s="7" t="s">
        <v>176</v>
      </c>
      <c r="D116" s="7" t="s">
        <v>177</v>
      </c>
      <c r="E116" s="9" t="s">
        <v>17</v>
      </c>
      <c r="F116" s="6"/>
      <c r="G116" s="6"/>
      <c r="H116" s="6"/>
    </row>
    <row r="117" ht="15.75" customHeight="1">
      <c r="A117" s="6"/>
      <c r="B117" s="7" t="s">
        <v>182</v>
      </c>
      <c r="C117" s="7" t="s">
        <v>176</v>
      </c>
      <c r="D117" s="7" t="s">
        <v>177</v>
      </c>
      <c r="E117" s="9" t="s">
        <v>17</v>
      </c>
      <c r="F117" s="6"/>
      <c r="G117" s="6"/>
      <c r="H117" s="6"/>
    </row>
    <row r="118" ht="15.75" customHeight="1">
      <c r="A118" s="6"/>
      <c r="B118" s="7" t="s">
        <v>183</v>
      </c>
      <c r="C118" s="7" t="s">
        <v>176</v>
      </c>
      <c r="D118" s="7" t="s">
        <v>177</v>
      </c>
      <c r="E118" s="9" t="s">
        <v>17</v>
      </c>
      <c r="F118" s="6"/>
      <c r="G118" s="6"/>
      <c r="H118" s="6"/>
    </row>
    <row r="119" ht="15.75" customHeight="1">
      <c r="A119" s="6"/>
      <c r="B119" s="7" t="s">
        <v>184</v>
      </c>
      <c r="C119" s="7" t="s">
        <v>176</v>
      </c>
      <c r="D119" s="7" t="s">
        <v>177</v>
      </c>
      <c r="E119" s="9" t="s">
        <v>17</v>
      </c>
      <c r="F119" s="6"/>
      <c r="G119" s="6"/>
      <c r="H119" s="6"/>
    </row>
    <row r="120" ht="15.75" customHeight="1">
      <c r="A120" s="6"/>
      <c r="B120" s="7" t="s">
        <v>186</v>
      </c>
      <c r="C120" s="7" t="s">
        <v>176</v>
      </c>
      <c r="D120" s="7" t="s">
        <v>177</v>
      </c>
      <c r="E120" s="9" t="s">
        <v>17</v>
      </c>
      <c r="F120" s="6"/>
      <c r="G120" s="6"/>
      <c r="H120" s="6"/>
    </row>
    <row r="121" ht="15.75" customHeight="1">
      <c r="A121" s="6"/>
      <c r="B121" s="6"/>
      <c r="C121" s="6"/>
      <c r="D121" s="19"/>
      <c r="E121" s="19"/>
      <c r="F121" s="6"/>
      <c r="G121" s="6"/>
      <c r="H121" s="6"/>
    </row>
    <row r="122" ht="15.75" customHeight="1">
      <c r="A122" s="6"/>
      <c r="B122" s="6"/>
      <c r="C122" s="6"/>
      <c r="D122" s="19"/>
      <c r="E122" s="19"/>
      <c r="F122" s="6"/>
      <c r="G122" s="6"/>
      <c r="H122" s="6"/>
    </row>
    <row r="123" ht="15.75" customHeight="1">
      <c r="A123" s="6"/>
      <c r="B123" s="6"/>
      <c r="C123" s="6"/>
      <c r="D123" s="19"/>
      <c r="E123" s="19"/>
      <c r="F123" s="6"/>
      <c r="G123" s="6"/>
      <c r="H123" s="6"/>
    </row>
    <row r="124" ht="15.75" customHeight="1">
      <c r="A124" s="6"/>
      <c r="B124" s="6"/>
      <c r="C124" s="6"/>
      <c r="D124" s="19"/>
      <c r="E124" s="19"/>
      <c r="F124" s="6"/>
      <c r="G124" s="6"/>
      <c r="H124" s="6"/>
    </row>
    <row r="125" ht="15.75" customHeight="1">
      <c r="A125" s="6"/>
      <c r="B125" s="6"/>
      <c r="C125" s="6"/>
      <c r="D125" s="19"/>
      <c r="E125" s="19"/>
      <c r="F125" s="6"/>
      <c r="G125" s="6"/>
      <c r="H125" s="6"/>
    </row>
    <row r="126" ht="15.75" customHeight="1">
      <c r="A126" s="6"/>
      <c r="B126" s="6"/>
      <c r="C126" s="6"/>
      <c r="D126" s="19"/>
      <c r="E126" s="19"/>
      <c r="F126" s="6"/>
      <c r="G126" s="6"/>
      <c r="H126" s="6"/>
    </row>
    <row r="127" ht="15.75" customHeight="1">
      <c r="A127" s="6"/>
      <c r="B127" s="6"/>
      <c r="C127" s="6"/>
      <c r="D127" s="19"/>
      <c r="E127" s="19"/>
      <c r="F127" s="6"/>
      <c r="G127" s="6"/>
      <c r="H127" s="6"/>
    </row>
    <row r="128" ht="15.75" customHeight="1">
      <c r="A128" s="6"/>
      <c r="B128" s="6"/>
      <c r="C128" s="6"/>
      <c r="D128" s="19"/>
      <c r="E128" s="19"/>
      <c r="F128" s="6"/>
      <c r="G128" s="6"/>
      <c r="H128" s="6"/>
    </row>
    <row r="129" ht="15.75" customHeight="1">
      <c r="A129" s="6"/>
      <c r="B129" s="6"/>
      <c r="C129" s="6"/>
      <c r="D129" s="19"/>
      <c r="E129" s="19"/>
      <c r="F129" s="6"/>
      <c r="G129" s="6"/>
      <c r="H129" s="6"/>
    </row>
    <row r="130" ht="15.75" customHeight="1">
      <c r="A130" s="6"/>
      <c r="B130" s="6"/>
      <c r="C130" s="6"/>
      <c r="D130" s="19"/>
      <c r="E130" s="19"/>
      <c r="F130" s="6"/>
      <c r="G130" s="6"/>
      <c r="H130" s="6"/>
    </row>
    <row r="131" ht="15.75" customHeight="1">
      <c r="A131" s="6"/>
      <c r="B131" s="6"/>
      <c r="C131" s="6"/>
      <c r="D131" s="19"/>
      <c r="E131" s="19"/>
      <c r="F131" s="6"/>
      <c r="G131" s="6"/>
      <c r="H131" s="6"/>
    </row>
    <row r="132" ht="15.75" customHeight="1">
      <c r="A132" s="6"/>
      <c r="B132" s="6"/>
      <c r="C132" s="6"/>
      <c r="D132" s="19"/>
      <c r="E132" s="19"/>
      <c r="F132" s="6"/>
      <c r="G132" s="6"/>
      <c r="H132" s="6"/>
    </row>
    <row r="133" ht="15.75" customHeight="1">
      <c r="A133" s="6"/>
      <c r="B133" s="6"/>
      <c r="C133" s="6"/>
      <c r="D133" s="19"/>
      <c r="E133" s="19"/>
      <c r="F133" s="6"/>
      <c r="G133" s="6"/>
      <c r="H133" s="6"/>
    </row>
    <row r="134" ht="15.75" customHeight="1">
      <c r="A134" s="6"/>
      <c r="B134" s="6"/>
      <c r="C134" s="6"/>
      <c r="D134" s="19"/>
      <c r="E134" s="19"/>
      <c r="F134" s="6"/>
      <c r="G134" s="6"/>
      <c r="H134" s="6"/>
    </row>
    <row r="135" ht="15.75" customHeight="1">
      <c r="A135" s="6"/>
      <c r="B135" s="6"/>
      <c r="C135" s="6"/>
      <c r="D135" s="19"/>
      <c r="E135" s="19"/>
      <c r="F135" s="6"/>
      <c r="G135" s="6"/>
      <c r="H135" s="6"/>
    </row>
    <row r="136" ht="15.75" customHeight="1">
      <c r="A136" s="6"/>
      <c r="B136" s="6"/>
      <c r="C136" s="6"/>
      <c r="D136" s="19"/>
      <c r="E136" s="19"/>
      <c r="F136" s="6"/>
      <c r="G136" s="6"/>
      <c r="H136" s="6"/>
    </row>
    <row r="137" ht="15.75" customHeight="1">
      <c r="A137" s="6"/>
      <c r="B137" s="6"/>
      <c r="C137" s="6"/>
      <c r="D137" s="19"/>
      <c r="E137" s="19"/>
      <c r="F137" s="6"/>
      <c r="G137" s="6"/>
      <c r="H137" s="6"/>
    </row>
    <row r="138" ht="15.75" customHeight="1">
      <c r="A138" s="6"/>
      <c r="B138" s="6"/>
      <c r="C138" s="6"/>
      <c r="D138" s="19"/>
      <c r="E138" s="19"/>
      <c r="F138" s="6"/>
      <c r="G138" s="6"/>
      <c r="H138" s="6"/>
    </row>
    <row r="139" ht="15.75" customHeight="1">
      <c r="A139" s="6"/>
      <c r="B139" s="6"/>
      <c r="C139" s="6"/>
      <c r="D139" s="19"/>
      <c r="E139" s="19"/>
      <c r="F139" s="6"/>
      <c r="G139" s="6"/>
      <c r="H139" s="6"/>
    </row>
    <row r="140" ht="15.75" customHeight="1">
      <c r="A140" s="6"/>
      <c r="B140" s="6"/>
      <c r="C140" s="6"/>
      <c r="D140" s="19"/>
      <c r="E140" s="19"/>
      <c r="F140" s="6"/>
      <c r="G140" s="6"/>
      <c r="H140" s="6"/>
    </row>
    <row r="141" ht="15.75" customHeight="1">
      <c r="A141" s="6"/>
      <c r="B141" s="6"/>
      <c r="C141" s="6"/>
      <c r="D141" s="19"/>
      <c r="E141" s="19"/>
      <c r="F141" s="6"/>
      <c r="G141" s="6"/>
      <c r="H141" s="6"/>
    </row>
    <row r="142" ht="15.75" customHeight="1">
      <c r="A142" s="6"/>
      <c r="B142" s="6"/>
      <c r="C142" s="6"/>
      <c r="D142" s="19"/>
      <c r="E142" s="19"/>
      <c r="F142" s="6"/>
      <c r="G142" s="6"/>
      <c r="H142" s="6"/>
    </row>
    <row r="143" ht="15.75" customHeight="1">
      <c r="A143" s="6"/>
      <c r="B143" s="6"/>
      <c r="C143" s="6"/>
      <c r="D143" s="19"/>
      <c r="E143" s="19"/>
      <c r="F143" s="6"/>
      <c r="G143" s="6"/>
      <c r="H143" s="6"/>
    </row>
    <row r="144" ht="15.75" customHeight="1">
      <c r="A144" s="6"/>
      <c r="B144" s="6"/>
      <c r="C144" s="6"/>
      <c r="D144" s="19"/>
      <c r="E144" s="19"/>
      <c r="F144" s="6"/>
      <c r="G144" s="6"/>
      <c r="H144" s="6"/>
    </row>
    <row r="145" ht="15.75" customHeight="1">
      <c r="A145" s="6"/>
      <c r="B145" s="6"/>
      <c r="C145" s="6"/>
      <c r="D145" s="19"/>
      <c r="E145" s="19"/>
      <c r="F145" s="6"/>
      <c r="G145" s="6"/>
      <c r="H145" s="6"/>
    </row>
    <row r="146" ht="15.75" customHeight="1">
      <c r="A146" s="6"/>
      <c r="B146" s="6"/>
      <c r="C146" s="6"/>
      <c r="D146" s="19"/>
      <c r="E146" s="19"/>
      <c r="F146" s="6"/>
      <c r="G146" s="6"/>
      <c r="H146" s="6"/>
    </row>
    <row r="147" ht="15.75" customHeight="1">
      <c r="A147" s="6"/>
      <c r="B147" s="6"/>
      <c r="C147" s="6"/>
      <c r="D147" s="19"/>
      <c r="E147" s="19"/>
      <c r="F147" s="6"/>
      <c r="G147" s="6"/>
      <c r="H147" s="6"/>
    </row>
    <row r="148" ht="15.75" customHeight="1">
      <c r="A148" s="6"/>
      <c r="B148" s="6"/>
      <c r="C148" s="6"/>
      <c r="D148" s="19"/>
      <c r="E148" s="19"/>
      <c r="F148" s="6"/>
      <c r="G148" s="6"/>
      <c r="H148" s="6"/>
    </row>
    <row r="149" ht="15.75" customHeight="1">
      <c r="A149" s="6"/>
      <c r="B149" s="6"/>
      <c r="C149" s="6"/>
      <c r="D149" s="19"/>
      <c r="E149" s="19"/>
      <c r="F149" s="6"/>
      <c r="G149" s="6"/>
      <c r="H149" s="6"/>
    </row>
    <row r="150" ht="15.75" customHeight="1">
      <c r="A150" s="6"/>
      <c r="B150" s="6"/>
      <c r="C150" s="6"/>
      <c r="D150" s="19"/>
      <c r="E150" s="19"/>
      <c r="F150" s="6"/>
      <c r="G150" s="6"/>
      <c r="H150" s="6"/>
    </row>
    <row r="151" ht="15.75" customHeight="1">
      <c r="A151" s="6"/>
      <c r="B151" s="6"/>
      <c r="C151" s="6"/>
      <c r="D151" s="19"/>
      <c r="E151" s="19"/>
      <c r="F151" s="6"/>
      <c r="G151" s="6"/>
      <c r="H151" s="6"/>
    </row>
    <row r="152" ht="15.75" customHeight="1">
      <c r="A152" s="6"/>
      <c r="B152" s="6"/>
      <c r="C152" s="6"/>
      <c r="D152" s="19"/>
      <c r="E152" s="19"/>
      <c r="F152" s="6"/>
      <c r="G152" s="6"/>
      <c r="H152" s="6"/>
    </row>
    <row r="153" ht="15.75" customHeight="1">
      <c r="A153" s="6"/>
      <c r="B153" s="6"/>
      <c r="C153" s="6"/>
      <c r="D153" s="19"/>
      <c r="E153" s="19"/>
      <c r="F153" s="6"/>
      <c r="G153" s="6"/>
      <c r="H153" s="6"/>
    </row>
    <row r="154" ht="15.75" customHeight="1">
      <c r="A154" s="6"/>
      <c r="B154" s="6"/>
      <c r="C154" s="6"/>
      <c r="D154" s="19"/>
      <c r="E154" s="19"/>
      <c r="F154" s="6"/>
      <c r="G154" s="6"/>
      <c r="H154" s="6"/>
    </row>
    <row r="155" ht="15.75" customHeight="1">
      <c r="A155" s="6"/>
      <c r="B155" s="6"/>
      <c r="C155" s="6"/>
      <c r="D155" s="19"/>
      <c r="E155" s="19"/>
      <c r="F155" s="6"/>
      <c r="G155" s="6"/>
      <c r="H155" s="6"/>
    </row>
    <row r="156" ht="15.75" customHeight="1">
      <c r="A156" s="6"/>
      <c r="B156" s="6"/>
      <c r="C156" s="6"/>
      <c r="D156" s="19"/>
      <c r="E156" s="19"/>
      <c r="F156" s="6"/>
      <c r="G156" s="6"/>
      <c r="H156" s="6"/>
    </row>
    <row r="157" ht="15.75" customHeight="1">
      <c r="A157" s="6"/>
      <c r="B157" s="6"/>
      <c r="C157" s="6"/>
      <c r="D157" s="19"/>
      <c r="E157" s="19"/>
      <c r="F157" s="6"/>
      <c r="G157" s="6"/>
      <c r="H157" s="6"/>
    </row>
    <row r="158" ht="15.75" customHeight="1">
      <c r="A158" s="6"/>
      <c r="B158" s="6"/>
      <c r="C158" s="6"/>
      <c r="D158" s="19"/>
      <c r="E158" s="19"/>
      <c r="F158" s="6"/>
      <c r="G158" s="6"/>
      <c r="H158" s="6"/>
    </row>
    <row r="159" ht="15.75" customHeight="1">
      <c r="A159" s="6"/>
      <c r="B159" s="6"/>
      <c r="C159" s="6"/>
      <c r="D159" s="19"/>
      <c r="E159" s="19"/>
      <c r="F159" s="6"/>
      <c r="G159" s="6"/>
      <c r="H159" s="6"/>
    </row>
    <row r="160" ht="15.75" customHeight="1">
      <c r="A160" s="6"/>
      <c r="B160" s="6"/>
      <c r="C160" s="6"/>
      <c r="D160" s="19"/>
      <c r="E160" s="19"/>
      <c r="F160" s="6"/>
      <c r="G160" s="6"/>
      <c r="H160" s="6"/>
    </row>
    <row r="161" ht="15.75" customHeight="1">
      <c r="A161" s="6"/>
      <c r="B161" s="6"/>
      <c r="C161" s="6"/>
      <c r="D161" s="19"/>
      <c r="E161" s="19"/>
      <c r="F161" s="6"/>
      <c r="G161" s="6"/>
      <c r="H161" s="6"/>
    </row>
    <row r="162" ht="15.75" customHeight="1">
      <c r="A162" s="6"/>
      <c r="B162" s="6"/>
      <c r="C162" s="6"/>
      <c r="D162" s="19"/>
      <c r="E162" s="19"/>
      <c r="F162" s="6"/>
      <c r="G162" s="6"/>
      <c r="H162" s="6"/>
    </row>
    <row r="163" ht="15.75" customHeight="1">
      <c r="A163" s="6"/>
      <c r="B163" s="6"/>
      <c r="C163" s="6"/>
      <c r="D163" s="19"/>
      <c r="E163" s="19"/>
      <c r="F163" s="6"/>
      <c r="G163" s="6"/>
      <c r="H163" s="6"/>
    </row>
    <row r="164" ht="15.75" customHeight="1">
      <c r="A164" s="6"/>
      <c r="B164" s="6"/>
      <c r="C164" s="6"/>
      <c r="D164" s="19"/>
      <c r="E164" s="19"/>
      <c r="F164" s="6"/>
      <c r="G164" s="6"/>
      <c r="H164" s="6"/>
    </row>
    <row r="165" ht="15.75" customHeight="1">
      <c r="A165" s="6"/>
      <c r="B165" s="6"/>
      <c r="C165" s="6"/>
      <c r="D165" s="19"/>
      <c r="E165" s="19"/>
      <c r="F165" s="6"/>
      <c r="G165" s="6"/>
      <c r="H165" s="6"/>
    </row>
    <row r="166" ht="15.75" customHeight="1">
      <c r="A166" s="6"/>
      <c r="B166" s="6"/>
      <c r="C166" s="6"/>
      <c r="D166" s="19"/>
      <c r="E166" s="19"/>
      <c r="F166" s="6"/>
      <c r="G166" s="6"/>
      <c r="H166" s="6"/>
    </row>
    <row r="167" ht="15.75" customHeight="1">
      <c r="A167" s="6"/>
      <c r="B167" s="6"/>
      <c r="C167" s="6"/>
      <c r="D167" s="19"/>
      <c r="E167" s="19"/>
      <c r="F167" s="6"/>
      <c r="G167" s="6"/>
      <c r="H167" s="6"/>
    </row>
    <row r="168" ht="15.75" customHeight="1">
      <c r="A168" s="6"/>
      <c r="B168" s="6"/>
      <c r="C168" s="6"/>
      <c r="D168" s="19"/>
      <c r="E168" s="19"/>
      <c r="F168" s="6"/>
      <c r="G168" s="6"/>
      <c r="H168" s="6"/>
    </row>
    <row r="169" ht="15.75" customHeight="1">
      <c r="A169" s="6"/>
      <c r="B169" s="6"/>
      <c r="C169" s="6"/>
      <c r="D169" s="19"/>
      <c r="E169" s="19"/>
      <c r="F169" s="6"/>
      <c r="G169" s="6"/>
      <c r="H169" s="6"/>
    </row>
    <row r="170" ht="15.75" customHeight="1">
      <c r="A170" s="6"/>
      <c r="B170" s="6"/>
      <c r="C170" s="6"/>
      <c r="D170" s="19"/>
      <c r="E170" s="19"/>
      <c r="F170" s="6"/>
      <c r="G170" s="6"/>
      <c r="H170" s="6"/>
    </row>
    <row r="171" ht="15.75" customHeight="1">
      <c r="A171" s="6"/>
      <c r="B171" s="6"/>
      <c r="C171" s="6"/>
      <c r="D171" s="19"/>
      <c r="E171" s="19"/>
      <c r="F171" s="6"/>
      <c r="G171" s="6"/>
      <c r="H171" s="6"/>
    </row>
    <row r="172" ht="15.75" customHeight="1">
      <c r="A172" s="6"/>
      <c r="B172" s="6"/>
      <c r="C172" s="6"/>
      <c r="D172" s="19"/>
      <c r="E172" s="19"/>
      <c r="F172" s="6"/>
      <c r="G172" s="6"/>
      <c r="H172" s="6"/>
    </row>
    <row r="173" ht="15.75" customHeight="1">
      <c r="A173" s="6"/>
      <c r="B173" s="6"/>
      <c r="C173" s="6"/>
      <c r="D173" s="19"/>
      <c r="E173" s="19"/>
      <c r="F173" s="6"/>
      <c r="G173" s="6"/>
      <c r="H173" s="6"/>
    </row>
    <row r="174" ht="15.75" customHeight="1">
      <c r="A174" s="6"/>
      <c r="B174" s="6"/>
      <c r="C174" s="6"/>
      <c r="D174" s="19"/>
      <c r="E174" s="19"/>
      <c r="F174" s="6"/>
      <c r="G174" s="6"/>
      <c r="H174" s="6"/>
    </row>
    <row r="175" ht="15.75" customHeight="1">
      <c r="A175" s="6"/>
      <c r="B175" s="6"/>
      <c r="C175" s="6"/>
      <c r="D175" s="19"/>
      <c r="E175" s="19"/>
      <c r="F175" s="6"/>
      <c r="G175" s="6"/>
      <c r="H175" s="6"/>
    </row>
    <row r="176" ht="15.75" customHeight="1">
      <c r="A176" s="6"/>
      <c r="B176" s="6"/>
      <c r="C176" s="6"/>
      <c r="D176" s="19"/>
      <c r="E176" s="19"/>
      <c r="F176" s="6"/>
      <c r="G176" s="6"/>
      <c r="H176" s="6"/>
    </row>
    <row r="177" ht="15.75" customHeight="1">
      <c r="A177" s="6"/>
      <c r="B177" s="6"/>
      <c r="C177" s="6"/>
      <c r="D177" s="19"/>
      <c r="E177" s="19"/>
      <c r="F177" s="6"/>
      <c r="G177" s="6"/>
      <c r="H177" s="6"/>
    </row>
    <row r="178" ht="15.75" customHeight="1">
      <c r="A178" s="6"/>
      <c r="B178" s="6"/>
      <c r="C178" s="6"/>
      <c r="D178" s="19"/>
      <c r="E178" s="19"/>
      <c r="F178" s="6"/>
      <c r="G178" s="6"/>
      <c r="H178" s="6"/>
    </row>
    <row r="179" ht="15.75" customHeight="1">
      <c r="A179" s="6"/>
      <c r="B179" s="6"/>
      <c r="C179" s="6"/>
      <c r="D179" s="19"/>
      <c r="E179" s="19"/>
      <c r="F179" s="6"/>
      <c r="G179" s="6"/>
      <c r="H179" s="6"/>
    </row>
    <row r="180" ht="15.75" customHeight="1">
      <c r="A180" s="6"/>
      <c r="B180" s="6"/>
      <c r="C180" s="6"/>
      <c r="D180" s="19"/>
      <c r="E180" s="19"/>
      <c r="F180" s="6"/>
      <c r="G180" s="6"/>
      <c r="H180" s="6"/>
    </row>
    <row r="181" ht="15.75" customHeight="1">
      <c r="A181" s="6"/>
      <c r="B181" s="6"/>
      <c r="C181" s="6"/>
      <c r="D181" s="19"/>
      <c r="E181" s="19"/>
      <c r="F181" s="6"/>
      <c r="G181" s="6"/>
      <c r="H181" s="6"/>
    </row>
    <row r="182" ht="15.75" customHeight="1">
      <c r="A182" s="6"/>
      <c r="B182" s="6"/>
      <c r="C182" s="6"/>
      <c r="D182" s="19"/>
      <c r="E182" s="19"/>
      <c r="F182" s="6"/>
      <c r="G182" s="6"/>
      <c r="H182" s="6"/>
    </row>
    <row r="183" ht="15.75" customHeight="1">
      <c r="A183" s="6"/>
      <c r="B183" s="6"/>
      <c r="C183" s="6"/>
      <c r="D183" s="19"/>
      <c r="E183" s="19"/>
      <c r="F183" s="6"/>
      <c r="G183" s="6"/>
      <c r="H183" s="6"/>
    </row>
    <row r="184" ht="15.75" customHeight="1">
      <c r="A184" s="6"/>
      <c r="B184" s="6"/>
      <c r="C184" s="6"/>
      <c r="D184" s="19"/>
      <c r="E184" s="19"/>
      <c r="F184" s="6"/>
      <c r="G184" s="6"/>
      <c r="H184" s="6"/>
    </row>
    <row r="185" ht="15.75" customHeight="1">
      <c r="A185" s="6"/>
      <c r="B185" s="6"/>
      <c r="C185" s="6"/>
      <c r="D185" s="19"/>
      <c r="E185" s="19"/>
      <c r="F185" s="6"/>
      <c r="G185" s="6"/>
      <c r="H185" s="6"/>
    </row>
    <row r="186" ht="15.75" customHeight="1">
      <c r="A186" s="6"/>
      <c r="B186" s="6"/>
      <c r="C186" s="6"/>
      <c r="D186" s="19"/>
      <c r="E186" s="19"/>
      <c r="F186" s="6"/>
      <c r="G186" s="6"/>
      <c r="H186" s="6"/>
    </row>
    <row r="187" ht="15.75" customHeight="1">
      <c r="A187" s="6"/>
      <c r="B187" s="6"/>
      <c r="C187" s="6"/>
      <c r="D187" s="19"/>
      <c r="E187" s="19"/>
      <c r="F187" s="6"/>
      <c r="G187" s="6"/>
      <c r="H187" s="6"/>
    </row>
    <row r="188" ht="15.75" customHeight="1">
      <c r="A188" s="6"/>
      <c r="B188" s="6"/>
      <c r="C188" s="6"/>
      <c r="D188" s="19"/>
      <c r="E188" s="19"/>
      <c r="F188" s="6"/>
      <c r="G188" s="6"/>
      <c r="H188" s="6"/>
    </row>
    <row r="189" ht="15.75" customHeight="1">
      <c r="A189" s="6"/>
      <c r="B189" s="6"/>
      <c r="C189" s="6"/>
      <c r="D189" s="19"/>
      <c r="E189" s="19"/>
      <c r="F189" s="6"/>
      <c r="G189" s="6"/>
      <c r="H189" s="6"/>
    </row>
    <row r="190" ht="15.75" customHeight="1">
      <c r="A190" s="6"/>
      <c r="B190" s="6"/>
      <c r="C190" s="6"/>
      <c r="D190" s="19"/>
      <c r="E190" s="19"/>
      <c r="F190" s="6"/>
      <c r="G190" s="6"/>
      <c r="H190" s="6"/>
    </row>
    <row r="191" ht="15.75" customHeight="1">
      <c r="A191" s="6"/>
      <c r="B191" s="6"/>
      <c r="C191" s="6"/>
      <c r="D191" s="19"/>
      <c r="E191" s="19"/>
      <c r="F191" s="6"/>
      <c r="G191" s="6"/>
      <c r="H191" s="6"/>
    </row>
    <row r="192" ht="15.75" customHeight="1">
      <c r="A192" s="6"/>
      <c r="B192" s="6"/>
      <c r="C192" s="6"/>
      <c r="D192" s="19"/>
      <c r="E192" s="19"/>
      <c r="F192" s="6"/>
      <c r="G192" s="6"/>
      <c r="H192" s="6"/>
    </row>
    <row r="193" ht="15.75" customHeight="1">
      <c r="A193" s="6"/>
      <c r="B193" s="6"/>
      <c r="C193" s="6"/>
      <c r="D193" s="19"/>
      <c r="E193" s="19"/>
      <c r="F193" s="6"/>
      <c r="G193" s="6"/>
      <c r="H193" s="6"/>
    </row>
    <row r="194" ht="15.75" customHeight="1">
      <c r="A194" s="6"/>
      <c r="B194" s="6"/>
      <c r="C194" s="6"/>
      <c r="D194" s="19"/>
      <c r="E194" s="19"/>
      <c r="F194" s="6"/>
      <c r="G194" s="6"/>
      <c r="H194" s="6"/>
    </row>
    <row r="195" ht="15.75" customHeight="1">
      <c r="A195" s="6"/>
      <c r="B195" s="6"/>
      <c r="C195" s="6"/>
      <c r="D195" s="19"/>
      <c r="E195" s="19"/>
      <c r="F195" s="6"/>
      <c r="G195" s="6"/>
      <c r="H195" s="6"/>
    </row>
    <row r="196" ht="15.75" customHeight="1">
      <c r="A196" s="6"/>
      <c r="B196" s="6"/>
      <c r="C196" s="6"/>
      <c r="D196" s="19"/>
      <c r="E196" s="19"/>
      <c r="F196" s="6"/>
      <c r="G196" s="6"/>
      <c r="H196" s="6"/>
    </row>
    <row r="197" ht="15.75" customHeight="1">
      <c r="A197" s="6"/>
      <c r="B197" s="6"/>
      <c r="C197" s="6"/>
      <c r="D197" s="19"/>
      <c r="E197" s="19"/>
      <c r="F197" s="6"/>
      <c r="G197" s="6"/>
      <c r="H197" s="6"/>
    </row>
    <row r="198" ht="15.75" customHeight="1">
      <c r="A198" s="6"/>
      <c r="B198" s="6"/>
      <c r="C198" s="6"/>
      <c r="D198" s="19"/>
      <c r="E198" s="19"/>
      <c r="F198" s="6"/>
      <c r="G198" s="6"/>
      <c r="H198" s="6"/>
    </row>
    <row r="199" ht="15.75" customHeight="1">
      <c r="A199" s="6"/>
      <c r="B199" s="6"/>
      <c r="C199" s="6"/>
      <c r="D199" s="19"/>
      <c r="E199" s="19"/>
      <c r="F199" s="6"/>
      <c r="G199" s="6"/>
      <c r="H199" s="6"/>
    </row>
    <row r="200" ht="15.75" customHeight="1">
      <c r="A200" s="6"/>
      <c r="B200" s="6"/>
      <c r="C200" s="6"/>
      <c r="D200" s="19"/>
      <c r="E200" s="19"/>
      <c r="F200" s="6"/>
      <c r="G200" s="6"/>
      <c r="H200" s="6"/>
    </row>
    <row r="201" ht="15.75" customHeight="1">
      <c r="A201" s="6"/>
      <c r="B201" s="6"/>
      <c r="C201" s="6"/>
      <c r="D201" s="19"/>
      <c r="E201" s="19"/>
      <c r="F201" s="6"/>
      <c r="G201" s="6"/>
      <c r="H201" s="6"/>
    </row>
    <row r="202" ht="15.75" customHeight="1">
      <c r="A202" s="6"/>
      <c r="B202" s="6"/>
      <c r="C202" s="6"/>
      <c r="D202" s="19"/>
      <c r="E202" s="19"/>
      <c r="F202" s="6"/>
      <c r="G202" s="6"/>
      <c r="H202" s="6"/>
    </row>
    <row r="203" ht="15.75" customHeight="1">
      <c r="A203" s="6"/>
      <c r="B203" s="6"/>
      <c r="C203" s="6"/>
      <c r="D203" s="19"/>
      <c r="E203" s="19"/>
      <c r="F203" s="6"/>
      <c r="G203" s="6"/>
      <c r="H203" s="6"/>
    </row>
    <row r="204" ht="15.75" customHeight="1">
      <c r="A204" s="6"/>
      <c r="B204" s="6"/>
      <c r="C204" s="6"/>
      <c r="D204" s="19"/>
      <c r="E204" s="19"/>
      <c r="F204" s="6"/>
      <c r="G204" s="6"/>
      <c r="H204" s="6"/>
    </row>
    <row r="205" ht="15.75" customHeight="1">
      <c r="A205" s="6"/>
      <c r="B205" s="6"/>
      <c r="C205" s="6"/>
      <c r="D205" s="19"/>
      <c r="E205" s="19"/>
      <c r="F205" s="6"/>
      <c r="G205" s="6"/>
      <c r="H205" s="6"/>
    </row>
    <row r="206" ht="15.75" customHeight="1">
      <c r="A206" s="6"/>
      <c r="B206" s="6"/>
      <c r="C206" s="6"/>
      <c r="D206" s="19"/>
      <c r="E206" s="19"/>
      <c r="F206" s="6"/>
      <c r="G206" s="6"/>
      <c r="H206" s="6"/>
    </row>
    <row r="207" ht="15.75" customHeight="1">
      <c r="A207" s="6"/>
      <c r="B207" s="6"/>
      <c r="C207" s="6"/>
      <c r="D207" s="19"/>
      <c r="E207" s="19"/>
      <c r="F207" s="6"/>
      <c r="G207" s="6"/>
      <c r="H207" s="6"/>
    </row>
    <row r="208" ht="15.75" customHeight="1">
      <c r="A208" s="6"/>
      <c r="B208" s="6"/>
      <c r="C208" s="6"/>
      <c r="D208" s="19"/>
      <c r="E208" s="19"/>
      <c r="F208" s="6"/>
      <c r="G208" s="6"/>
      <c r="H208" s="6"/>
    </row>
    <row r="209" ht="15.75" customHeight="1">
      <c r="A209" s="6"/>
      <c r="B209" s="6"/>
      <c r="C209" s="6"/>
      <c r="D209" s="19"/>
      <c r="E209" s="19"/>
      <c r="F209" s="6"/>
      <c r="G209" s="6"/>
      <c r="H209" s="6"/>
    </row>
    <row r="210" ht="15.75" customHeight="1">
      <c r="A210" s="6"/>
      <c r="B210" s="6"/>
      <c r="C210" s="6"/>
      <c r="D210" s="19"/>
      <c r="E210" s="19"/>
      <c r="F210" s="6"/>
      <c r="G210" s="6"/>
      <c r="H210" s="6"/>
    </row>
    <row r="211" ht="15.75" customHeight="1">
      <c r="A211" s="6"/>
      <c r="B211" s="6"/>
      <c r="C211" s="6"/>
      <c r="D211" s="19"/>
      <c r="E211" s="19"/>
      <c r="F211" s="6"/>
      <c r="G211" s="6"/>
      <c r="H211" s="6"/>
    </row>
    <row r="212" ht="15.75" customHeight="1">
      <c r="A212" s="6"/>
      <c r="B212" s="6"/>
      <c r="C212" s="6"/>
      <c r="D212" s="19"/>
      <c r="E212" s="19"/>
      <c r="F212" s="6"/>
      <c r="G212" s="6"/>
      <c r="H212" s="6"/>
    </row>
    <row r="213" ht="15.75" customHeight="1">
      <c r="A213" s="6"/>
      <c r="B213" s="6"/>
      <c r="C213" s="6"/>
      <c r="D213" s="19"/>
      <c r="E213" s="19"/>
      <c r="F213" s="6"/>
      <c r="G213" s="6"/>
      <c r="H213" s="6"/>
    </row>
    <row r="214" ht="15.75" customHeight="1">
      <c r="A214" s="6"/>
      <c r="B214" s="6"/>
      <c r="C214" s="6"/>
      <c r="D214" s="19"/>
      <c r="E214" s="19"/>
      <c r="F214" s="6"/>
      <c r="G214" s="6"/>
      <c r="H214" s="6"/>
    </row>
    <row r="215" ht="15.75" customHeight="1">
      <c r="A215" s="6"/>
      <c r="B215" s="6"/>
      <c r="C215" s="6"/>
      <c r="D215" s="19"/>
      <c r="E215" s="19"/>
      <c r="F215" s="6"/>
      <c r="G215" s="6"/>
      <c r="H215" s="6"/>
    </row>
    <row r="216" ht="15.75" customHeight="1">
      <c r="A216" s="6"/>
      <c r="B216" s="6"/>
      <c r="C216" s="6"/>
      <c r="D216" s="19"/>
      <c r="E216" s="19"/>
      <c r="F216" s="6"/>
      <c r="G216" s="6"/>
      <c r="H216" s="6"/>
    </row>
    <row r="217" ht="15.75" customHeight="1">
      <c r="A217" s="6"/>
      <c r="B217" s="6"/>
      <c r="C217" s="6"/>
      <c r="D217" s="19"/>
      <c r="E217" s="19"/>
      <c r="F217" s="6"/>
      <c r="G217" s="6"/>
      <c r="H217" s="6"/>
    </row>
    <row r="218" ht="15.75" customHeight="1">
      <c r="A218" s="6"/>
      <c r="B218" s="6"/>
      <c r="C218" s="6"/>
      <c r="D218" s="19"/>
      <c r="E218" s="19"/>
      <c r="F218" s="6"/>
      <c r="G218" s="6"/>
      <c r="H218" s="6"/>
    </row>
    <row r="219" ht="15.75" customHeight="1">
      <c r="A219" s="6"/>
      <c r="B219" s="6"/>
      <c r="C219" s="6"/>
      <c r="D219" s="19"/>
      <c r="E219" s="19"/>
      <c r="F219" s="6"/>
      <c r="G219" s="6"/>
      <c r="H219" s="6"/>
    </row>
    <row r="220" ht="15.75" customHeight="1">
      <c r="A220" s="6"/>
      <c r="B220" s="6"/>
      <c r="C220" s="6"/>
      <c r="D220" s="19"/>
      <c r="E220" s="19"/>
      <c r="F220" s="6"/>
      <c r="G220" s="6"/>
      <c r="H220" s="6"/>
    </row>
    <row r="221" ht="15.75" customHeight="1">
      <c r="A221" s="6"/>
      <c r="B221" s="6"/>
      <c r="C221" s="6"/>
      <c r="D221" s="19"/>
      <c r="E221" s="19"/>
      <c r="F221" s="6"/>
      <c r="G221" s="6"/>
      <c r="H221" s="6"/>
    </row>
    <row r="222" ht="15.75" customHeight="1">
      <c r="A222" s="6"/>
      <c r="B222" s="6"/>
      <c r="C222" s="6"/>
      <c r="D222" s="19"/>
      <c r="E222" s="19"/>
      <c r="F222" s="6"/>
      <c r="G222" s="6"/>
      <c r="H222" s="6"/>
    </row>
    <row r="223" ht="15.75" customHeight="1">
      <c r="A223" s="6"/>
      <c r="B223" s="6"/>
      <c r="C223" s="6"/>
      <c r="D223" s="19"/>
      <c r="E223" s="19"/>
      <c r="F223" s="6"/>
      <c r="G223" s="6"/>
      <c r="H223" s="6"/>
    </row>
    <row r="224" ht="15.75" customHeight="1">
      <c r="A224" s="6"/>
      <c r="B224" s="6"/>
      <c r="C224" s="6"/>
      <c r="D224" s="19"/>
      <c r="E224" s="19"/>
      <c r="F224" s="6"/>
      <c r="G224" s="6"/>
      <c r="H224" s="6"/>
    </row>
    <row r="225" ht="15.75" customHeight="1">
      <c r="A225" s="6"/>
      <c r="B225" s="6"/>
      <c r="C225" s="6"/>
      <c r="D225" s="19"/>
      <c r="E225" s="19"/>
      <c r="F225" s="6"/>
      <c r="G225" s="6"/>
      <c r="H225" s="6"/>
    </row>
    <row r="226" ht="15.75" customHeight="1">
      <c r="A226" s="6"/>
      <c r="B226" s="6"/>
      <c r="C226" s="6"/>
      <c r="D226" s="19"/>
      <c r="E226" s="19"/>
      <c r="F226" s="6"/>
      <c r="G226" s="6"/>
      <c r="H226" s="6"/>
    </row>
    <row r="227" ht="15.75" customHeight="1">
      <c r="A227" s="6"/>
      <c r="B227" s="6"/>
      <c r="C227" s="6"/>
      <c r="D227" s="19"/>
      <c r="E227" s="19"/>
      <c r="F227" s="6"/>
      <c r="G227" s="6"/>
      <c r="H227" s="6"/>
    </row>
    <row r="228" ht="15.75" customHeight="1">
      <c r="A228" s="6"/>
      <c r="B228" s="6"/>
      <c r="C228" s="6"/>
      <c r="D228" s="19"/>
      <c r="E228" s="19"/>
      <c r="F228" s="6"/>
      <c r="G228" s="6"/>
      <c r="H228" s="6"/>
    </row>
    <row r="229" ht="15.75" customHeight="1">
      <c r="A229" s="6"/>
      <c r="B229" s="6"/>
      <c r="C229" s="6"/>
      <c r="D229" s="19"/>
      <c r="E229" s="19"/>
      <c r="F229" s="6"/>
      <c r="G229" s="6"/>
      <c r="H229" s="6"/>
    </row>
    <row r="230" ht="15.75" customHeight="1">
      <c r="A230" s="6"/>
      <c r="B230" s="6"/>
      <c r="C230" s="6"/>
      <c r="D230" s="19"/>
      <c r="E230" s="19"/>
      <c r="F230" s="6"/>
      <c r="G230" s="6"/>
      <c r="H230" s="6"/>
    </row>
    <row r="231" ht="15.75" customHeight="1">
      <c r="A231" s="6"/>
      <c r="B231" s="6"/>
      <c r="C231" s="6"/>
      <c r="D231" s="19"/>
      <c r="E231" s="19"/>
      <c r="F231" s="6"/>
      <c r="G231" s="6"/>
      <c r="H231" s="6"/>
    </row>
    <row r="232" ht="15.75" customHeight="1">
      <c r="A232" s="6"/>
      <c r="B232" s="6"/>
      <c r="C232" s="6"/>
      <c r="D232" s="19"/>
      <c r="E232" s="19"/>
      <c r="F232" s="6"/>
      <c r="G232" s="6"/>
      <c r="H232" s="6"/>
    </row>
    <row r="233" ht="15.75" customHeight="1">
      <c r="A233" s="6"/>
      <c r="B233" s="6"/>
      <c r="C233" s="6"/>
      <c r="D233" s="19"/>
      <c r="E233" s="19"/>
      <c r="F233" s="6"/>
      <c r="G233" s="6"/>
      <c r="H233" s="6"/>
    </row>
    <row r="234" ht="15.75" customHeight="1">
      <c r="A234" s="6"/>
      <c r="B234" s="6"/>
      <c r="C234" s="6"/>
      <c r="D234" s="19"/>
      <c r="E234" s="19"/>
      <c r="F234" s="6"/>
      <c r="G234" s="6"/>
      <c r="H234" s="6"/>
    </row>
    <row r="235" ht="15.75" customHeight="1">
      <c r="A235" s="6"/>
      <c r="B235" s="6"/>
      <c r="C235" s="6"/>
      <c r="D235" s="19"/>
      <c r="E235" s="19"/>
      <c r="F235" s="6"/>
      <c r="G235" s="6"/>
      <c r="H235" s="6"/>
    </row>
    <row r="236" ht="15.75" customHeight="1">
      <c r="A236" s="6"/>
      <c r="B236" s="6"/>
      <c r="C236" s="6"/>
      <c r="D236" s="19"/>
      <c r="E236" s="19"/>
      <c r="F236" s="6"/>
      <c r="G236" s="6"/>
      <c r="H236" s="6"/>
    </row>
    <row r="237" ht="15.75" customHeight="1">
      <c r="A237" s="6"/>
      <c r="B237" s="6"/>
      <c r="C237" s="6"/>
      <c r="D237" s="19"/>
      <c r="E237" s="19"/>
      <c r="F237" s="6"/>
      <c r="G237" s="6"/>
      <c r="H237" s="6"/>
    </row>
    <row r="238" ht="15.75" customHeight="1">
      <c r="A238" s="6"/>
      <c r="B238" s="6"/>
      <c r="C238" s="6"/>
      <c r="D238" s="19"/>
      <c r="E238" s="19"/>
      <c r="F238" s="6"/>
      <c r="G238" s="6"/>
      <c r="H238" s="6"/>
    </row>
    <row r="239" ht="15.75" customHeight="1">
      <c r="A239" s="6"/>
      <c r="B239" s="6"/>
      <c r="C239" s="6"/>
      <c r="D239" s="19"/>
      <c r="E239" s="19"/>
      <c r="F239" s="6"/>
      <c r="G239" s="6"/>
      <c r="H239" s="6"/>
    </row>
    <row r="240" ht="15.75" customHeight="1">
      <c r="A240" s="6"/>
      <c r="B240" s="6"/>
      <c r="C240" s="6"/>
      <c r="D240" s="19"/>
      <c r="E240" s="19"/>
      <c r="F240" s="6"/>
      <c r="G240" s="6"/>
      <c r="H240" s="6"/>
    </row>
    <row r="241" ht="15.75" customHeight="1">
      <c r="A241" s="6"/>
      <c r="B241" s="6"/>
      <c r="C241" s="6"/>
      <c r="D241" s="19"/>
      <c r="E241" s="19"/>
      <c r="F241" s="6"/>
      <c r="G241" s="6"/>
      <c r="H241" s="6"/>
    </row>
    <row r="242" ht="15.75" customHeight="1">
      <c r="A242" s="6"/>
      <c r="B242" s="6"/>
      <c r="C242" s="6"/>
      <c r="D242" s="19"/>
      <c r="E242" s="19"/>
      <c r="F242" s="6"/>
      <c r="G242" s="6"/>
      <c r="H242" s="6"/>
    </row>
    <row r="243" ht="15.75" customHeight="1">
      <c r="A243" s="6"/>
      <c r="B243" s="6"/>
      <c r="C243" s="6"/>
      <c r="D243" s="19"/>
      <c r="E243" s="19"/>
      <c r="F243" s="6"/>
      <c r="G243" s="6"/>
      <c r="H243" s="6"/>
    </row>
    <row r="244" ht="15.75" customHeight="1">
      <c r="A244" s="6"/>
      <c r="B244" s="6"/>
      <c r="C244" s="6"/>
      <c r="D244" s="19"/>
      <c r="E244" s="19"/>
      <c r="F244" s="6"/>
      <c r="G244" s="6"/>
      <c r="H244" s="6"/>
    </row>
    <row r="245" ht="15.75" customHeight="1">
      <c r="A245" s="6"/>
      <c r="B245" s="6"/>
      <c r="C245" s="6"/>
      <c r="D245" s="19"/>
      <c r="E245" s="19"/>
      <c r="F245" s="6"/>
      <c r="G245" s="6"/>
      <c r="H245" s="6"/>
    </row>
    <row r="246" ht="15.75" customHeight="1">
      <c r="A246" s="6"/>
      <c r="B246" s="6"/>
      <c r="C246" s="6"/>
      <c r="D246" s="19"/>
      <c r="E246" s="19"/>
      <c r="F246" s="6"/>
      <c r="G246" s="6"/>
      <c r="H246" s="6"/>
    </row>
    <row r="247" ht="15.75" customHeight="1">
      <c r="A247" s="6"/>
      <c r="B247" s="6"/>
      <c r="C247" s="6"/>
      <c r="D247" s="19"/>
      <c r="E247" s="19"/>
      <c r="F247" s="6"/>
      <c r="G247" s="6"/>
      <c r="H247" s="6"/>
    </row>
    <row r="248" ht="15.75" customHeight="1">
      <c r="A248" s="6"/>
      <c r="B248" s="6"/>
      <c r="C248" s="6"/>
      <c r="D248" s="19"/>
      <c r="E248" s="19"/>
      <c r="F248" s="6"/>
      <c r="G248" s="6"/>
      <c r="H248" s="6"/>
    </row>
    <row r="249" ht="15.75" customHeight="1">
      <c r="A249" s="6"/>
      <c r="B249" s="6"/>
      <c r="C249" s="6"/>
      <c r="D249" s="19"/>
      <c r="E249" s="19"/>
      <c r="F249" s="6"/>
      <c r="G249" s="6"/>
      <c r="H249" s="6"/>
    </row>
    <row r="250" ht="15.75" customHeight="1">
      <c r="A250" s="6"/>
      <c r="B250" s="6"/>
      <c r="C250" s="6"/>
      <c r="D250" s="19"/>
      <c r="E250" s="19"/>
      <c r="F250" s="6"/>
      <c r="G250" s="6"/>
      <c r="H250" s="6"/>
    </row>
    <row r="251" ht="15.75" customHeight="1">
      <c r="A251" s="6"/>
      <c r="B251" s="6"/>
      <c r="C251" s="6"/>
      <c r="D251" s="19"/>
      <c r="E251" s="19"/>
      <c r="F251" s="6"/>
      <c r="G251" s="6"/>
      <c r="H251" s="6"/>
    </row>
    <row r="252" ht="15.75" customHeight="1">
      <c r="A252" s="6"/>
      <c r="B252" s="6"/>
      <c r="C252" s="6"/>
      <c r="D252" s="19"/>
      <c r="E252" s="19"/>
      <c r="F252" s="6"/>
      <c r="G252" s="6"/>
      <c r="H252" s="6"/>
    </row>
    <row r="253" ht="15.75" customHeight="1">
      <c r="A253" s="6"/>
      <c r="B253" s="6"/>
      <c r="C253" s="6"/>
      <c r="D253" s="19"/>
      <c r="E253" s="19"/>
      <c r="F253" s="6"/>
      <c r="G253" s="6"/>
      <c r="H253" s="6"/>
    </row>
    <row r="254" ht="15.75" customHeight="1">
      <c r="A254" s="6"/>
      <c r="B254" s="6"/>
      <c r="C254" s="6"/>
      <c r="D254" s="19"/>
      <c r="E254" s="19"/>
      <c r="F254" s="6"/>
      <c r="G254" s="6"/>
      <c r="H254" s="6"/>
    </row>
    <row r="255" ht="15.75" customHeight="1">
      <c r="A255" s="6"/>
      <c r="B255" s="6"/>
      <c r="C255" s="6"/>
      <c r="D255" s="19"/>
      <c r="E255" s="19"/>
      <c r="F255" s="6"/>
      <c r="G255" s="6"/>
      <c r="H255" s="6"/>
    </row>
    <row r="256" ht="15.75" customHeight="1">
      <c r="A256" s="6"/>
      <c r="B256" s="6"/>
      <c r="C256" s="6"/>
      <c r="D256" s="19"/>
      <c r="E256" s="19"/>
      <c r="F256" s="6"/>
      <c r="G256" s="6"/>
      <c r="H256" s="6"/>
    </row>
    <row r="257" ht="15.75" customHeight="1">
      <c r="A257" s="6"/>
      <c r="B257" s="6"/>
      <c r="C257" s="6"/>
      <c r="D257" s="19"/>
      <c r="E257" s="19"/>
      <c r="F257" s="6"/>
      <c r="G257" s="6"/>
      <c r="H257" s="6"/>
    </row>
    <row r="258" ht="15.75" customHeight="1">
      <c r="A258" s="6"/>
      <c r="B258" s="6"/>
      <c r="C258" s="6"/>
      <c r="D258" s="19"/>
      <c r="E258" s="19"/>
      <c r="F258" s="6"/>
      <c r="G258" s="6"/>
      <c r="H258" s="6"/>
    </row>
    <row r="259" ht="15.75" customHeight="1">
      <c r="A259" s="6"/>
      <c r="B259" s="6"/>
      <c r="C259" s="6"/>
      <c r="D259" s="19"/>
      <c r="E259" s="19"/>
      <c r="F259" s="6"/>
      <c r="G259" s="6"/>
      <c r="H259" s="6"/>
    </row>
    <row r="260" ht="15.75" customHeight="1">
      <c r="A260" s="6"/>
      <c r="B260" s="6"/>
      <c r="C260" s="6"/>
      <c r="D260" s="19"/>
      <c r="E260" s="19"/>
      <c r="F260" s="6"/>
      <c r="G260" s="6"/>
      <c r="H260" s="6"/>
    </row>
    <row r="261" ht="15.75" customHeight="1">
      <c r="A261" s="6"/>
      <c r="B261" s="6"/>
      <c r="C261" s="6"/>
      <c r="D261" s="19"/>
      <c r="E261" s="19"/>
      <c r="F261" s="6"/>
      <c r="G261" s="6"/>
      <c r="H261" s="6"/>
    </row>
    <row r="262" ht="15.75" customHeight="1">
      <c r="A262" s="6"/>
      <c r="B262" s="6"/>
      <c r="C262" s="6"/>
      <c r="D262" s="19"/>
      <c r="E262" s="19"/>
      <c r="F262" s="6"/>
      <c r="G262" s="6"/>
      <c r="H262" s="6"/>
    </row>
    <row r="263" ht="15.75" customHeight="1">
      <c r="A263" s="6"/>
      <c r="B263" s="6"/>
      <c r="C263" s="6"/>
      <c r="D263" s="19"/>
      <c r="E263" s="19"/>
      <c r="F263" s="6"/>
      <c r="G263" s="6"/>
      <c r="H263" s="6"/>
    </row>
    <row r="264" ht="15.75" customHeight="1">
      <c r="A264" s="6"/>
      <c r="B264" s="6"/>
      <c r="C264" s="6"/>
      <c r="D264" s="19"/>
      <c r="E264" s="19"/>
      <c r="F264" s="6"/>
      <c r="G264" s="6"/>
      <c r="H264" s="6"/>
    </row>
    <row r="265" ht="15.75" customHeight="1">
      <c r="A265" s="6"/>
      <c r="B265" s="6"/>
      <c r="C265" s="6"/>
      <c r="D265" s="19"/>
      <c r="E265" s="19"/>
      <c r="F265" s="6"/>
      <c r="G265" s="6"/>
      <c r="H265" s="6"/>
    </row>
    <row r="266" ht="15.75" customHeight="1">
      <c r="A266" s="6"/>
      <c r="B266" s="6"/>
      <c r="C266" s="6"/>
      <c r="D266" s="19"/>
      <c r="E266" s="19"/>
      <c r="F266" s="6"/>
      <c r="G266" s="6"/>
      <c r="H266" s="6"/>
    </row>
    <row r="267" ht="15.75" customHeight="1">
      <c r="A267" s="6"/>
      <c r="B267" s="6"/>
      <c r="C267" s="6"/>
      <c r="D267" s="19"/>
      <c r="E267" s="19"/>
      <c r="F267" s="6"/>
      <c r="G267" s="6"/>
      <c r="H267" s="6"/>
    </row>
    <row r="268" ht="15.75" customHeight="1">
      <c r="A268" s="6"/>
      <c r="B268" s="6"/>
      <c r="C268" s="6"/>
      <c r="D268" s="19"/>
      <c r="E268" s="19"/>
      <c r="F268" s="6"/>
      <c r="G268" s="6"/>
      <c r="H268" s="6"/>
    </row>
    <row r="269" ht="15.75" customHeight="1">
      <c r="A269" s="6"/>
      <c r="B269" s="6"/>
      <c r="C269" s="6"/>
      <c r="D269" s="19"/>
      <c r="E269" s="19"/>
      <c r="F269" s="6"/>
      <c r="G269" s="6"/>
      <c r="H269" s="6"/>
    </row>
    <row r="270" ht="15.75" customHeight="1">
      <c r="A270" s="6"/>
      <c r="B270" s="6"/>
      <c r="C270" s="6"/>
      <c r="D270" s="19"/>
      <c r="E270" s="19"/>
      <c r="F270" s="6"/>
      <c r="G270" s="6"/>
      <c r="H270" s="6"/>
    </row>
    <row r="271" ht="15.75" customHeight="1">
      <c r="A271" s="6"/>
      <c r="B271" s="6"/>
      <c r="C271" s="6"/>
      <c r="D271" s="19"/>
      <c r="E271" s="19"/>
      <c r="F271" s="6"/>
      <c r="G271" s="6"/>
      <c r="H271" s="6"/>
    </row>
    <row r="272" ht="15.75" customHeight="1">
      <c r="A272" s="6"/>
      <c r="B272" s="6"/>
      <c r="C272" s="6"/>
      <c r="D272" s="19"/>
      <c r="E272" s="19"/>
      <c r="F272" s="6"/>
      <c r="G272" s="6"/>
      <c r="H272" s="6"/>
    </row>
    <row r="273" ht="15.75" customHeight="1">
      <c r="A273" s="6"/>
      <c r="B273" s="6"/>
      <c r="C273" s="6"/>
      <c r="D273" s="19"/>
      <c r="E273" s="19"/>
      <c r="F273" s="6"/>
      <c r="G273" s="6"/>
      <c r="H273" s="6"/>
    </row>
    <row r="274" ht="15.75" customHeight="1">
      <c r="A274" s="6"/>
      <c r="B274" s="6"/>
      <c r="C274" s="6"/>
      <c r="D274" s="19"/>
      <c r="E274" s="19"/>
      <c r="F274" s="6"/>
      <c r="G274" s="6"/>
      <c r="H274" s="6"/>
    </row>
    <row r="275" ht="15.75" customHeight="1">
      <c r="A275" s="6"/>
      <c r="B275" s="6"/>
      <c r="C275" s="6"/>
      <c r="D275" s="19"/>
      <c r="E275" s="19"/>
      <c r="F275" s="6"/>
      <c r="G275" s="6"/>
      <c r="H275" s="6"/>
    </row>
    <row r="276" ht="15.75" customHeight="1">
      <c r="A276" s="6"/>
      <c r="B276" s="6"/>
      <c r="C276" s="6"/>
      <c r="D276" s="19"/>
      <c r="E276" s="19"/>
      <c r="F276" s="6"/>
      <c r="G276" s="6"/>
      <c r="H276" s="6"/>
    </row>
    <row r="277" ht="15.75" customHeight="1">
      <c r="A277" s="6"/>
      <c r="B277" s="6"/>
      <c r="C277" s="6"/>
      <c r="D277" s="19"/>
      <c r="E277" s="19"/>
      <c r="F277" s="6"/>
      <c r="G277" s="6"/>
      <c r="H277" s="6"/>
    </row>
    <row r="278" ht="15.75" customHeight="1">
      <c r="A278" s="6"/>
      <c r="B278" s="6"/>
      <c r="C278" s="6"/>
      <c r="D278" s="19"/>
      <c r="E278" s="19"/>
      <c r="F278" s="6"/>
      <c r="G278" s="6"/>
      <c r="H278" s="6"/>
    </row>
    <row r="279" ht="15.75" customHeight="1">
      <c r="A279" s="6"/>
      <c r="B279" s="6"/>
      <c r="C279" s="6"/>
      <c r="D279" s="19"/>
      <c r="E279" s="19"/>
      <c r="F279" s="6"/>
      <c r="G279" s="6"/>
      <c r="H279" s="6"/>
    </row>
    <row r="280" ht="15.75" customHeight="1">
      <c r="A280" s="6"/>
      <c r="B280" s="6"/>
      <c r="C280" s="6"/>
      <c r="D280" s="19"/>
      <c r="E280" s="19"/>
      <c r="F280" s="6"/>
      <c r="G280" s="6"/>
      <c r="H280" s="6"/>
    </row>
    <row r="281" ht="15.75" customHeight="1">
      <c r="A281" s="6"/>
      <c r="B281" s="6"/>
      <c r="C281" s="6"/>
      <c r="D281" s="19"/>
      <c r="E281" s="19"/>
      <c r="F281" s="6"/>
      <c r="G281" s="6"/>
      <c r="H281" s="6"/>
    </row>
    <row r="282" ht="15.75" customHeight="1">
      <c r="A282" s="6"/>
      <c r="B282" s="6"/>
      <c r="C282" s="6"/>
      <c r="D282" s="19"/>
      <c r="E282" s="19"/>
      <c r="F282" s="6"/>
      <c r="G282" s="6"/>
      <c r="H282" s="6"/>
    </row>
    <row r="283" ht="15.75" customHeight="1">
      <c r="A283" s="6"/>
      <c r="B283" s="6"/>
      <c r="C283" s="6"/>
      <c r="D283" s="19"/>
      <c r="E283" s="19"/>
      <c r="F283" s="6"/>
      <c r="G283" s="6"/>
      <c r="H283" s="6"/>
    </row>
    <row r="284" ht="15.75" customHeight="1">
      <c r="A284" s="6"/>
      <c r="B284" s="6"/>
      <c r="C284" s="6"/>
      <c r="D284" s="19"/>
      <c r="E284" s="19"/>
      <c r="F284" s="6"/>
      <c r="G284" s="6"/>
      <c r="H284" s="6"/>
    </row>
    <row r="285" ht="15.75" customHeight="1">
      <c r="A285" s="6"/>
      <c r="B285" s="6"/>
      <c r="C285" s="6"/>
      <c r="D285" s="19"/>
      <c r="E285" s="19"/>
      <c r="F285" s="6"/>
      <c r="G285" s="6"/>
      <c r="H285" s="6"/>
    </row>
    <row r="286" ht="15.75" customHeight="1">
      <c r="A286" s="6"/>
      <c r="B286" s="6"/>
      <c r="C286" s="6"/>
      <c r="D286" s="19"/>
      <c r="E286" s="19"/>
      <c r="F286" s="6"/>
      <c r="G286" s="6"/>
      <c r="H286" s="6"/>
    </row>
    <row r="287" ht="15.75" customHeight="1">
      <c r="A287" s="6"/>
      <c r="B287" s="6"/>
      <c r="C287" s="6"/>
      <c r="D287" s="19"/>
      <c r="E287" s="19"/>
      <c r="F287" s="6"/>
      <c r="G287" s="6"/>
      <c r="H287" s="6"/>
    </row>
    <row r="288" ht="15.75" customHeight="1">
      <c r="A288" s="6"/>
      <c r="B288" s="6"/>
      <c r="C288" s="6"/>
      <c r="D288" s="19"/>
      <c r="E288" s="19"/>
      <c r="F288" s="6"/>
      <c r="G288" s="6"/>
      <c r="H288" s="6"/>
    </row>
    <row r="289" ht="15.75" customHeight="1">
      <c r="A289" s="6"/>
      <c r="B289" s="6"/>
      <c r="C289" s="6"/>
      <c r="D289" s="19"/>
      <c r="E289" s="19"/>
      <c r="F289" s="6"/>
      <c r="G289" s="6"/>
      <c r="H289" s="6"/>
    </row>
    <row r="290" ht="15.75" customHeight="1">
      <c r="A290" s="6"/>
      <c r="B290" s="6"/>
      <c r="C290" s="6"/>
      <c r="D290" s="19"/>
      <c r="E290" s="19"/>
      <c r="F290" s="6"/>
      <c r="G290" s="6"/>
      <c r="H290" s="6"/>
    </row>
    <row r="291" ht="15.75" customHeight="1">
      <c r="A291" s="6"/>
      <c r="B291" s="6"/>
      <c r="C291" s="6"/>
      <c r="D291" s="19"/>
      <c r="E291" s="19"/>
      <c r="F291" s="6"/>
      <c r="G291" s="6"/>
      <c r="H291" s="6"/>
    </row>
    <row r="292" ht="15.75" customHeight="1">
      <c r="A292" s="6"/>
      <c r="B292" s="6"/>
      <c r="C292" s="6"/>
      <c r="D292" s="19"/>
      <c r="E292" s="19"/>
      <c r="F292" s="6"/>
      <c r="G292" s="6"/>
      <c r="H292" s="6"/>
    </row>
    <row r="293" ht="15.75" customHeight="1">
      <c r="A293" s="6"/>
      <c r="B293" s="6"/>
      <c r="C293" s="6"/>
      <c r="D293" s="19"/>
      <c r="E293" s="19"/>
      <c r="F293" s="6"/>
      <c r="G293" s="6"/>
      <c r="H293" s="6"/>
    </row>
    <row r="294" ht="15.75" customHeight="1">
      <c r="A294" s="6"/>
      <c r="B294" s="6"/>
      <c r="C294" s="6"/>
      <c r="D294" s="19"/>
      <c r="E294" s="19"/>
      <c r="F294" s="6"/>
      <c r="G294" s="6"/>
      <c r="H294" s="6"/>
    </row>
    <row r="295" ht="15.75" customHeight="1">
      <c r="A295" s="6"/>
      <c r="B295" s="6"/>
      <c r="C295" s="6"/>
      <c r="D295" s="19"/>
      <c r="E295" s="19"/>
      <c r="F295" s="6"/>
      <c r="G295" s="6"/>
      <c r="H295" s="6"/>
    </row>
    <row r="296" ht="15.75" customHeight="1">
      <c r="A296" s="6"/>
      <c r="B296" s="6"/>
      <c r="C296" s="6"/>
      <c r="D296" s="19"/>
      <c r="E296" s="19"/>
      <c r="F296" s="6"/>
      <c r="G296" s="6"/>
      <c r="H296" s="6"/>
    </row>
    <row r="297" ht="15.75" customHeight="1">
      <c r="A297" s="6"/>
      <c r="B297" s="6"/>
      <c r="C297" s="6"/>
      <c r="D297" s="19"/>
      <c r="E297" s="19"/>
      <c r="F297" s="6"/>
      <c r="G297" s="6"/>
      <c r="H297" s="6"/>
    </row>
    <row r="298" ht="15.75" customHeight="1">
      <c r="A298" s="6"/>
      <c r="B298" s="6"/>
      <c r="C298" s="6"/>
      <c r="D298" s="19"/>
      <c r="E298" s="19"/>
      <c r="F298" s="6"/>
      <c r="G298" s="6"/>
      <c r="H298" s="6"/>
    </row>
    <row r="299" ht="15.75" customHeight="1">
      <c r="A299" s="6"/>
      <c r="B299" s="6"/>
      <c r="C299" s="6"/>
      <c r="D299" s="19"/>
      <c r="E299" s="19"/>
      <c r="F299" s="6"/>
      <c r="G299" s="6"/>
      <c r="H299" s="6"/>
    </row>
    <row r="300" ht="15.75" customHeight="1">
      <c r="A300" s="6"/>
      <c r="B300" s="6"/>
      <c r="C300" s="6"/>
      <c r="D300" s="19"/>
      <c r="E300" s="19"/>
      <c r="F300" s="6"/>
      <c r="G300" s="6"/>
      <c r="H300" s="6"/>
    </row>
    <row r="301" ht="15.75" customHeight="1">
      <c r="A301" s="6"/>
      <c r="B301" s="6"/>
      <c r="C301" s="6"/>
      <c r="D301" s="19"/>
      <c r="E301" s="19"/>
      <c r="F301" s="6"/>
      <c r="G301" s="6"/>
      <c r="H301" s="6"/>
    </row>
    <row r="302" ht="15.75" customHeight="1">
      <c r="A302" s="6"/>
      <c r="B302" s="6"/>
      <c r="C302" s="6"/>
      <c r="D302" s="19"/>
      <c r="E302" s="19"/>
      <c r="F302" s="6"/>
      <c r="G302" s="6"/>
      <c r="H302" s="6"/>
    </row>
    <row r="303" ht="15.75" customHeight="1">
      <c r="A303" s="6"/>
      <c r="B303" s="6"/>
      <c r="C303" s="6"/>
      <c r="D303" s="19"/>
      <c r="E303" s="19"/>
      <c r="F303" s="6"/>
      <c r="G303" s="6"/>
      <c r="H303" s="6"/>
    </row>
    <row r="304" ht="15.75" customHeight="1">
      <c r="A304" s="6"/>
      <c r="B304" s="6"/>
      <c r="C304" s="6"/>
      <c r="D304" s="19"/>
      <c r="E304" s="19"/>
      <c r="F304" s="6"/>
      <c r="G304" s="6"/>
      <c r="H304" s="6"/>
    </row>
    <row r="305" ht="15.75" customHeight="1">
      <c r="A305" s="6"/>
      <c r="B305" s="6"/>
      <c r="C305" s="6"/>
      <c r="D305" s="19"/>
      <c r="E305" s="19"/>
      <c r="F305" s="6"/>
      <c r="G305" s="6"/>
      <c r="H305" s="6"/>
    </row>
    <row r="306" ht="15.75" customHeight="1">
      <c r="A306" s="6"/>
      <c r="B306" s="6"/>
      <c r="C306" s="6"/>
      <c r="D306" s="19"/>
      <c r="E306" s="19"/>
      <c r="F306" s="6"/>
      <c r="G306" s="6"/>
      <c r="H306" s="6"/>
    </row>
    <row r="307" ht="15.75" customHeight="1">
      <c r="A307" s="6"/>
      <c r="B307" s="6"/>
      <c r="C307" s="6"/>
      <c r="D307" s="19"/>
      <c r="E307" s="19"/>
      <c r="F307" s="6"/>
      <c r="G307" s="6"/>
      <c r="H307" s="6"/>
    </row>
    <row r="308" ht="15.75" customHeight="1">
      <c r="A308" s="6"/>
      <c r="B308" s="6"/>
      <c r="C308" s="6"/>
      <c r="D308" s="19"/>
      <c r="E308" s="19"/>
      <c r="F308" s="6"/>
      <c r="G308" s="6"/>
      <c r="H308" s="6"/>
    </row>
    <row r="309" ht="15.75" customHeight="1">
      <c r="A309" s="6"/>
      <c r="B309" s="6"/>
      <c r="C309" s="6"/>
      <c r="D309" s="19"/>
      <c r="E309" s="19"/>
      <c r="F309" s="6"/>
      <c r="G309" s="6"/>
      <c r="H309" s="6"/>
    </row>
    <row r="310" ht="15.75" customHeight="1">
      <c r="A310" s="6"/>
      <c r="B310" s="6"/>
      <c r="C310" s="6"/>
      <c r="D310" s="19"/>
      <c r="E310" s="19"/>
      <c r="F310" s="6"/>
      <c r="G310" s="6"/>
      <c r="H310" s="6"/>
    </row>
    <row r="311" ht="15.75" customHeight="1">
      <c r="A311" s="6"/>
      <c r="B311" s="6"/>
      <c r="C311" s="6"/>
      <c r="D311" s="19"/>
      <c r="E311" s="19"/>
      <c r="F311" s="6"/>
      <c r="G311" s="6"/>
      <c r="H311" s="6"/>
    </row>
    <row r="312" ht="15.75" customHeight="1">
      <c r="B312" s="21"/>
    </row>
    <row r="313" ht="15.75" customHeight="1">
      <c r="B313" s="2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7.86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>
      <c r="A2" s="23">
        <v>45994.0</v>
      </c>
      <c r="B2" s="6" t="s">
        <v>286</v>
      </c>
      <c r="C2" s="6" t="str">
        <f>VLOOKUP(B2,Sheet3!$B$2:$E$311,2,FALSE)</f>
        <v>#N/A</v>
      </c>
      <c r="D2" s="6" t="str">
        <f>VLOOKUP(B2,Sheet3!$B$2:$E$311,3,)</f>
        <v>#N/A</v>
      </c>
      <c r="E2" s="6" t="str">
        <f>VLOOKUP(B2,Sheet3!$B$2:$E$311,4,)</f>
        <v>#N/A</v>
      </c>
      <c r="F2" s="6">
        <v>419.0</v>
      </c>
      <c r="G2" s="6" t="s">
        <v>293</v>
      </c>
      <c r="H2" s="6" t="s">
        <v>294</v>
      </c>
    </row>
    <row r="3">
      <c r="A3" s="23">
        <v>45994.0</v>
      </c>
      <c r="B3" s="6" t="s">
        <v>296</v>
      </c>
      <c r="C3" s="6" t="str">
        <f>VLOOKUP(B3,Sheet3!$B$2:$E$311,2,FALSE)</f>
        <v>#N/A</v>
      </c>
      <c r="D3" s="6" t="str">
        <f>VLOOKUP(B3,Sheet3!$B$2:$E$311,3,)</f>
        <v>#N/A</v>
      </c>
      <c r="E3" s="6" t="str">
        <f>VLOOKUP(B3,Sheet3!$B$2:$E$311,4,)</f>
        <v>#N/A</v>
      </c>
      <c r="F3" s="6">
        <v>321.0</v>
      </c>
      <c r="G3" s="6" t="s">
        <v>293</v>
      </c>
      <c r="H3" s="6" t="s">
        <v>294</v>
      </c>
    </row>
    <row r="4">
      <c r="A4" s="23">
        <v>45992.0</v>
      </c>
      <c r="B4" s="6" t="s">
        <v>302</v>
      </c>
      <c r="C4" s="6" t="str">
        <f>VLOOKUP(B4,Sheet3!$B$2:$E$311,2,FALSE)</f>
        <v>#N/A</v>
      </c>
      <c r="D4" s="6" t="str">
        <f>VLOOKUP(B4,Sheet3!$B$2:$E$311,3,)</f>
        <v>#N/A</v>
      </c>
      <c r="E4" s="6" t="str">
        <f>VLOOKUP(B4,Sheet3!$B$2:$E$311,4,)</f>
        <v>#N/A</v>
      </c>
      <c r="F4" s="6">
        <v>1.0</v>
      </c>
      <c r="G4" s="6" t="s">
        <v>293</v>
      </c>
      <c r="H4" s="6" t="s">
        <v>294</v>
      </c>
    </row>
    <row r="5">
      <c r="A5" s="23">
        <v>45992.0</v>
      </c>
      <c r="B5" s="6" t="s">
        <v>309</v>
      </c>
      <c r="C5" s="6" t="str">
        <f>VLOOKUP(B5,Sheet3!$B$2:$E$311,2,FALSE)</f>
        <v>#N/A</v>
      </c>
      <c r="D5" s="6" t="str">
        <f>VLOOKUP(B5,Sheet3!$B$2:$E$311,3,)</f>
        <v>#N/A</v>
      </c>
      <c r="E5" s="6" t="str">
        <f>VLOOKUP(B5,Sheet3!$B$2:$E$311,4,)</f>
        <v>#N/A</v>
      </c>
      <c r="F5" s="6">
        <v>1.0</v>
      </c>
      <c r="G5" s="6" t="s">
        <v>293</v>
      </c>
      <c r="H5" s="6" t="s">
        <v>294</v>
      </c>
    </row>
    <row r="6">
      <c r="A6" s="23">
        <v>45994.0</v>
      </c>
      <c r="B6" s="6" t="s">
        <v>315</v>
      </c>
      <c r="C6" s="6" t="str">
        <f>VLOOKUP(B6,Sheet3!$B$2:$E$311,2,FALSE)</f>
        <v>#N/A</v>
      </c>
      <c r="D6" s="6" t="str">
        <f>VLOOKUP(B6,Sheet3!$B$2:$E$311,3,)</f>
        <v>#N/A</v>
      </c>
      <c r="E6" s="6" t="str">
        <f>VLOOKUP(B6,Sheet3!$B$2:$E$311,4,)</f>
        <v>#N/A</v>
      </c>
      <c r="F6" s="6">
        <v>1.0</v>
      </c>
      <c r="G6" s="6" t="s">
        <v>318</v>
      </c>
      <c r="H6" s="6" t="s">
        <v>319</v>
      </c>
    </row>
    <row r="7">
      <c r="A7" s="23">
        <v>45994.0</v>
      </c>
      <c r="B7" s="6" t="s">
        <v>315</v>
      </c>
      <c r="C7" s="6" t="str">
        <f>VLOOKUP(B7,Sheet3!$B$2:$E$311,2,FALSE)</f>
        <v>#N/A</v>
      </c>
      <c r="D7" s="6" t="str">
        <f>VLOOKUP(B7,Sheet3!$B$2:$E$311,3,)</f>
        <v>#N/A</v>
      </c>
      <c r="E7" s="6" t="str">
        <f>VLOOKUP(B7,Sheet3!$B$2:$E$311,4,)</f>
        <v>#N/A</v>
      </c>
      <c r="F7" s="6">
        <v>19.0</v>
      </c>
      <c r="G7" s="6" t="s">
        <v>326</v>
      </c>
      <c r="H7" s="6" t="s">
        <v>319</v>
      </c>
    </row>
    <row r="8">
      <c r="A8" s="23">
        <v>45994.0</v>
      </c>
      <c r="B8" s="6" t="s">
        <v>327</v>
      </c>
      <c r="C8" s="6" t="str">
        <f>VLOOKUP(B8,Sheet3!$B$2:$E$311,2,FALSE)</f>
        <v>#N/A</v>
      </c>
      <c r="D8" s="6" t="str">
        <f>VLOOKUP(B8,Sheet3!$B$2:$E$311,3,)</f>
        <v>#N/A</v>
      </c>
      <c r="E8" s="6" t="str">
        <f>VLOOKUP(B8,Sheet3!$B$2:$E$311,4,)</f>
        <v>#N/A</v>
      </c>
      <c r="F8" s="6">
        <v>2.0</v>
      </c>
      <c r="G8" s="6" t="s">
        <v>293</v>
      </c>
      <c r="H8" s="6" t="s">
        <v>332</v>
      </c>
    </row>
    <row r="9">
      <c r="A9" s="23">
        <v>45994.0</v>
      </c>
      <c r="B9" s="6" t="s">
        <v>333</v>
      </c>
      <c r="C9" s="6" t="str">
        <f>VLOOKUP(B9,Sheet3!$B$2:$E$311,2,FALSE)</f>
        <v>#N/A</v>
      </c>
      <c r="D9" s="6" t="str">
        <f>VLOOKUP(B9,Sheet3!$B$2:$E$311,3,)</f>
        <v>#N/A</v>
      </c>
      <c r="E9" s="6" t="str">
        <f>VLOOKUP(B9,Sheet3!$B$2:$E$311,4,)</f>
        <v>#N/A</v>
      </c>
      <c r="F9" s="6">
        <v>12.0</v>
      </c>
      <c r="G9" s="6" t="s">
        <v>326</v>
      </c>
      <c r="H9" s="6" t="s">
        <v>338</v>
      </c>
    </row>
    <row r="10">
      <c r="A10" s="23">
        <v>45994.0</v>
      </c>
      <c r="B10" s="6" t="s">
        <v>339</v>
      </c>
      <c r="C10" s="6" t="str">
        <f>VLOOKUP(B10,Sheet3!$B$2:$E$311,2,FALSE)</f>
        <v>#N/A</v>
      </c>
      <c r="D10" s="6" t="str">
        <f>VLOOKUP(B10,Sheet3!$B$2:$E$311,3,)</f>
        <v>#N/A</v>
      </c>
      <c r="E10" s="6" t="str">
        <f>VLOOKUP(B10,Sheet3!$B$2:$E$311,4,)</f>
        <v>#N/A</v>
      </c>
      <c r="F10" s="6">
        <v>12.0</v>
      </c>
      <c r="G10" s="6" t="s">
        <v>326</v>
      </c>
      <c r="H10" s="6" t="s">
        <v>338</v>
      </c>
    </row>
    <row r="11">
      <c r="A11" s="23">
        <v>45994.0</v>
      </c>
      <c r="B11" s="6" t="s">
        <v>315</v>
      </c>
      <c r="C11" s="6" t="str">
        <f>VLOOKUP(B11,Sheet3!$B$2:$E$311,2,FALSE)</f>
        <v>#N/A</v>
      </c>
      <c r="D11" s="6" t="str">
        <f>VLOOKUP(B11,Sheet3!$B$2:$E$311,3,)</f>
        <v>#N/A</v>
      </c>
      <c r="E11" s="6" t="str">
        <f>VLOOKUP(B11,Sheet3!$B$2:$E$311,4,)</f>
        <v>#N/A</v>
      </c>
      <c r="F11" s="6">
        <v>55.0</v>
      </c>
      <c r="G11" s="6" t="s">
        <v>326</v>
      </c>
      <c r="H11" s="6" t="s">
        <v>338</v>
      </c>
    </row>
    <row r="12">
      <c r="A12" s="23">
        <v>45994.0</v>
      </c>
      <c r="B12" s="6" t="s">
        <v>346</v>
      </c>
      <c r="C12" s="6" t="str">
        <f>VLOOKUP(B12,Sheet3!$B$2:$E$311,2,FALSE)</f>
        <v>#N/A</v>
      </c>
      <c r="D12" s="6" t="str">
        <f>VLOOKUP(B12,Sheet3!$B$2:$E$311,3,)</f>
        <v>#N/A</v>
      </c>
      <c r="E12" s="6" t="str">
        <f>VLOOKUP(B12,Sheet3!$B$2:$E$311,4,)</f>
        <v>#N/A</v>
      </c>
      <c r="F12" s="6">
        <v>3500.0</v>
      </c>
      <c r="G12" s="6" t="s">
        <v>326</v>
      </c>
      <c r="H12" s="6" t="s">
        <v>294</v>
      </c>
    </row>
    <row r="13">
      <c r="A13" s="23">
        <v>45994.0</v>
      </c>
      <c r="B13" s="6" t="s">
        <v>351</v>
      </c>
      <c r="C13" s="6" t="str">
        <f>VLOOKUP(B13,Sheet3!$B$2:$E$311,2,FALSE)</f>
        <v>#N/A</v>
      </c>
      <c r="D13" s="6" t="str">
        <f>VLOOKUP(B13,Sheet3!$B$2:$E$311,3,)</f>
        <v>#N/A</v>
      </c>
      <c r="E13" s="6" t="str">
        <f>VLOOKUP(B13,Sheet3!$B$2:$E$311,4,)</f>
        <v>#N/A</v>
      </c>
      <c r="F13" s="6">
        <v>1100.0</v>
      </c>
      <c r="G13" s="6" t="s">
        <v>326</v>
      </c>
      <c r="H13" s="6" t="s">
        <v>294</v>
      </c>
    </row>
    <row r="14">
      <c r="A14" s="23">
        <v>45994.0</v>
      </c>
      <c r="B14" s="6" t="s">
        <v>356</v>
      </c>
      <c r="C14" s="6" t="str">
        <f>VLOOKUP(B14,Sheet3!$B$2:$E$311,2,FALSE)</f>
        <v>#N/A</v>
      </c>
      <c r="D14" s="6" t="str">
        <f>VLOOKUP(B14,Sheet3!$B$2:$E$311,3,)</f>
        <v>#N/A</v>
      </c>
      <c r="E14" s="6" t="str">
        <f>VLOOKUP(B14,Sheet3!$B$2:$E$311,4,)</f>
        <v>#N/A</v>
      </c>
      <c r="F14" s="6">
        <v>1500.0</v>
      </c>
      <c r="G14" s="6" t="s">
        <v>326</v>
      </c>
      <c r="H14" s="6" t="s">
        <v>294</v>
      </c>
    </row>
    <row r="15">
      <c r="A15" s="23">
        <v>45995.0</v>
      </c>
      <c r="B15" s="6" t="s">
        <v>365</v>
      </c>
      <c r="C15" s="6" t="str">
        <f>VLOOKUP(B15,Sheet3!$B$2:$E$311,2,FALSE)</f>
        <v>#N/A</v>
      </c>
      <c r="D15" s="6" t="str">
        <f>VLOOKUP(B15,Sheet3!$B$2:$E$311,3,)</f>
        <v>#N/A</v>
      </c>
      <c r="E15" s="6" t="str">
        <f>VLOOKUP(B15,Sheet3!$B$2:$E$311,4,)</f>
        <v>#N/A</v>
      </c>
      <c r="F15" s="6">
        <v>139.0</v>
      </c>
      <c r="G15" s="6" t="s">
        <v>370</v>
      </c>
      <c r="H15" s="6" t="s">
        <v>319</v>
      </c>
    </row>
    <row r="16">
      <c r="A16" s="23">
        <v>45995.0</v>
      </c>
      <c r="B16" s="6" t="s">
        <v>372</v>
      </c>
      <c r="C16" s="6" t="str">
        <f>VLOOKUP(B16,Sheet3!$B$2:$E$311,2,FALSE)</f>
        <v>#N/A</v>
      </c>
      <c r="D16" s="6" t="str">
        <f>VLOOKUP(B16,Sheet3!$B$2:$E$311,3,)</f>
        <v>#N/A</v>
      </c>
      <c r="E16" s="6" t="str">
        <f>VLOOKUP(B16,Sheet3!$B$2:$E$311,4,)</f>
        <v>#N/A</v>
      </c>
      <c r="F16" s="6">
        <v>1.0</v>
      </c>
      <c r="G16" s="6" t="s">
        <v>326</v>
      </c>
      <c r="H16" s="6" t="s">
        <v>378</v>
      </c>
    </row>
    <row r="17">
      <c r="A17" s="23">
        <v>45995.0</v>
      </c>
      <c r="B17" s="6" t="s">
        <v>379</v>
      </c>
      <c r="C17" s="6" t="str">
        <f>VLOOKUP(B17,Sheet3!$B$2:$E$311,2,FALSE)</f>
        <v>#N/A</v>
      </c>
      <c r="D17" s="6" t="str">
        <f>VLOOKUP(B17,Sheet3!$B$2:$E$311,3,)</f>
        <v>#N/A</v>
      </c>
      <c r="E17" s="6" t="str">
        <f>VLOOKUP(B17,Sheet3!$B$2:$E$311,4,)</f>
        <v>#N/A</v>
      </c>
      <c r="F17" s="6">
        <v>36.0</v>
      </c>
      <c r="G17" s="6" t="s">
        <v>326</v>
      </c>
      <c r="H17" s="6" t="s">
        <v>319</v>
      </c>
    </row>
    <row r="18">
      <c r="A18" s="23">
        <v>45995.0</v>
      </c>
      <c r="B18" s="6" t="s">
        <v>356</v>
      </c>
      <c r="C18" s="6" t="str">
        <f>VLOOKUP(B18,Sheet3!$B$2:$E$311,2,FALSE)</f>
        <v>#N/A</v>
      </c>
      <c r="D18" s="6" t="str">
        <f>VLOOKUP(B18,Sheet3!$B$2:$E$311,3,)</f>
        <v>#N/A</v>
      </c>
      <c r="E18" s="6" t="str">
        <f>VLOOKUP(B18,Sheet3!$B$2:$E$311,4,)</f>
        <v>#N/A</v>
      </c>
      <c r="F18" s="6">
        <v>800.0</v>
      </c>
      <c r="G18" s="6" t="s">
        <v>326</v>
      </c>
      <c r="H18" s="6" t="s">
        <v>294</v>
      </c>
    </row>
    <row r="19">
      <c r="A19" s="23">
        <v>45995.0</v>
      </c>
      <c r="B19" s="6" t="s">
        <v>315</v>
      </c>
      <c r="C19" s="6" t="str">
        <f>VLOOKUP(B19,Sheet3!$B$2:$E$311,2,FALSE)</f>
        <v>#N/A</v>
      </c>
      <c r="D19" s="6" t="str">
        <f>VLOOKUP(B19,Sheet3!$B$2:$E$311,3,)</f>
        <v>#N/A</v>
      </c>
      <c r="E19" s="6" t="str">
        <f>VLOOKUP(B19,Sheet3!$B$2:$E$311,4,)</f>
        <v>#N/A</v>
      </c>
      <c r="F19" s="6">
        <v>20.0</v>
      </c>
      <c r="G19" s="6" t="s">
        <v>326</v>
      </c>
      <c r="H19" s="6" t="s">
        <v>319</v>
      </c>
    </row>
    <row r="20">
      <c r="A20" s="23">
        <v>45995.0</v>
      </c>
      <c r="B20" s="6" t="s">
        <v>351</v>
      </c>
      <c r="C20" s="6" t="str">
        <f>VLOOKUP(B20,Sheet3!$B$2:$E$311,2,FALSE)</f>
        <v>#N/A</v>
      </c>
      <c r="D20" s="6" t="str">
        <f>VLOOKUP(B20,Sheet3!$B$2:$E$311,3,)</f>
        <v>#N/A</v>
      </c>
      <c r="E20" s="6" t="str">
        <f>VLOOKUP(B20,Sheet3!$B$2:$E$311,4,)</f>
        <v>#N/A</v>
      </c>
      <c r="F20" s="6">
        <v>250.0</v>
      </c>
      <c r="G20" s="6" t="s">
        <v>326</v>
      </c>
      <c r="H20" s="6" t="s">
        <v>294</v>
      </c>
    </row>
    <row r="21" ht="15.75" customHeight="1">
      <c r="A21" s="23">
        <v>45995.0</v>
      </c>
      <c r="B21" s="6" t="s">
        <v>392</v>
      </c>
      <c r="C21" s="6" t="str">
        <f>VLOOKUP(B21,Sheet3!$B$2:$E$311,2,FALSE)</f>
        <v>#N/A</v>
      </c>
      <c r="D21" s="6" t="str">
        <f>VLOOKUP(B21,Sheet3!$B$2:$E$311,3,)</f>
        <v>#N/A</v>
      </c>
      <c r="E21" s="6" t="str">
        <f>VLOOKUP(B21,Sheet3!$B$2:$E$311,4,)</f>
        <v>#N/A</v>
      </c>
      <c r="F21" s="6">
        <v>541.0</v>
      </c>
      <c r="G21" s="6" t="s">
        <v>370</v>
      </c>
      <c r="H21" s="6" t="s">
        <v>399</v>
      </c>
    </row>
    <row r="22" ht="15.75" customHeight="1">
      <c r="A22" s="23">
        <v>45996.0</v>
      </c>
      <c r="B22" s="6" t="s">
        <v>315</v>
      </c>
      <c r="C22" s="6" t="str">
        <f>VLOOKUP(B22,Sheet3!$B$2:$E$311,2,FALSE)</f>
        <v>#N/A</v>
      </c>
      <c r="D22" s="6" t="str">
        <f>VLOOKUP(B22,Sheet3!$B$2:$E$311,3,)</f>
        <v>#N/A</v>
      </c>
      <c r="E22" s="6" t="str">
        <f>VLOOKUP(B22,Sheet3!$B$2:$E$311,4,)</f>
        <v>#N/A</v>
      </c>
      <c r="F22" s="6">
        <v>2.0</v>
      </c>
      <c r="G22" s="6" t="s">
        <v>326</v>
      </c>
      <c r="H22" s="6" t="s">
        <v>319</v>
      </c>
    </row>
    <row r="23" ht="15.75" customHeight="1">
      <c r="A23" s="23">
        <v>45996.0</v>
      </c>
      <c r="B23" s="6" t="s">
        <v>404</v>
      </c>
      <c r="C23" s="6" t="str">
        <f>VLOOKUP(B23,Sheet3!$B$2:$E$311,2,FALSE)</f>
        <v>#N/A</v>
      </c>
      <c r="D23" s="6" t="str">
        <f>VLOOKUP(B23,Sheet3!$B$2:$E$311,3,)</f>
        <v>#N/A</v>
      </c>
      <c r="E23" s="6" t="str">
        <f>VLOOKUP(B23,Sheet3!$B$2:$E$311,4,)</f>
        <v>#N/A</v>
      </c>
      <c r="F23" s="6">
        <v>2.0</v>
      </c>
      <c r="G23" s="6" t="s">
        <v>326</v>
      </c>
      <c r="H23" s="6" t="s">
        <v>319</v>
      </c>
    </row>
    <row r="24" ht="15.75" customHeight="1">
      <c r="A24" s="23">
        <v>45996.0</v>
      </c>
      <c r="B24" s="6" t="s">
        <v>339</v>
      </c>
      <c r="C24" s="6" t="str">
        <f>VLOOKUP(B24,Sheet3!$B$2:$E$311,2,FALSE)</f>
        <v>#N/A</v>
      </c>
      <c r="D24" s="6" t="str">
        <f>VLOOKUP(B24,Sheet3!$B$2:$E$311,3,)</f>
        <v>#N/A</v>
      </c>
      <c r="E24" s="6" t="str">
        <f>VLOOKUP(B24,Sheet3!$B$2:$E$311,4,)</f>
        <v>#N/A</v>
      </c>
      <c r="F24" s="6">
        <v>15.0</v>
      </c>
      <c r="G24" s="6" t="s">
        <v>326</v>
      </c>
      <c r="H24" s="6" t="s">
        <v>319</v>
      </c>
    </row>
    <row r="25" ht="15.75" customHeight="1">
      <c r="A25" s="23">
        <v>45996.0</v>
      </c>
      <c r="B25" s="6" t="s">
        <v>333</v>
      </c>
      <c r="C25" s="6" t="str">
        <f>VLOOKUP(B25,Sheet3!$B$2:$E$311,2,FALSE)</f>
        <v>#N/A</v>
      </c>
      <c r="D25" s="6" t="str">
        <f>VLOOKUP(B25,Sheet3!$B$2:$E$311,3,)</f>
        <v>#N/A</v>
      </c>
      <c r="E25" s="6" t="str">
        <f>VLOOKUP(B25,Sheet3!$B$2:$E$311,4,)</f>
        <v>#N/A</v>
      </c>
      <c r="F25" s="6">
        <v>8.0</v>
      </c>
      <c r="G25" s="6" t="s">
        <v>326</v>
      </c>
      <c r="H25" s="6" t="s">
        <v>319</v>
      </c>
    </row>
    <row r="26" ht="15.75" customHeight="1">
      <c r="A26" s="23">
        <v>45996.0</v>
      </c>
      <c r="B26" s="6" t="s">
        <v>346</v>
      </c>
      <c r="C26" s="6" t="str">
        <f>VLOOKUP(B26,Sheet3!$B$2:$E$311,2,FALSE)</f>
        <v>#N/A</v>
      </c>
      <c r="D26" s="6" t="str">
        <f>VLOOKUP(B26,Sheet3!$B$2:$E$311,3,)</f>
        <v>#N/A</v>
      </c>
      <c r="E26" s="6" t="str">
        <f>VLOOKUP(B26,Sheet3!$B$2:$E$311,4,)</f>
        <v>#N/A</v>
      </c>
      <c r="F26" s="6">
        <v>830.0</v>
      </c>
      <c r="G26" s="6" t="s">
        <v>326</v>
      </c>
      <c r="H26" s="6" t="s">
        <v>294</v>
      </c>
    </row>
    <row r="27" ht="15.75" customHeight="1">
      <c r="A27" s="23">
        <v>45996.0</v>
      </c>
      <c r="B27" s="6" t="s">
        <v>315</v>
      </c>
      <c r="C27" s="6" t="str">
        <f>VLOOKUP(B27,Sheet3!$B$2:$E$311,2,FALSE)</f>
        <v>#N/A</v>
      </c>
      <c r="D27" s="6" t="str">
        <f>VLOOKUP(B27,Sheet3!$B$2:$E$311,3,)</f>
        <v>#N/A</v>
      </c>
      <c r="E27" s="6" t="str">
        <f>VLOOKUP(B27,Sheet3!$B$2:$E$311,4,)</f>
        <v>#N/A</v>
      </c>
      <c r="F27" s="6">
        <v>6.0</v>
      </c>
      <c r="G27" s="6" t="s">
        <v>326</v>
      </c>
      <c r="H27" s="6" t="s">
        <v>319</v>
      </c>
    </row>
    <row r="28" ht="15.75" customHeight="1">
      <c r="A28" s="23">
        <v>45997.0</v>
      </c>
      <c r="B28" s="6" t="s">
        <v>365</v>
      </c>
      <c r="C28" s="6" t="str">
        <f>VLOOKUP(B28,Sheet3!$B$2:$E$311,2,FALSE)</f>
        <v>#N/A</v>
      </c>
      <c r="D28" s="6" t="str">
        <f>VLOOKUP(B28,Sheet3!$B$2:$E$311,3,)</f>
        <v>#N/A</v>
      </c>
      <c r="E28" s="6" t="str">
        <f>VLOOKUP(B28,Sheet3!$B$2:$E$311,4,)</f>
        <v>#N/A</v>
      </c>
      <c r="F28" s="6">
        <v>266.0</v>
      </c>
      <c r="G28" s="6" t="s">
        <v>326</v>
      </c>
      <c r="H28" s="6" t="s">
        <v>319</v>
      </c>
    </row>
    <row r="29" ht="15.75" customHeight="1">
      <c r="A29" s="23">
        <v>45997.0</v>
      </c>
      <c r="B29" s="6" t="s">
        <v>315</v>
      </c>
      <c r="C29" s="6" t="str">
        <f>VLOOKUP(B29,Sheet3!$B$2:$E$311,2,FALSE)</f>
        <v>#N/A</v>
      </c>
      <c r="D29" s="6" t="str">
        <f>VLOOKUP(B29,Sheet3!$B$2:$E$311,3,)</f>
        <v>#N/A</v>
      </c>
      <c r="E29" s="6" t="str">
        <f>VLOOKUP(B29,Sheet3!$B$2:$E$311,4,)</f>
        <v>#N/A</v>
      </c>
      <c r="F29" s="6">
        <v>35.0</v>
      </c>
      <c r="G29" s="6" t="s">
        <v>326</v>
      </c>
      <c r="H29" s="6" t="s">
        <v>319</v>
      </c>
    </row>
    <row r="30" ht="15.75" customHeight="1">
      <c r="A30" s="23">
        <v>45997.0</v>
      </c>
      <c r="B30" s="6" t="s">
        <v>441</v>
      </c>
      <c r="C30" s="6" t="str">
        <f>VLOOKUP(B30,Sheet3!$B$2:$E$311,2,FALSE)</f>
        <v>#N/A</v>
      </c>
      <c r="D30" s="6" t="str">
        <f>VLOOKUP(B30,Sheet3!$B$2:$E$311,3,)</f>
        <v>#N/A</v>
      </c>
      <c r="E30" s="6" t="str">
        <f>VLOOKUP(B30,Sheet3!$B$2:$E$311,4,)</f>
        <v>#N/A</v>
      </c>
      <c r="F30" s="6">
        <v>1.0</v>
      </c>
      <c r="G30" s="6" t="s">
        <v>370</v>
      </c>
      <c r="H30" s="6" t="s">
        <v>319</v>
      </c>
    </row>
    <row r="31" ht="15.75" customHeight="1">
      <c r="A31" s="23">
        <v>45997.0</v>
      </c>
      <c r="B31" s="6" t="s">
        <v>327</v>
      </c>
      <c r="C31" s="6" t="str">
        <f>VLOOKUP(B31,Sheet3!$B$2:$E$311,2,FALSE)</f>
        <v>#N/A</v>
      </c>
      <c r="D31" s="6" t="str">
        <f>VLOOKUP(B31,Sheet3!$B$2:$E$311,3,)</f>
        <v>#N/A</v>
      </c>
      <c r="E31" s="6" t="str">
        <f>VLOOKUP(B31,Sheet3!$B$2:$E$311,4,)</f>
        <v>#N/A</v>
      </c>
      <c r="F31" s="6">
        <v>3.0</v>
      </c>
      <c r="G31" s="6" t="s">
        <v>326</v>
      </c>
      <c r="H31" s="6" t="s">
        <v>452</v>
      </c>
    </row>
    <row r="32" ht="15.75" customHeight="1">
      <c r="A32" s="23">
        <v>45997.0</v>
      </c>
      <c r="B32" s="6" t="s">
        <v>453</v>
      </c>
      <c r="C32" s="6" t="str">
        <f>VLOOKUP(B32,Sheet3!$B$2:$E$311,2,FALSE)</f>
        <v>#N/A</v>
      </c>
      <c r="D32" s="6" t="str">
        <f>VLOOKUP(B32,Sheet3!$B$2:$E$311,3,)</f>
        <v>#N/A</v>
      </c>
      <c r="E32" s="6" t="str">
        <f>VLOOKUP(B32,Sheet3!$B$2:$E$311,4,)</f>
        <v>#N/A</v>
      </c>
      <c r="F32" s="6">
        <v>1.0</v>
      </c>
      <c r="G32" s="6" t="s">
        <v>326</v>
      </c>
      <c r="H32" s="6" t="s">
        <v>452</v>
      </c>
    </row>
    <row r="33" ht="15.75" customHeight="1">
      <c r="A33" s="23">
        <v>45997.0</v>
      </c>
      <c r="B33" s="6" t="s">
        <v>346</v>
      </c>
      <c r="C33" s="6" t="str">
        <f>VLOOKUP(B33,Sheet3!$B$2:$E$311,2,FALSE)</f>
        <v>#N/A</v>
      </c>
      <c r="D33" s="6" t="str">
        <f>VLOOKUP(B33,Sheet3!$B$2:$E$311,3,)</f>
        <v>#N/A</v>
      </c>
      <c r="E33" s="6" t="str">
        <f>VLOOKUP(B33,Sheet3!$B$2:$E$311,4,)</f>
        <v>#N/A</v>
      </c>
      <c r="F33" s="6">
        <v>2600.0</v>
      </c>
      <c r="G33" s="6" t="s">
        <v>326</v>
      </c>
      <c r="H33" s="6" t="s">
        <v>462</v>
      </c>
    </row>
    <row r="34" ht="15.75" customHeight="1">
      <c r="A34" s="23">
        <v>45997.0</v>
      </c>
      <c r="B34" s="6" t="s">
        <v>463</v>
      </c>
      <c r="C34" s="6" t="str">
        <f>VLOOKUP(B34,Sheet3!$B$2:$E$311,2,FALSE)</f>
        <v>#N/A</v>
      </c>
      <c r="D34" s="6" t="str">
        <f>VLOOKUP(B34,Sheet3!$B$2:$E$311,3,)</f>
        <v>#N/A</v>
      </c>
      <c r="E34" s="6" t="str">
        <f>VLOOKUP(B34,Sheet3!$B$2:$E$311,4,)</f>
        <v>#N/A</v>
      </c>
      <c r="F34" s="6">
        <v>126.0</v>
      </c>
      <c r="G34" s="6" t="s">
        <v>326</v>
      </c>
      <c r="H34" s="6" t="s">
        <v>338</v>
      </c>
    </row>
    <row r="35" ht="15.75" customHeight="1">
      <c r="A35" s="23">
        <v>45998.0</v>
      </c>
      <c r="B35" s="6" t="s">
        <v>468</v>
      </c>
      <c r="C35" s="6" t="str">
        <f>VLOOKUP(B35,Sheet3!$B$2:$E$311,2,FALSE)</f>
        <v>#N/A</v>
      </c>
      <c r="D35" s="6" t="str">
        <f>VLOOKUP(B35,Sheet3!$B$2:$E$311,3,)</f>
        <v>#N/A</v>
      </c>
      <c r="E35" s="6" t="str">
        <f>VLOOKUP(B35,Sheet3!$B$2:$E$311,4,)</f>
        <v>#N/A</v>
      </c>
      <c r="F35" s="6">
        <v>4.0</v>
      </c>
      <c r="G35" s="6" t="s">
        <v>475</v>
      </c>
      <c r="H35" s="6" t="s">
        <v>378</v>
      </c>
    </row>
    <row r="36" ht="15.75" customHeight="1">
      <c r="A36" s="23">
        <v>45998.0</v>
      </c>
      <c r="B36" s="6" t="s">
        <v>309</v>
      </c>
      <c r="C36" s="6" t="str">
        <f>VLOOKUP(B36,Sheet3!$B$2:$E$311,2,FALSE)</f>
        <v>#N/A</v>
      </c>
      <c r="D36" s="6" t="str">
        <f>VLOOKUP(B36,Sheet3!$B$2:$E$311,3,)</f>
        <v>#N/A</v>
      </c>
      <c r="E36" s="6" t="str">
        <f>VLOOKUP(B36,Sheet3!$B$2:$E$311,4,)</f>
        <v>#N/A</v>
      </c>
      <c r="F36" s="6">
        <v>1.0</v>
      </c>
      <c r="G36" s="6" t="s">
        <v>480</v>
      </c>
      <c r="H36" s="6" t="s">
        <v>378</v>
      </c>
    </row>
    <row r="37" ht="15.75" customHeight="1">
      <c r="A37" s="23">
        <v>45998.0</v>
      </c>
      <c r="B37" s="6" t="s">
        <v>179</v>
      </c>
      <c r="C37" s="6" t="str">
        <f>VLOOKUP(B37,Sheet3!$B$2:$E$311,2,FALSE)</f>
        <v>P006</v>
      </c>
      <c r="D37" s="6" t="str">
        <f>VLOOKUP(B37,Sheet3!$B$2:$E$311,3,)</f>
        <v>PRODUKSI STOK LUUCA</v>
      </c>
      <c r="E37" s="6" t="str">
        <f>VLOOKUP(B37,Sheet3!$B$2:$E$311,4,)</f>
        <v>GR</v>
      </c>
      <c r="F37" s="6">
        <v>3400.0</v>
      </c>
      <c r="G37" s="6" t="s">
        <v>326</v>
      </c>
      <c r="H37" s="6" t="s">
        <v>483</v>
      </c>
    </row>
    <row r="38" ht="15.75" customHeight="1">
      <c r="A38" s="23">
        <v>45998.0</v>
      </c>
      <c r="B38" s="6" t="s">
        <v>346</v>
      </c>
      <c r="C38" s="6" t="str">
        <f>VLOOKUP(B38,Sheet3!$B$2:$E$311,2,FALSE)</f>
        <v>#N/A</v>
      </c>
      <c r="D38" s="6" t="str">
        <f>VLOOKUP(B38,Sheet3!$B$2:$E$311,3,)</f>
        <v>#N/A</v>
      </c>
      <c r="E38" s="6" t="str">
        <f>VLOOKUP(B38,Sheet3!$B$2:$E$311,4,)</f>
        <v>#N/A</v>
      </c>
      <c r="F38" s="6">
        <v>1500.0</v>
      </c>
      <c r="G38" s="6" t="s">
        <v>326</v>
      </c>
      <c r="H38" s="6" t="s">
        <v>483</v>
      </c>
    </row>
    <row r="39" ht="15.75" customHeight="1">
      <c r="A39" s="23">
        <v>45998.0</v>
      </c>
      <c r="B39" s="6" t="s">
        <v>351</v>
      </c>
      <c r="C39" s="6" t="str">
        <f>VLOOKUP(B39,Sheet3!$B$2:$E$311,2,FALSE)</f>
        <v>#N/A</v>
      </c>
      <c r="D39" s="6" t="str">
        <f>VLOOKUP(B39,Sheet3!$B$2:$E$311,3,)</f>
        <v>#N/A</v>
      </c>
      <c r="E39" s="6" t="str">
        <f>VLOOKUP(B39,Sheet3!$B$2:$E$311,4,)</f>
        <v>#N/A</v>
      </c>
      <c r="F39" s="6">
        <v>500.0</v>
      </c>
      <c r="G39" s="6" t="s">
        <v>326</v>
      </c>
      <c r="H39" s="6" t="s">
        <v>483</v>
      </c>
    </row>
    <row r="40" ht="15.75" customHeight="1">
      <c r="A40" s="23">
        <v>45998.0</v>
      </c>
      <c r="B40" s="6" t="s">
        <v>356</v>
      </c>
      <c r="C40" s="6" t="str">
        <f>VLOOKUP(B40,Sheet3!$B$2:$E$311,2,FALSE)</f>
        <v>#N/A</v>
      </c>
      <c r="D40" s="6" t="str">
        <f>VLOOKUP(B40,Sheet3!$B$2:$E$311,3,)</f>
        <v>#N/A</v>
      </c>
      <c r="E40" s="6" t="str">
        <f>VLOOKUP(B40,Sheet3!$B$2:$E$311,4,)</f>
        <v>#N/A</v>
      </c>
      <c r="F40" s="6">
        <v>300.0</v>
      </c>
      <c r="G40" s="6" t="s">
        <v>326</v>
      </c>
      <c r="H40" s="6" t="s">
        <v>483</v>
      </c>
    </row>
    <row r="41" ht="15.75" customHeight="1">
      <c r="A41" s="23">
        <v>45998.0</v>
      </c>
      <c r="B41" s="6" t="s">
        <v>315</v>
      </c>
      <c r="C41" s="6" t="str">
        <f>VLOOKUP(B41,Sheet3!$B$2:$E$311,2,FALSE)</f>
        <v>#N/A</v>
      </c>
      <c r="D41" s="6" t="str">
        <f>VLOOKUP(B41,Sheet3!$B$2:$E$311,3,)</f>
        <v>#N/A</v>
      </c>
      <c r="E41" s="6" t="str">
        <f>VLOOKUP(B41,Sheet3!$B$2:$E$311,4,)</f>
        <v>#N/A</v>
      </c>
      <c r="F41" s="6">
        <v>9.0</v>
      </c>
      <c r="G41" s="6" t="s">
        <v>326</v>
      </c>
      <c r="H41" s="6" t="s">
        <v>319</v>
      </c>
    </row>
    <row r="42" ht="15.75" customHeight="1">
      <c r="A42" s="23">
        <v>45999.0</v>
      </c>
      <c r="B42" s="6" t="s">
        <v>493</v>
      </c>
      <c r="C42" s="6" t="str">
        <f>VLOOKUP(B42,Sheet3!$B$2:$E$311,2,FALSE)</f>
        <v>#N/A</v>
      </c>
      <c r="D42" s="6" t="str">
        <f>VLOOKUP(B42,Sheet3!$B$2:$E$311,3,)</f>
        <v>#N/A</v>
      </c>
      <c r="E42" s="6" t="str">
        <f>VLOOKUP(B42,Sheet3!$B$2:$E$311,4,)</f>
        <v>#N/A</v>
      </c>
      <c r="F42" s="6">
        <v>27.0</v>
      </c>
      <c r="G42" s="6" t="s">
        <v>496</v>
      </c>
      <c r="H42" s="6" t="s">
        <v>483</v>
      </c>
    </row>
    <row r="43" ht="15.75" customHeight="1">
      <c r="A43" s="23">
        <v>45999.0</v>
      </c>
      <c r="B43" s="6" t="s">
        <v>356</v>
      </c>
      <c r="C43" s="6" t="str">
        <f>VLOOKUP(B43,Sheet3!$B$2:$E$311,2,FALSE)</f>
        <v>#N/A</v>
      </c>
      <c r="D43" s="6" t="str">
        <f>VLOOKUP(B43,Sheet3!$B$2:$E$311,3,)</f>
        <v>#N/A</v>
      </c>
      <c r="E43" s="6" t="str">
        <f>VLOOKUP(B43,Sheet3!$B$2:$E$311,4,)</f>
        <v>#N/A</v>
      </c>
      <c r="F43" s="6">
        <v>2000.0</v>
      </c>
      <c r="G43" s="6" t="s">
        <v>326</v>
      </c>
      <c r="H43" s="6" t="s">
        <v>483</v>
      </c>
    </row>
    <row r="44" ht="15.75" customHeight="1">
      <c r="A44" s="23">
        <v>45999.0</v>
      </c>
      <c r="B44" s="6" t="s">
        <v>351</v>
      </c>
      <c r="C44" s="6" t="str">
        <f>VLOOKUP(B44,Sheet3!$B$2:$E$311,2,FALSE)</f>
        <v>#N/A</v>
      </c>
      <c r="D44" s="6" t="str">
        <f>VLOOKUP(B44,Sheet3!$B$2:$E$311,3,)</f>
        <v>#N/A</v>
      </c>
      <c r="E44" s="6" t="str">
        <f>VLOOKUP(B44,Sheet3!$B$2:$E$311,4,)</f>
        <v>#N/A</v>
      </c>
      <c r="F44" s="6">
        <v>1000.0</v>
      </c>
      <c r="G44" s="6" t="s">
        <v>326</v>
      </c>
      <c r="H44" s="6" t="s">
        <v>483</v>
      </c>
    </row>
    <row r="45" ht="15.75" customHeight="1">
      <c r="A45" s="23">
        <v>45999.0</v>
      </c>
      <c r="B45" s="6" t="s">
        <v>502</v>
      </c>
      <c r="C45" s="6" t="str">
        <f>VLOOKUP(B45,Sheet3!$B$2:$E$311,2,FALSE)</f>
        <v>#N/A</v>
      </c>
      <c r="D45" s="6" t="str">
        <f>VLOOKUP(B45,Sheet3!$B$2:$E$311,3,)</f>
        <v>#N/A</v>
      </c>
      <c r="E45" s="6" t="str">
        <f>VLOOKUP(B45,Sheet3!$B$2:$E$311,4,)</f>
        <v>#N/A</v>
      </c>
      <c r="F45" s="6">
        <v>2500.0</v>
      </c>
      <c r="G45" s="6" t="s">
        <v>326</v>
      </c>
      <c r="H45" s="6" t="s">
        <v>483</v>
      </c>
    </row>
    <row r="46" ht="15.75" customHeight="1">
      <c r="A46" s="23">
        <v>45999.0</v>
      </c>
      <c r="B46" s="6" t="s">
        <v>346</v>
      </c>
      <c r="C46" s="6" t="str">
        <f>VLOOKUP(B46,Sheet3!$B$2:$E$311,2,FALSE)</f>
        <v>#N/A</v>
      </c>
      <c r="D46" s="6" t="str">
        <f>VLOOKUP(B46,Sheet3!$B$2:$E$311,3,)</f>
        <v>#N/A</v>
      </c>
      <c r="E46" s="6" t="str">
        <f>VLOOKUP(B46,Sheet3!$B$2:$E$311,4,)</f>
        <v>#N/A</v>
      </c>
      <c r="F46" s="6">
        <v>1500.0</v>
      </c>
      <c r="G46" s="6" t="s">
        <v>326</v>
      </c>
      <c r="H46" s="6" t="s">
        <v>483</v>
      </c>
    </row>
    <row r="47" ht="15.75" customHeight="1">
      <c r="A47" s="23">
        <v>45999.0</v>
      </c>
      <c r="B47" s="6" t="s">
        <v>327</v>
      </c>
      <c r="C47" s="6" t="str">
        <f>VLOOKUP(B47,Sheet3!$B$2:$E$311,2,FALSE)</f>
        <v>#N/A</v>
      </c>
      <c r="D47" s="6" t="str">
        <f>VLOOKUP(B47,Sheet3!$B$2:$E$311,3,)</f>
        <v>#N/A</v>
      </c>
      <c r="E47" s="6" t="str">
        <f>VLOOKUP(B47,Sheet3!$B$2:$E$311,4,)</f>
        <v>#N/A</v>
      </c>
      <c r="F47" s="6">
        <v>3.0</v>
      </c>
      <c r="G47" s="6" t="s">
        <v>326</v>
      </c>
      <c r="H47" s="6" t="s">
        <v>452</v>
      </c>
    </row>
    <row r="48" ht="15.75" customHeight="1">
      <c r="A48" s="23">
        <v>45999.0</v>
      </c>
      <c r="B48" s="6" t="s">
        <v>404</v>
      </c>
      <c r="C48" s="6" t="str">
        <f>VLOOKUP(B48,Sheet3!$B$2:$E$311,2,FALSE)</f>
        <v>#N/A</v>
      </c>
      <c r="D48" s="6" t="str">
        <f>VLOOKUP(B48,Sheet3!$B$2:$E$311,3,)</f>
        <v>#N/A</v>
      </c>
      <c r="E48" s="6" t="str">
        <f>VLOOKUP(B48,Sheet3!$B$2:$E$311,4,)</f>
        <v>#N/A</v>
      </c>
      <c r="F48" s="6">
        <v>1.0</v>
      </c>
      <c r="G48" s="6" t="s">
        <v>326</v>
      </c>
      <c r="H48" s="6" t="s">
        <v>338</v>
      </c>
    </row>
    <row r="49" ht="15.75" customHeight="1">
      <c r="A49" s="23">
        <v>45999.0</v>
      </c>
      <c r="B49" s="6" t="s">
        <v>327</v>
      </c>
      <c r="C49" s="6" t="str">
        <f>VLOOKUP(B49,Sheet3!$B$2:$E$311,2,FALSE)</f>
        <v>#N/A</v>
      </c>
      <c r="D49" s="6" t="str">
        <f>VLOOKUP(B49,Sheet3!$B$2:$E$311,3,)</f>
        <v>#N/A</v>
      </c>
      <c r="E49" s="6" t="str">
        <f>VLOOKUP(B49,Sheet3!$B$2:$E$311,4,)</f>
        <v>#N/A</v>
      </c>
      <c r="F49" s="6">
        <v>6.0</v>
      </c>
      <c r="G49" s="6" t="s">
        <v>326</v>
      </c>
      <c r="H49" s="6" t="s">
        <v>319</v>
      </c>
    </row>
    <row r="50" ht="15.75" customHeight="1">
      <c r="A50" s="23">
        <v>46000.0</v>
      </c>
      <c r="B50" s="6" t="s">
        <v>516</v>
      </c>
      <c r="C50" s="6" t="str">
        <f>VLOOKUP(B50,Sheet3!$B$2:$E$311,2,FALSE)</f>
        <v>#N/A</v>
      </c>
      <c r="D50" s="6" t="str">
        <f>VLOOKUP(B50,Sheet3!$B$2:$E$311,3,)</f>
        <v>#N/A</v>
      </c>
      <c r="E50" s="6" t="str">
        <f>VLOOKUP(B50,Sheet3!$B$2:$E$311,4,)</f>
        <v>#N/A</v>
      </c>
      <c r="F50" s="6">
        <v>4.0</v>
      </c>
      <c r="G50" s="6" t="s">
        <v>326</v>
      </c>
      <c r="H50" s="6" t="s">
        <v>319</v>
      </c>
    </row>
    <row r="51" ht="15.75" customHeight="1">
      <c r="A51" s="23">
        <v>46000.0</v>
      </c>
      <c r="B51" s="6" t="s">
        <v>315</v>
      </c>
      <c r="C51" s="6" t="str">
        <f>VLOOKUP(B51,Sheet3!$B$2:$E$311,2,FALSE)</f>
        <v>#N/A</v>
      </c>
      <c r="D51" s="6" t="str">
        <f>VLOOKUP(B51,Sheet3!$B$2:$E$311,3,)</f>
        <v>#N/A</v>
      </c>
      <c r="E51" s="6" t="str">
        <f>VLOOKUP(B51,Sheet3!$B$2:$E$311,4,)</f>
        <v>#N/A</v>
      </c>
      <c r="F51" s="6">
        <v>15.0</v>
      </c>
      <c r="G51" s="6" t="s">
        <v>326</v>
      </c>
      <c r="H51" s="6" t="s">
        <v>319</v>
      </c>
    </row>
    <row r="52" ht="15.75" customHeight="1">
      <c r="A52" s="23">
        <v>46000.0</v>
      </c>
      <c r="B52" s="6" t="s">
        <v>379</v>
      </c>
      <c r="C52" s="6" t="str">
        <f>VLOOKUP(B52,Sheet3!$B$2:$E$311,2,FALSE)</f>
        <v>#N/A</v>
      </c>
      <c r="D52" s="6" t="str">
        <f>VLOOKUP(B52,Sheet3!$B$2:$E$311,3,)</f>
        <v>#N/A</v>
      </c>
      <c r="E52" s="6" t="str">
        <f>VLOOKUP(B52,Sheet3!$B$2:$E$311,4,)</f>
        <v>#N/A</v>
      </c>
      <c r="F52" s="6">
        <v>83.0</v>
      </c>
      <c r="G52" s="6" t="s">
        <v>326</v>
      </c>
      <c r="H52" s="6" t="s">
        <v>319</v>
      </c>
    </row>
    <row r="53" ht="15.75" customHeight="1">
      <c r="A53" s="23">
        <v>46000.0</v>
      </c>
      <c r="B53" s="6" t="s">
        <v>502</v>
      </c>
      <c r="C53" s="6" t="str">
        <f>VLOOKUP(B53,Sheet3!$B$2:$E$311,2,FALSE)</f>
        <v>#N/A</v>
      </c>
      <c r="D53" s="6" t="str">
        <f>VLOOKUP(B53,Sheet3!$B$2:$E$311,3,)</f>
        <v>#N/A</v>
      </c>
      <c r="E53" s="6" t="str">
        <f>VLOOKUP(B53,Sheet3!$B$2:$E$311,4,)</f>
        <v>#N/A</v>
      </c>
      <c r="F53" s="6">
        <v>1300.0</v>
      </c>
      <c r="G53" s="6" t="s">
        <v>326</v>
      </c>
      <c r="H53" s="6" t="s">
        <v>294</v>
      </c>
    </row>
    <row r="54" ht="15.75" customHeight="1">
      <c r="A54" s="23">
        <v>46000.0</v>
      </c>
      <c r="B54" s="6" t="s">
        <v>356</v>
      </c>
      <c r="C54" s="6" t="str">
        <f>VLOOKUP(B54,Sheet3!$B$2:$E$311,2,FALSE)</f>
        <v>#N/A</v>
      </c>
      <c r="D54" s="6" t="str">
        <f>VLOOKUP(B54,Sheet3!$B$2:$E$311,3,)</f>
        <v>#N/A</v>
      </c>
      <c r="E54" s="6" t="str">
        <f>VLOOKUP(B54,Sheet3!$B$2:$E$311,4,)</f>
        <v>#N/A</v>
      </c>
      <c r="F54" s="6">
        <v>750.0</v>
      </c>
      <c r="G54" s="6" t="s">
        <v>326</v>
      </c>
      <c r="H54" s="6" t="s">
        <v>294</v>
      </c>
    </row>
    <row r="55" ht="15.75" customHeight="1">
      <c r="A55" s="23">
        <v>46000.0</v>
      </c>
      <c r="B55" s="6" t="s">
        <v>351</v>
      </c>
      <c r="C55" s="6" t="str">
        <f>VLOOKUP(B55,Sheet3!$B$2:$E$311,2,FALSE)</f>
        <v>#N/A</v>
      </c>
      <c r="D55" s="6" t="str">
        <f>VLOOKUP(B55,Sheet3!$B$2:$E$311,3,)</f>
        <v>#N/A</v>
      </c>
      <c r="E55" s="6" t="str">
        <f>VLOOKUP(B55,Sheet3!$B$2:$E$311,4,)</f>
        <v>#N/A</v>
      </c>
      <c r="F55" s="6">
        <v>775.0</v>
      </c>
      <c r="G55" s="6" t="s">
        <v>326</v>
      </c>
      <c r="H55" s="6" t="s">
        <v>294</v>
      </c>
    </row>
    <row r="56" ht="15.75" customHeight="1">
      <c r="A56" s="23">
        <v>46000.0</v>
      </c>
      <c r="B56" s="6" t="s">
        <v>179</v>
      </c>
      <c r="C56" s="6" t="str">
        <f>VLOOKUP(B56,Sheet3!$B$2:$E$311,2,FALSE)</f>
        <v>P006</v>
      </c>
      <c r="D56" s="6" t="str">
        <f>VLOOKUP(B56,Sheet3!$B$2:$E$311,3,)</f>
        <v>PRODUKSI STOK LUUCA</v>
      </c>
      <c r="E56" s="6" t="str">
        <f>VLOOKUP(B56,Sheet3!$B$2:$E$311,4,)</f>
        <v>GR</v>
      </c>
      <c r="F56" s="6">
        <v>150.0</v>
      </c>
      <c r="G56" s="6" t="s">
        <v>326</v>
      </c>
      <c r="H56" s="6" t="s">
        <v>294</v>
      </c>
    </row>
    <row r="57" ht="15.75" customHeight="1">
      <c r="A57" s="23">
        <v>46000.0</v>
      </c>
      <c r="B57" s="6" t="s">
        <v>517</v>
      </c>
      <c r="C57" s="6" t="str">
        <f>VLOOKUP(B57,Sheet3!$B$2:$E$311,2,FALSE)</f>
        <v>#N/A</v>
      </c>
      <c r="D57" s="6" t="str">
        <f>VLOOKUP(B57,Sheet3!$B$2:$E$311,3,)</f>
        <v>#N/A</v>
      </c>
      <c r="E57" s="6" t="str">
        <f>VLOOKUP(B57,Sheet3!$B$2:$E$311,4,)</f>
        <v>#N/A</v>
      </c>
      <c r="F57" s="6">
        <v>1.0</v>
      </c>
      <c r="G57" s="6" t="s">
        <v>518</v>
      </c>
      <c r="H57" s="6" t="s">
        <v>483</v>
      </c>
    </row>
    <row r="58" ht="15.75" customHeight="1">
      <c r="A58" s="23">
        <v>46001.0</v>
      </c>
      <c r="B58" s="6" t="s">
        <v>516</v>
      </c>
      <c r="C58" s="6" t="str">
        <f>VLOOKUP(B58,Sheet3!$B$2:$E$311,2,FALSE)</f>
        <v>#N/A</v>
      </c>
      <c r="D58" s="6" t="str">
        <f>VLOOKUP(B58,Sheet3!$B$2:$E$311,3,)</f>
        <v>#N/A</v>
      </c>
      <c r="E58" s="6" t="str">
        <f>VLOOKUP(B58,Sheet3!$B$2:$E$311,4,)</f>
        <v>#N/A</v>
      </c>
      <c r="F58" s="6">
        <v>2.0</v>
      </c>
      <c r="G58" s="6" t="s">
        <v>326</v>
      </c>
      <c r="H58" s="6" t="s">
        <v>319</v>
      </c>
    </row>
    <row r="59" ht="15.75" customHeight="1">
      <c r="A59" s="23">
        <v>46001.0</v>
      </c>
      <c r="B59" s="6" t="s">
        <v>315</v>
      </c>
      <c r="C59" s="6" t="str">
        <f>VLOOKUP(B59,Sheet3!$B$2:$E$311,2,FALSE)</f>
        <v>#N/A</v>
      </c>
      <c r="D59" s="6" t="str">
        <f>VLOOKUP(B59,Sheet3!$B$2:$E$311,3,)</f>
        <v>#N/A</v>
      </c>
      <c r="E59" s="6" t="str">
        <f>VLOOKUP(B59,Sheet3!$B$2:$E$311,4,)</f>
        <v>#N/A</v>
      </c>
      <c r="F59" s="6">
        <v>20.0</v>
      </c>
      <c r="G59" s="6" t="s">
        <v>326</v>
      </c>
      <c r="H59" s="6" t="s">
        <v>319</v>
      </c>
    </row>
    <row r="60" ht="15.75" customHeight="1">
      <c r="A60" s="23">
        <v>46001.0</v>
      </c>
      <c r="B60" s="6" t="s">
        <v>327</v>
      </c>
      <c r="C60" s="6" t="str">
        <f>VLOOKUP(B60,Sheet3!$B$2:$E$311,2,FALSE)</f>
        <v>#N/A</v>
      </c>
      <c r="D60" s="6" t="str">
        <f>VLOOKUP(B60,Sheet3!$B$2:$E$311,3,)</f>
        <v>#N/A</v>
      </c>
      <c r="E60" s="6" t="str">
        <f>VLOOKUP(B60,Sheet3!$B$2:$E$311,4,)</f>
        <v>#N/A</v>
      </c>
      <c r="F60" s="6">
        <v>5.0</v>
      </c>
      <c r="G60" s="6" t="s">
        <v>326</v>
      </c>
      <c r="H60" s="6" t="s">
        <v>319</v>
      </c>
    </row>
    <row r="61" ht="15.75" customHeight="1">
      <c r="A61" s="23">
        <v>46001.0</v>
      </c>
      <c r="B61" s="6" t="s">
        <v>351</v>
      </c>
      <c r="C61" s="6" t="str">
        <f>VLOOKUP(B61,Sheet3!$B$2:$E$311,2,FALSE)</f>
        <v>#N/A</v>
      </c>
      <c r="D61" s="6" t="str">
        <f>VLOOKUP(B61,Sheet3!$B$2:$E$311,3,)</f>
        <v>#N/A</v>
      </c>
      <c r="E61" s="6" t="str">
        <f>VLOOKUP(B61,Sheet3!$B$2:$E$311,4,)</f>
        <v>#N/A</v>
      </c>
      <c r="F61" s="6">
        <v>500.0</v>
      </c>
      <c r="G61" s="6" t="s">
        <v>326</v>
      </c>
      <c r="H61" s="6" t="s">
        <v>521</v>
      </c>
    </row>
    <row r="62" ht="15.75" customHeight="1">
      <c r="A62" s="23">
        <v>46001.0</v>
      </c>
      <c r="B62" s="6" t="s">
        <v>356</v>
      </c>
      <c r="C62" s="6" t="str">
        <f>VLOOKUP(B62,Sheet3!$B$2:$E$311,2,FALSE)</f>
        <v>#N/A</v>
      </c>
      <c r="D62" s="6" t="str">
        <f>VLOOKUP(B62,Sheet3!$B$2:$E$311,3,)</f>
        <v>#N/A</v>
      </c>
      <c r="E62" s="6" t="str">
        <f>VLOOKUP(B62,Sheet3!$B$2:$E$311,4,)</f>
        <v>#N/A</v>
      </c>
      <c r="F62" s="6">
        <v>1900.0</v>
      </c>
      <c r="G62" s="6" t="s">
        <v>326</v>
      </c>
      <c r="H62" s="6" t="s">
        <v>521</v>
      </c>
    </row>
    <row r="63" ht="15.75" customHeight="1">
      <c r="A63" s="23">
        <v>46001.0</v>
      </c>
      <c r="B63" s="6" t="s">
        <v>502</v>
      </c>
      <c r="C63" s="6" t="str">
        <f>VLOOKUP(B63,Sheet3!$B$2:$E$311,2,FALSE)</f>
        <v>#N/A</v>
      </c>
      <c r="D63" s="6" t="str">
        <f>VLOOKUP(B63,Sheet3!$B$2:$E$311,3,)</f>
        <v>#N/A</v>
      </c>
      <c r="E63" s="6" t="str">
        <f>VLOOKUP(B63,Sheet3!$B$2:$E$311,4,)</f>
        <v>#N/A</v>
      </c>
      <c r="F63" s="6">
        <v>2000.0</v>
      </c>
      <c r="G63" s="6" t="s">
        <v>326</v>
      </c>
      <c r="H63" s="6" t="s">
        <v>521</v>
      </c>
    </row>
    <row r="64" ht="15.75" customHeight="1">
      <c r="A64" s="23">
        <v>46001.0</v>
      </c>
      <c r="B64" s="6" t="s">
        <v>517</v>
      </c>
      <c r="C64" s="6" t="str">
        <f>VLOOKUP(B64,Sheet3!$B$2:$E$311,2,FALSE)</f>
        <v>#N/A</v>
      </c>
      <c r="D64" s="6" t="str">
        <f>VLOOKUP(B64,Sheet3!$B$2:$E$311,3,)</f>
        <v>#N/A</v>
      </c>
      <c r="E64" s="6" t="str">
        <f>VLOOKUP(B64,Sheet3!$B$2:$E$311,4,)</f>
        <v>#N/A</v>
      </c>
      <c r="F64" s="6">
        <v>3.0</v>
      </c>
      <c r="G64" s="6" t="s">
        <v>326</v>
      </c>
      <c r="H64" s="6" t="s">
        <v>521</v>
      </c>
    </row>
    <row r="65" ht="15.75" customHeight="1">
      <c r="A65" s="23">
        <v>46002.0</v>
      </c>
      <c r="B65" s="6" t="s">
        <v>523</v>
      </c>
      <c r="C65" s="6" t="str">
        <f>VLOOKUP(B65,Sheet3!$B$2:$E$311,2,FALSE)</f>
        <v>#N/A</v>
      </c>
      <c r="D65" s="6" t="str">
        <f>VLOOKUP(B65,Sheet3!$B$2:$E$311,3,)</f>
        <v>#N/A</v>
      </c>
      <c r="E65" s="6" t="str">
        <f>VLOOKUP(B65,Sheet3!$B$2:$E$311,4,)</f>
        <v>#N/A</v>
      </c>
      <c r="F65" s="6">
        <v>421.0</v>
      </c>
      <c r="G65" s="6" t="s">
        <v>496</v>
      </c>
      <c r="H65" s="6" t="s">
        <v>521</v>
      </c>
    </row>
    <row r="66" ht="15.75" customHeight="1">
      <c r="A66" s="23">
        <v>46002.0</v>
      </c>
      <c r="B66" s="6" t="s">
        <v>493</v>
      </c>
      <c r="C66" s="6" t="str">
        <f>VLOOKUP(B66,Sheet3!$B$2:$E$311,2,FALSE)</f>
        <v>#N/A</v>
      </c>
      <c r="D66" s="6" t="str">
        <f>VLOOKUP(B66,Sheet3!$B$2:$E$311,3,)</f>
        <v>#N/A</v>
      </c>
      <c r="E66" s="6" t="str">
        <f>VLOOKUP(B66,Sheet3!$B$2:$E$311,4,)</f>
        <v>#N/A</v>
      </c>
      <c r="F66" s="6">
        <v>6.0</v>
      </c>
      <c r="G66" s="6" t="s">
        <v>496</v>
      </c>
      <c r="H66" s="6" t="s">
        <v>294</v>
      </c>
    </row>
    <row r="67" ht="15.75" customHeight="1">
      <c r="A67" s="23">
        <v>46002.0</v>
      </c>
      <c r="B67" s="6" t="s">
        <v>516</v>
      </c>
      <c r="C67" s="6" t="str">
        <f>VLOOKUP(B67,Sheet3!$B$2:$E$311,2,FALSE)</f>
        <v>#N/A</v>
      </c>
      <c r="D67" s="6" t="str">
        <f>VLOOKUP(B67,Sheet3!$B$2:$E$311,3,)</f>
        <v>#N/A</v>
      </c>
      <c r="E67" s="6" t="str">
        <f>VLOOKUP(B67,Sheet3!$B$2:$E$311,4,)</f>
        <v>#N/A</v>
      </c>
      <c r="F67" s="6">
        <v>183.0</v>
      </c>
      <c r="G67" s="6" t="s">
        <v>326</v>
      </c>
      <c r="H67" s="6" t="s">
        <v>521</v>
      </c>
    </row>
    <row r="68" ht="15.75" customHeight="1">
      <c r="A68" s="23">
        <v>46002.0</v>
      </c>
      <c r="B68" s="6" t="s">
        <v>315</v>
      </c>
      <c r="C68" s="6" t="str">
        <f>VLOOKUP(B68,Sheet3!$B$2:$E$311,2,FALSE)</f>
        <v>#N/A</v>
      </c>
      <c r="D68" s="6" t="str">
        <f>VLOOKUP(B68,Sheet3!$B$2:$E$311,3,)</f>
        <v>#N/A</v>
      </c>
      <c r="E68" s="6" t="str">
        <f>VLOOKUP(B68,Sheet3!$B$2:$E$311,4,)</f>
        <v>#N/A</v>
      </c>
      <c r="F68" s="6">
        <v>10.0</v>
      </c>
      <c r="G68" s="6" t="s">
        <v>326</v>
      </c>
      <c r="H68" s="6" t="s">
        <v>319</v>
      </c>
    </row>
    <row r="69" ht="15.75" customHeight="1">
      <c r="A69" s="23">
        <v>46002.0</v>
      </c>
      <c r="B69" s="6" t="s">
        <v>327</v>
      </c>
      <c r="C69" s="6" t="str">
        <f>VLOOKUP(B69,Sheet3!$B$2:$E$311,2,FALSE)</f>
        <v>#N/A</v>
      </c>
      <c r="D69" s="6" t="str">
        <f>VLOOKUP(B69,Sheet3!$B$2:$E$311,3,)</f>
        <v>#N/A</v>
      </c>
      <c r="E69" s="6" t="str">
        <f>VLOOKUP(B69,Sheet3!$B$2:$E$311,4,)</f>
        <v>#N/A</v>
      </c>
      <c r="F69" s="6">
        <v>1.0</v>
      </c>
      <c r="G69" s="6" t="s">
        <v>326</v>
      </c>
      <c r="H69" s="6" t="s">
        <v>319</v>
      </c>
    </row>
    <row r="70" ht="15.75" customHeight="1">
      <c r="A70" s="23">
        <v>46002.0</v>
      </c>
      <c r="B70" s="6" t="s">
        <v>346</v>
      </c>
      <c r="C70" s="6" t="str">
        <f>VLOOKUP(B70,Sheet3!$B$2:$E$311,2,FALSE)</f>
        <v>#N/A</v>
      </c>
      <c r="D70" s="6" t="str">
        <f>VLOOKUP(B70,Sheet3!$B$2:$E$311,3,)</f>
        <v>#N/A</v>
      </c>
      <c r="E70" s="6" t="str">
        <f>VLOOKUP(B70,Sheet3!$B$2:$E$311,4,)</f>
        <v>#N/A</v>
      </c>
      <c r="F70" s="6">
        <v>1550.0</v>
      </c>
      <c r="G70" s="6" t="s">
        <v>326</v>
      </c>
      <c r="H70" s="6" t="s">
        <v>294</v>
      </c>
    </row>
    <row r="71" ht="15.75" customHeight="1">
      <c r="A71" s="23">
        <v>46002.0</v>
      </c>
      <c r="B71" s="6" t="s">
        <v>356</v>
      </c>
      <c r="C71" s="6" t="str">
        <f>VLOOKUP(B71,Sheet3!$B$2:$E$311,2,FALSE)</f>
        <v>#N/A</v>
      </c>
      <c r="D71" s="6" t="str">
        <f>VLOOKUP(B71,Sheet3!$B$2:$E$311,3,)</f>
        <v>#N/A</v>
      </c>
      <c r="E71" s="6" t="str">
        <f>VLOOKUP(B71,Sheet3!$B$2:$E$311,4,)</f>
        <v>#N/A</v>
      </c>
      <c r="F71" s="6">
        <v>2100.0</v>
      </c>
      <c r="G71" s="6" t="s">
        <v>326</v>
      </c>
      <c r="H71" s="6" t="s">
        <v>294</v>
      </c>
    </row>
    <row r="72" ht="15.75" customHeight="1">
      <c r="A72" s="23">
        <v>46002.0</v>
      </c>
      <c r="B72" s="6" t="s">
        <v>351</v>
      </c>
      <c r="C72" s="6" t="str">
        <f>VLOOKUP(B72,Sheet3!$B$2:$E$311,2,FALSE)</f>
        <v>#N/A</v>
      </c>
      <c r="D72" s="6" t="str">
        <f>VLOOKUP(B72,Sheet3!$B$2:$E$311,3,)</f>
        <v>#N/A</v>
      </c>
      <c r="E72" s="6" t="str">
        <f>VLOOKUP(B72,Sheet3!$B$2:$E$311,4,)</f>
        <v>#N/A</v>
      </c>
      <c r="F72" s="6">
        <v>1300.0</v>
      </c>
      <c r="G72" s="6" t="s">
        <v>326</v>
      </c>
      <c r="H72" s="6" t="s">
        <v>294</v>
      </c>
    </row>
    <row r="73" ht="15.75" customHeight="1">
      <c r="A73" s="23">
        <v>46003.0</v>
      </c>
      <c r="B73" s="6" t="s">
        <v>315</v>
      </c>
      <c r="C73" s="6" t="str">
        <f>VLOOKUP(B73,Sheet3!$B$2:$E$311,2,FALSE)</f>
        <v>#N/A</v>
      </c>
      <c r="D73" s="6" t="str">
        <f>VLOOKUP(B73,Sheet3!$B$2:$E$311,3,)</f>
        <v>#N/A</v>
      </c>
      <c r="E73" s="6" t="str">
        <f>VLOOKUP(B73,Sheet3!$B$2:$E$311,4,)</f>
        <v>#N/A</v>
      </c>
      <c r="F73" s="6">
        <v>5.0</v>
      </c>
      <c r="G73" s="6" t="s">
        <v>326</v>
      </c>
      <c r="H73" s="6" t="s">
        <v>338</v>
      </c>
    </row>
    <row r="74" ht="15.75" customHeight="1">
      <c r="A74" s="23">
        <v>46003.0</v>
      </c>
      <c r="B74" s="6" t="s">
        <v>315</v>
      </c>
      <c r="C74" s="6" t="str">
        <f>VLOOKUP(B74,Sheet3!$B$2:$E$311,2,FALSE)</f>
        <v>#N/A</v>
      </c>
      <c r="D74" s="6" t="str">
        <f>VLOOKUP(B74,Sheet3!$B$2:$E$311,3,)</f>
        <v>#N/A</v>
      </c>
      <c r="E74" s="6" t="str">
        <f>VLOOKUP(B74,Sheet3!$B$2:$E$311,4,)</f>
        <v>#N/A</v>
      </c>
      <c r="F74" s="6">
        <v>50.0</v>
      </c>
      <c r="G74" s="6" t="s">
        <v>526</v>
      </c>
      <c r="H74" s="6" t="s">
        <v>319</v>
      </c>
    </row>
    <row r="75" ht="15.75" customHeight="1">
      <c r="A75" s="23">
        <v>46003.0</v>
      </c>
      <c r="B75" s="6" t="s">
        <v>527</v>
      </c>
      <c r="C75" s="6" t="str">
        <f>VLOOKUP(B75,Sheet3!$B$2:$E$311,2,FALSE)</f>
        <v>#N/A</v>
      </c>
      <c r="D75" s="6" t="str">
        <f>VLOOKUP(B75,Sheet3!$B$2:$E$311,3,)</f>
        <v>#N/A</v>
      </c>
      <c r="E75" s="6" t="str">
        <f>VLOOKUP(B75,Sheet3!$B$2:$E$311,4,)</f>
        <v>#N/A</v>
      </c>
      <c r="F75" s="6">
        <v>1.0</v>
      </c>
      <c r="G75" s="6" t="s">
        <v>326</v>
      </c>
      <c r="H75" s="6" t="s">
        <v>319</v>
      </c>
    </row>
    <row r="76" ht="15.75" customHeight="1">
      <c r="A76" s="23">
        <v>46003.0</v>
      </c>
      <c r="B76" s="6" t="s">
        <v>516</v>
      </c>
      <c r="C76" s="6" t="str">
        <f>VLOOKUP(B76,Sheet3!$B$2:$E$311,2,FALSE)</f>
        <v>#N/A</v>
      </c>
      <c r="D76" s="6" t="str">
        <f>VLOOKUP(B76,Sheet3!$B$2:$E$311,3,)</f>
        <v>#N/A</v>
      </c>
      <c r="E76" s="6" t="str">
        <f>VLOOKUP(B76,Sheet3!$B$2:$E$311,4,)</f>
        <v>#N/A</v>
      </c>
      <c r="F76" s="6">
        <v>305.0</v>
      </c>
      <c r="G76" s="6" t="s">
        <v>326</v>
      </c>
      <c r="H76" s="6" t="s">
        <v>319</v>
      </c>
    </row>
    <row r="77" ht="15.75" customHeight="1">
      <c r="A77" s="23">
        <v>46003.0</v>
      </c>
      <c r="B77" s="6" t="s">
        <v>530</v>
      </c>
      <c r="C77" s="6" t="str">
        <f>VLOOKUP(B77,Sheet3!$B$2:$E$311,2,FALSE)</f>
        <v>#N/A</v>
      </c>
      <c r="D77" s="6" t="str">
        <f>VLOOKUP(B77,Sheet3!$B$2:$E$311,3,)</f>
        <v>#N/A</v>
      </c>
      <c r="E77" s="6" t="str">
        <f>VLOOKUP(B77,Sheet3!$B$2:$E$311,4,)</f>
        <v>#N/A</v>
      </c>
      <c r="F77" s="6">
        <v>144.0</v>
      </c>
      <c r="G77" s="6" t="s">
        <v>531</v>
      </c>
      <c r="H77" s="6" t="s">
        <v>319</v>
      </c>
    </row>
    <row r="78" ht="15.75" customHeight="1">
      <c r="A78" s="23">
        <v>46003.0</v>
      </c>
      <c r="B78" s="6" t="s">
        <v>463</v>
      </c>
      <c r="C78" s="6" t="str">
        <f>VLOOKUP(B78,Sheet3!$B$2:$E$311,2,FALSE)</f>
        <v>#N/A</v>
      </c>
      <c r="D78" s="6" t="str">
        <f>VLOOKUP(B78,Sheet3!$B$2:$E$311,3,)</f>
        <v>#N/A</v>
      </c>
      <c r="E78" s="6" t="str">
        <f>VLOOKUP(B78,Sheet3!$B$2:$E$311,4,)</f>
        <v>#N/A</v>
      </c>
      <c r="F78" s="6">
        <v>127.0</v>
      </c>
      <c r="G78" s="6" t="s">
        <v>326</v>
      </c>
      <c r="H78" s="6" t="s">
        <v>521</v>
      </c>
    </row>
    <row r="79" ht="15.75" customHeight="1">
      <c r="A79" s="23">
        <v>46004.0</v>
      </c>
      <c r="B79" s="6" t="s">
        <v>533</v>
      </c>
      <c r="C79" s="6" t="str">
        <f>VLOOKUP(B79,Sheet3!$B$2:$E$311,2,FALSE)</f>
        <v>#N/A</v>
      </c>
      <c r="D79" s="6" t="str">
        <f>VLOOKUP(B79,Sheet3!$B$2:$E$311,3,)</f>
        <v>#N/A</v>
      </c>
      <c r="E79" s="6" t="str">
        <f>VLOOKUP(B79,Sheet3!$B$2:$E$311,4,)</f>
        <v>#N/A</v>
      </c>
      <c r="F79" s="6">
        <v>3.0</v>
      </c>
      <c r="G79" s="6" t="s">
        <v>518</v>
      </c>
      <c r="H79" s="6" t="s">
        <v>462</v>
      </c>
    </row>
    <row r="80" ht="15.75" customHeight="1">
      <c r="A80" s="23">
        <v>46004.0</v>
      </c>
      <c r="B80" s="6" t="s">
        <v>535</v>
      </c>
      <c r="C80" s="6" t="str">
        <f>VLOOKUP(B80,Sheet3!$B$2:$E$311,2,FALSE)</f>
        <v>#N/A</v>
      </c>
      <c r="D80" s="6" t="str">
        <f>VLOOKUP(B80,Sheet3!$B$2:$E$311,3,)</f>
        <v>#N/A</v>
      </c>
      <c r="E80" s="6" t="str">
        <f>VLOOKUP(B80,Sheet3!$B$2:$E$311,4,)</f>
        <v>#N/A</v>
      </c>
      <c r="F80" s="6">
        <v>50.0</v>
      </c>
      <c r="G80" s="6" t="s">
        <v>326</v>
      </c>
      <c r="H80" s="6" t="s">
        <v>483</v>
      </c>
    </row>
    <row r="81" ht="15.75" customHeight="1">
      <c r="A81" s="23">
        <v>46004.0</v>
      </c>
      <c r="B81" s="6" t="s">
        <v>327</v>
      </c>
      <c r="C81" s="6" t="str">
        <f>VLOOKUP(B81,Sheet3!$B$2:$E$311,2,FALSE)</f>
        <v>#N/A</v>
      </c>
      <c r="D81" s="6" t="str">
        <f>VLOOKUP(B81,Sheet3!$B$2:$E$311,3,)</f>
        <v>#N/A</v>
      </c>
      <c r="E81" s="6" t="str">
        <f>VLOOKUP(B81,Sheet3!$B$2:$E$311,4,)</f>
        <v>#N/A</v>
      </c>
      <c r="F81" s="6">
        <v>4.0</v>
      </c>
      <c r="G81" s="6" t="s">
        <v>326</v>
      </c>
      <c r="H81" s="6" t="s">
        <v>319</v>
      </c>
    </row>
    <row r="82" ht="15.75" customHeight="1">
      <c r="A82" s="23">
        <v>46004.0</v>
      </c>
      <c r="B82" s="6" t="s">
        <v>315</v>
      </c>
      <c r="C82" s="6" t="str">
        <f>VLOOKUP(B82,Sheet3!$B$2:$E$311,2,FALSE)</f>
        <v>#N/A</v>
      </c>
      <c r="D82" s="6" t="str">
        <f>VLOOKUP(B82,Sheet3!$B$2:$E$311,3,)</f>
        <v>#N/A</v>
      </c>
      <c r="E82" s="6" t="str">
        <f>VLOOKUP(B82,Sheet3!$B$2:$E$311,4,)</f>
        <v>#N/A</v>
      </c>
      <c r="F82" s="6">
        <v>13.0</v>
      </c>
      <c r="G82" s="6" t="s">
        <v>326</v>
      </c>
      <c r="H82" s="6" t="s">
        <v>338</v>
      </c>
    </row>
    <row r="83" ht="15.75" customHeight="1">
      <c r="A83" s="23">
        <v>46004.0</v>
      </c>
      <c r="B83" s="6" t="s">
        <v>516</v>
      </c>
      <c r="C83" s="6" t="str">
        <f>VLOOKUP(B83,Sheet3!$B$2:$E$311,2,FALSE)</f>
        <v>#N/A</v>
      </c>
      <c r="D83" s="6" t="str">
        <f>VLOOKUP(B83,Sheet3!$B$2:$E$311,3,)</f>
        <v>#N/A</v>
      </c>
      <c r="E83" s="6" t="str">
        <f>VLOOKUP(B83,Sheet3!$B$2:$E$311,4,)</f>
        <v>#N/A</v>
      </c>
      <c r="F83" s="6">
        <v>252.0</v>
      </c>
      <c r="G83" s="6" t="s">
        <v>326</v>
      </c>
      <c r="H83" s="6" t="s">
        <v>338</v>
      </c>
    </row>
    <row r="84" ht="15.75" customHeight="1">
      <c r="A84" s="23">
        <v>46004.0</v>
      </c>
      <c r="B84" s="6" t="s">
        <v>351</v>
      </c>
      <c r="C84" s="6" t="str">
        <f>VLOOKUP(B84,Sheet3!$B$2:$E$311,2,FALSE)</f>
        <v>#N/A</v>
      </c>
      <c r="D84" s="6" t="str">
        <f>VLOOKUP(B84,Sheet3!$B$2:$E$311,3,)</f>
        <v>#N/A</v>
      </c>
      <c r="E84" s="6" t="str">
        <f>VLOOKUP(B84,Sheet3!$B$2:$E$311,4,)</f>
        <v>#N/A</v>
      </c>
      <c r="F84" s="6">
        <v>2000.0</v>
      </c>
      <c r="G84" s="6" t="s">
        <v>326</v>
      </c>
      <c r="H84" s="6" t="s">
        <v>294</v>
      </c>
    </row>
    <row r="85" ht="15.75" customHeight="1">
      <c r="A85" s="23">
        <v>46004.0</v>
      </c>
      <c r="B85" s="6" t="s">
        <v>356</v>
      </c>
      <c r="C85" s="6" t="str">
        <f>VLOOKUP(B85,Sheet3!$B$2:$E$311,2,FALSE)</f>
        <v>#N/A</v>
      </c>
      <c r="D85" s="6" t="str">
        <f>VLOOKUP(B85,Sheet3!$B$2:$E$311,3,)</f>
        <v>#N/A</v>
      </c>
      <c r="E85" s="6" t="str">
        <f>VLOOKUP(B85,Sheet3!$B$2:$E$311,4,)</f>
        <v>#N/A</v>
      </c>
      <c r="F85" s="6">
        <v>2400.0</v>
      </c>
      <c r="G85" s="6" t="s">
        <v>326</v>
      </c>
      <c r="H85" s="6" t="s">
        <v>294</v>
      </c>
    </row>
    <row r="86" ht="15.75" customHeight="1">
      <c r="A86" s="23">
        <v>46004.0</v>
      </c>
      <c r="B86" s="6" t="s">
        <v>549</v>
      </c>
      <c r="C86" s="6" t="str">
        <f>VLOOKUP(B86,Sheet3!$B$2:$E$311,2,FALSE)</f>
        <v>#N/A</v>
      </c>
      <c r="D86" s="6" t="str">
        <f>VLOOKUP(B86,Sheet3!$B$2:$E$311,3,)</f>
        <v>#N/A</v>
      </c>
      <c r="E86" s="6" t="str">
        <f>VLOOKUP(B86,Sheet3!$B$2:$E$311,4,)</f>
        <v>#N/A</v>
      </c>
      <c r="F86" s="6">
        <v>731.0</v>
      </c>
      <c r="G86" s="6" t="s">
        <v>326</v>
      </c>
      <c r="H86" s="6" t="s">
        <v>338</v>
      </c>
    </row>
    <row r="87" ht="15.75" customHeight="1">
      <c r="A87" s="23">
        <v>46004.0</v>
      </c>
      <c r="B87" s="6" t="s">
        <v>552</v>
      </c>
      <c r="C87" s="6" t="str">
        <f>VLOOKUP(B87,Sheet3!$B$2:$E$311,2,FALSE)</f>
        <v>#N/A</v>
      </c>
      <c r="D87" s="6" t="str">
        <f>VLOOKUP(B87,Sheet3!$B$2:$E$311,3,)</f>
        <v>#N/A</v>
      </c>
      <c r="E87" s="6" t="str">
        <f>VLOOKUP(B87,Sheet3!$B$2:$E$311,4,)</f>
        <v>#N/A</v>
      </c>
      <c r="F87" s="6">
        <v>51.0</v>
      </c>
      <c r="G87" s="6" t="s">
        <v>326</v>
      </c>
      <c r="H87" s="6" t="s">
        <v>338</v>
      </c>
    </row>
    <row r="88" ht="15.75" customHeight="1">
      <c r="A88" s="23">
        <v>46004.0</v>
      </c>
      <c r="B88" s="6" t="s">
        <v>533</v>
      </c>
      <c r="C88" s="6" t="str">
        <f>VLOOKUP(B88,Sheet3!$B$2:$E$311,2,FALSE)</f>
        <v>#N/A</v>
      </c>
      <c r="D88" s="6" t="str">
        <f>VLOOKUP(B88,Sheet3!$B$2:$E$311,3,)</f>
        <v>#N/A</v>
      </c>
      <c r="E88" s="6" t="str">
        <f>VLOOKUP(B88,Sheet3!$B$2:$E$311,4,)</f>
        <v>#N/A</v>
      </c>
      <c r="F88" s="6">
        <v>4.0</v>
      </c>
      <c r="G88" s="6" t="s">
        <v>555</v>
      </c>
      <c r="H88" s="6" t="s">
        <v>483</v>
      </c>
    </row>
    <row r="89" ht="15.75" customHeight="1">
      <c r="A89" s="23">
        <v>46005.0</v>
      </c>
      <c r="B89" s="6" t="s">
        <v>556</v>
      </c>
      <c r="C89" s="6" t="str">
        <f>VLOOKUP(B89,Sheet3!$B$2:$E$311,2,FALSE)</f>
        <v>#N/A</v>
      </c>
      <c r="D89" s="6" t="str">
        <f>VLOOKUP(B89,Sheet3!$B$2:$E$311,3,)</f>
        <v>#N/A</v>
      </c>
      <c r="E89" s="6" t="str">
        <f>VLOOKUP(B89,Sheet3!$B$2:$E$311,4,)</f>
        <v>#N/A</v>
      </c>
      <c r="F89" s="6">
        <v>1.0</v>
      </c>
      <c r="G89" s="6" t="s">
        <v>558</v>
      </c>
      <c r="H89" s="6" t="s">
        <v>319</v>
      </c>
    </row>
    <row r="90" ht="15.75" customHeight="1">
      <c r="A90" s="23">
        <v>46005.0</v>
      </c>
      <c r="B90" s="6" t="s">
        <v>327</v>
      </c>
      <c r="C90" s="6" t="str">
        <f>VLOOKUP(B90,Sheet3!$B$2:$E$311,2,FALSE)</f>
        <v>#N/A</v>
      </c>
      <c r="D90" s="6" t="str">
        <f>VLOOKUP(B90,Sheet3!$B$2:$E$311,3,)</f>
        <v>#N/A</v>
      </c>
      <c r="E90" s="6" t="str">
        <f>VLOOKUP(B90,Sheet3!$B$2:$E$311,4,)</f>
        <v>#N/A</v>
      </c>
      <c r="F90" s="6">
        <v>2.0</v>
      </c>
      <c r="G90" s="6" t="s">
        <v>326</v>
      </c>
      <c r="H90" s="6" t="s">
        <v>319</v>
      </c>
    </row>
    <row r="91" ht="15.75" customHeight="1">
      <c r="A91" s="23">
        <v>46005.0</v>
      </c>
      <c r="B91" s="6" t="s">
        <v>516</v>
      </c>
      <c r="C91" s="6" t="str">
        <f>VLOOKUP(B91,Sheet3!$B$2:$E$311,2,FALSE)</f>
        <v>#N/A</v>
      </c>
      <c r="D91" s="6" t="str">
        <f>VLOOKUP(B91,Sheet3!$B$2:$E$311,3,)</f>
        <v>#N/A</v>
      </c>
      <c r="E91" s="6" t="str">
        <f>VLOOKUP(B91,Sheet3!$B$2:$E$311,4,)</f>
        <v>#N/A</v>
      </c>
      <c r="F91" s="6">
        <v>116.0</v>
      </c>
      <c r="G91" s="6" t="s">
        <v>326</v>
      </c>
      <c r="H91" s="6" t="s">
        <v>319</v>
      </c>
    </row>
    <row r="92" ht="15.75" customHeight="1">
      <c r="A92" s="23">
        <v>46005.0</v>
      </c>
      <c r="B92" s="6" t="s">
        <v>351</v>
      </c>
      <c r="C92" s="6" t="str">
        <f>VLOOKUP(B92,Sheet3!$B$2:$E$311,2,FALSE)</f>
        <v>#N/A</v>
      </c>
      <c r="D92" s="6" t="str">
        <f>VLOOKUP(B92,Sheet3!$B$2:$E$311,3,)</f>
        <v>#N/A</v>
      </c>
      <c r="E92" s="6" t="str">
        <f>VLOOKUP(B92,Sheet3!$B$2:$E$311,4,)</f>
        <v>#N/A</v>
      </c>
      <c r="F92" s="6">
        <v>2500.0</v>
      </c>
      <c r="G92" s="6" t="s">
        <v>326</v>
      </c>
      <c r="H92" s="6" t="s">
        <v>483</v>
      </c>
    </row>
    <row r="93" ht="15.75" customHeight="1">
      <c r="A93" s="23">
        <v>46005.0</v>
      </c>
      <c r="B93" s="6" t="s">
        <v>356</v>
      </c>
      <c r="C93" s="6" t="str">
        <f>VLOOKUP(B93,Sheet3!$B$2:$E$311,2,FALSE)</f>
        <v>#N/A</v>
      </c>
      <c r="D93" s="6" t="str">
        <f>VLOOKUP(B93,Sheet3!$B$2:$E$311,3,)</f>
        <v>#N/A</v>
      </c>
      <c r="E93" s="6" t="str">
        <f>VLOOKUP(B93,Sheet3!$B$2:$E$311,4,)</f>
        <v>#N/A</v>
      </c>
      <c r="F93" s="6">
        <v>1000.0</v>
      </c>
      <c r="G93" s="6" t="s">
        <v>326</v>
      </c>
      <c r="H93" s="6" t="s">
        <v>483</v>
      </c>
    </row>
    <row r="94" ht="15.75" customHeight="1">
      <c r="A94" s="23">
        <v>46005.0</v>
      </c>
      <c r="B94" s="6" t="s">
        <v>563</v>
      </c>
      <c r="C94" s="6" t="str">
        <f>VLOOKUP(B94,Sheet3!$B$2:$E$311,2,FALSE)</f>
        <v>#N/A</v>
      </c>
      <c r="D94" s="6" t="str">
        <f>VLOOKUP(B94,Sheet3!$B$2:$E$311,3,)</f>
        <v>#N/A</v>
      </c>
      <c r="E94" s="6" t="str">
        <f>VLOOKUP(B94,Sheet3!$B$2:$E$311,4,)</f>
        <v>#N/A</v>
      </c>
      <c r="F94" s="6">
        <v>200.0</v>
      </c>
      <c r="G94" s="6" t="s">
        <v>326</v>
      </c>
      <c r="H94" s="6" t="s">
        <v>399</v>
      </c>
    </row>
    <row r="95" ht="15.75" customHeight="1">
      <c r="A95" s="23">
        <v>46006.0</v>
      </c>
      <c r="B95" s="6" t="s">
        <v>565</v>
      </c>
      <c r="C95" s="6" t="str">
        <f>VLOOKUP(B95,Sheet3!$B$2:$E$311,2,FALSE)</f>
        <v>#N/A</v>
      </c>
      <c r="D95" s="6" t="str">
        <f>VLOOKUP(B95,Sheet3!$B$2:$E$311,3,)</f>
        <v>#N/A</v>
      </c>
      <c r="E95" s="6" t="str">
        <f>VLOOKUP(B95,Sheet3!$B$2:$E$311,4,)</f>
        <v>#N/A</v>
      </c>
      <c r="F95" s="6">
        <v>1.0</v>
      </c>
      <c r="G95" s="6" t="s">
        <v>326</v>
      </c>
      <c r="H95" s="6" t="s">
        <v>338</v>
      </c>
    </row>
    <row r="96" ht="15.75" customHeight="1">
      <c r="A96" s="23">
        <v>46006.0</v>
      </c>
      <c r="B96" s="6" t="s">
        <v>463</v>
      </c>
      <c r="C96" s="6" t="str">
        <f>VLOOKUP(B96,Sheet3!$B$2:$E$311,2,FALSE)</f>
        <v>#N/A</v>
      </c>
      <c r="D96" s="6" t="str">
        <f>VLOOKUP(B96,Sheet3!$B$2:$E$311,3,)</f>
        <v>#N/A</v>
      </c>
      <c r="E96" s="6" t="str">
        <f>VLOOKUP(B96,Sheet3!$B$2:$E$311,4,)</f>
        <v>#N/A</v>
      </c>
      <c r="F96" s="6">
        <v>240.0</v>
      </c>
      <c r="G96" s="6" t="s">
        <v>326</v>
      </c>
      <c r="H96" s="6" t="s">
        <v>338</v>
      </c>
    </row>
    <row r="97" ht="15.75" customHeight="1">
      <c r="A97" s="23">
        <v>46006.0</v>
      </c>
      <c r="B97" s="6" t="s">
        <v>468</v>
      </c>
      <c r="C97" s="6" t="str">
        <f>VLOOKUP(B97,Sheet3!$B$2:$E$311,2,FALSE)</f>
        <v>#N/A</v>
      </c>
      <c r="D97" s="6" t="str">
        <f>VLOOKUP(B97,Sheet3!$B$2:$E$311,3,)</f>
        <v>#N/A</v>
      </c>
      <c r="E97" s="6" t="str">
        <f>VLOOKUP(B97,Sheet3!$B$2:$E$311,4,)</f>
        <v>#N/A</v>
      </c>
      <c r="F97" s="6">
        <v>2.0</v>
      </c>
      <c r="G97" s="6" t="s">
        <v>518</v>
      </c>
      <c r="H97" s="6" t="s">
        <v>338</v>
      </c>
    </row>
    <row r="98" ht="15.75" customHeight="1">
      <c r="A98" s="23">
        <v>46006.0</v>
      </c>
      <c r="B98" s="6" t="s">
        <v>315</v>
      </c>
      <c r="C98" s="6" t="str">
        <f>VLOOKUP(B98,Sheet3!$B$2:$E$311,2,FALSE)</f>
        <v>#N/A</v>
      </c>
      <c r="D98" s="6" t="str">
        <f>VLOOKUP(B98,Sheet3!$B$2:$E$311,3,)</f>
        <v>#N/A</v>
      </c>
      <c r="E98" s="6" t="str">
        <f>VLOOKUP(B98,Sheet3!$B$2:$E$311,4,)</f>
        <v>#N/A</v>
      </c>
      <c r="F98" s="6">
        <v>13.0</v>
      </c>
      <c r="G98" s="6" t="s">
        <v>326</v>
      </c>
      <c r="H98" s="6" t="s">
        <v>567</v>
      </c>
    </row>
    <row r="99" ht="15.75" customHeight="1">
      <c r="A99" s="23">
        <v>46006.0</v>
      </c>
      <c r="B99" s="6" t="s">
        <v>327</v>
      </c>
      <c r="C99" s="6" t="str">
        <f>VLOOKUP(B99,Sheet3!$B$2:$E$311,2,FALSE)</f>
        <v>#N/A</v>
      </c>
      <c r="D99" s="6" t="str">
        <f>VLOOKUP(B99,Sheet3!$B$2:$E$311,3,)</f>
        <v>#N/A</v>
      </c>
      <c r="E99" s="6" t="str">
        <f>VLOOKUP(B99,Sheet3!$B$2:$E$311,4,)</f>
        <v>#N/A</v>
      </c>
      <c r="F99" s="6">
        <v>1.0</v>
      </c>
      <c r="G99" s="6" t="s">
        <v>326</v>
      </c>
      <c r="H99" s="6" t="s">
        <v>567</v>
      </c>
    </row>
    <row r="100" ht="15.75" customHeight="1">
      <c r="A100" s="23">
        <v>46007.0</v>
      </c>
      <c r="B100" s="6" t="s">
        <v>517</v>
      </c>
      <c r="C100" s="6" t="str">
        <f>VLOOKUP(B100,Sheet3!$B$2:$E$311,2,FALSE)</f>
        <v>#N/A</v>
      </c>
      <c r="D100" s="6" t="str">
        <f>VLOOKUP(B100,Sheet3!$B$2:$E$311,3,)</f>
        <v>#N/A</v>
      </c>
      <c r="E100" s="6" t="str">
        <f>VLOOKUP(B100,Sheet3!$B$2:$E$311,4,)</f>
        <v>#N/A</v>
      </c>
      <c r="F100" s="6">
        <v>3.0</v>
      </c>
      <c r="G100" s="6" t="s">
        <v>518</v>
      </c>
      <c r="H100" s="6" t="s">
        <v>573</v>
      </c>
    </row>
    <row r="101" ht="15.75" customHeight="1">
      <c r="A101" s="23">
        <v>46006.0</v>
      </c>
      <c r="B101" s="6" t="s">
        <v>351</v>
      </c>
      <c r="C101" s="6" t="str">
        <f>VLOOKUP(B101,Sheet3!$B$2:$E$311,2,FALSE)</f>
        <v>#N/A</v>
      </c>
      <c r="D101" s="6" t="str">
        <f>VLOOKUP(B101,Sheet3!$B$2:$E$311,3,)</f>
        <v>#N/A</v>
      </c>
      <c r="E101" s="6" t="str">
        <f>VLOOKUP(B101,Sheet3!$B$2:$E$311,4,)</f>
        <v>#N/A</v>
      </c>
      <c r="F101" s="6">
        <v>2600.0</v>
      </c>
      <c r="G101" s="6" t="s">
        <v>326</v>
      </c>
      <c r="H101" s="6" t="s">
        <v>483</v>
      </c>
    </row>
    <row r="102" ht="15.75" customHeight="1">
      <c r="A102" s="23">
        <v>46006.0</v>
      </c>
      <c r="B102" s="6" t="s">
        <v>356</v>
      </c>
      <c r="C102" s="6" t="str">
        <f>VLOOKUP(B102,Sheet3!$B$2:$E$311,2,FALSE)</f>
        <v>#N/A</v>
      </c>
      <c r="D102" s="6" t="str">
        <f>VLOOKUP(B102,Sheet3!$B$2:$E$311,3,)</f>
        <v>#N/A</v>
      </c>
      <c r="E102" s="6" t="str">
        <f>VLOOKUP(B102,Sheet3!$B$2:$E$311,4,)</f>
        <v>#N/A</v>
      </c>
      <c r="F102" s="6">
        <v>2400.0</v>
      </c>
      <c r="G102" s="6" t="s">
        <v>326</v>
      </c>
      <c r="H102" s="6" t="s">
        <v>483</v>
      </c>
    </row>
    <row r="103" ht="15.75" customHeight="1">
      <c r="A103" s="23">
        <v>46006.0</v>
      </c>
      <c r="B103" s="6" t="s">
        <v>502</v>
      </c>
      <c r="C103" s="6" t="str">
        <f>VLOOKUP(B103,Sheet3!$B$2:$E$311,2,FALSE)</f>
        <v>#N/A</v>
      </c>
      <c r="D103" s="6" t="str">
        <f>VLOOKUP(B103,Sheet3!$B$2:$E$311,3,)</f>
        <v>#N/A</v>
      </c>
      <c r="E103" s="6" t="str">
        <f>VLOOKUP(B103,Sheet3!$B$2:$E$311,4,)</f>
        <v>#N/A</v>
      </c>
      <c r="F103" s="6">
        <v>600.0</v>
      </c>
      <c r="G103" s="6" t="s">
        <v>326</v>
      </c>
      <c r="H103" s="6" t="s">
        <v>483</v>
      </c>
    </row>
    <row r="104" ht="15.75" customHeight="1">
      <c r="A104" s="23">
        <v>46006.0</v>
      </c>
      <c r="B104" s="6" t="s">
        <v>346</v>
      </c>
      <c r="C104" s="6" t="str">
        <f>VLOOKUP(B104,Sheet3!$B$2:$E$311,2,FALSE)</f>
        <v>#N/A</v>
      </c>
      <c r="D104" s="6" t="str">
        <f>VLOOKUP(B104,Sheet3!$B$2:$E$311,3,)</f>
        <v>#N/A</v>
      </c>
      <c r="E104" s="6" t="str">
        <f>VLOOKUP(B104,Sheet3!$B$2:$E$311,4,)</f>
        <v>#N/A</v>
      </c>
      <c r="F104" s="6">
        <v>600.0</v>
      </c>
      <c r="G104" s="6" t="s">
        <v>326</v>
      </c>
      <c r="H104" s="6" t="s">
        <v>483</v>
      </c>
    </row>
    <row r="105" ht="15.75" customHeight="1">
      <c r="A105" s="23">
        <v>46007.0</v>
      </c>
      <c r="B105" s="6" t="s">
        <v>379</v>
      </c>
      <c r="C105" s="6" t="str">
        <f>VLOOKUP(B105,Sheet3!$B$2:$E$311,2,FALSE)</f>
        <v>#N/A</v>
      </c>
      <c r="D105" s="6" t="str">
        <f>VLOOKUP(B105,Sheet3!$B$2:$E$311,3,)</f>
        <v>#N/A</v>
      </c>
      <c r="E105" s="6" t="str">
        <f>VLOOKUP(B105,Sheet3!$B$2:$E$311,4,)</f>
        <v>#N/A</v>
      </c>
      <c r="F105" s="6">
        <v>55.0</v>
      </c>
      <c r="G105" s="6" t="s">
        <v>326</v>
      </c>
      <c r="H105" s="6" t="s">
        <v>399</v>
      </c>
    </row>
    <row r="106" ht="15.75" customHeight="1">
      <c r="A106" s="23">
        <v>46007.0</v>
      </c>
      <c r="B106" s="6" t="s">
        <v>286</v>
      </c>
      <c r="C106" s="6" t="str">
        <f>VLOOKUP(B106,Sheet3!$B$2:$E$311,2,FALSE)</f>
        <v>#N/A</v>
      </c>
      <c r="D106" s="6" t="str">
        <f>VLOOKUP(B106,Sheet3!$B$2:$E$311,3,)</f>
        <v>#N/A</v>
      </c>
      <c r="E106" s="6" t="str">
        <f>VLOOKUP(B106,Sheet3!$B$2:$E$311,4,)</f>
        <v>#N/A</v>
      </c>
      <c r="F106" s="6">
        <v>450.0</v>
      </c>
      <c r="G106" s="6" t="s">
        <v>326</v>
      </c>
      <c r="H106" s="6" t="s">
        <v>399</v>
      </c>
    </row>
    <row r="107" ht="15.75" customHeight="1">
      <c r="A107" s="23">
        <v>46007.0</v>
      </c>
      <c r="B107" s="6" t="s">
        <v>578</v>
      </c>
      <c r="C107" s="6" t="str">
        <f>VLOOKUP(B107,Sheet3!$B$2:$E$311,2,FALSE)</f>
        <v>#N/A</v>
      </c>
      <c r="D107" s="6" t="str">
        <f>VLOOKUP(B107,Sheet3!$B$2:$E$311,3,)</f>
        <v>#N/A</v>
      </c>
      <c r="E107" s="6" t="str">
        <f>VLOOKUP(B107,Sheet3!$B$2:$E$311,4,)</f>
        <v>#N/A</v>
      </c>
      <c r="F107" s="6">
        <v>186.0</v>
      </c>
      <c r="G107" s="6" t="s">
        <v>496</v>
      </c>
      <c r="H107" s="6" t="s">
        <v>399</v>
      </c>
    </row>
    <row r="108" ht="15.75" customHeight="1">
      <c r="A108" s="23">
        <v>46007.0</v>
      </c>
      <c r="B108" s="6" t="s">
        <v>584</v>
      </c>
      <c r="C108" s="6" t="str">
        <f>VLOOKUP(B108,Sheet3!$B$2:$E$311,2,FALSE)</f>
        <v>#N/A</v>
      </c>
      <c r="D108" s="6" t="str">
        <f>VLOOKUP(B108,Sheet3!$B$2:$E$311,3,)</f>
        <v>#N/A</v>
      </c>
      <c r="E108" s="6" t="str">
        <f>VLOOKUP(B108,Sheet3!$B$2:$E$311,4,)</f>
        <v>#N/A</v>
      </c>
      <c r="F108" s="6">
        <v>100.0</v>
      </c>
      <c r="G108" s="6" t="s">
        <v>496</v>
      </c>
      <c r="H108" s="6" t="s">
        <v>399</v>
      </c>
    </row>
    <row r="109" ht="15.75" customHeight="1">
      <c r="A109" s="23">
        <v>46007.0</v>
      </c>
      <c r="B109" s="6" t="s">
        <v>586</v>
      </c>
      <c r="C109" s="6" t="str">
        <f>VLOOKUP(B109,Sheet3!$B$2:$E$311,2,FALSE)</f>
        <v>#N/A</v>
      </c>
      <c r="D109" s="6" t="str">
        <f>VLOOKUP(B109,Sheet3!$B$2:$E$311,3,)</f>
        <v>#N/A</v>
      </c>
      <c r="E109" s="6" t="str">
        <f>VLOOKUP(B109,Sheet3!$B$2:$E$311,4,)</f>
        <v>#N/A</v>
      </c>
      <c r="F109" s="6">
        <v>1.0</v>
      </c>
      <c r="G109" s="6" t="s">
        <v>326</v>
      </c>
      <c r="H109" s="6" t="s">
        <v>294</v>
      </c>
    </row>
    <row r="110" ht="15.75" customHeight="1">
      <c r="A110" s="23">
        <v>46007.0</v>
      </c>
      <c r="B110" s="6" t="s">
        <v>516</v>
      </c>
      <c r="C110" s="6" t="str">
        <f>VLOOKUP(B110,Sheet3!$B$2:$E$311,2,FALSE)</f>
        <v>#N/A</v>
      </c>
      <c r="D110" s="6" t="str">
        <f>VLOOKUP(B110,Sheet3!$B$2:$E$311,3,)</f>
        <v>#N/A</v>
      </c>
      <c r="E110" s="6" t="str">
        <f>VLOOKUP(B110,Sheet3!$B$2:$E$311,4,)</f>
        <v>#N/A</v>
      </c>
      <c r="F110" s="6">
        <v>107.0</v>
      </c>
      <c r="G110" s="6" t="s">
        <v>326</v>
      </c>
      <c r="H110" s="6" t="s">
        <v>294</v>
      </c>
    </row>
    <row r="111" ht="15.75" customHeight="1">
      <c r="A111" s="23">
        <v>46007.0</v>
      </c>
      <c r="B111" s="6" t="s">
        <v>315</v>
      </c>
      <c r="C111" s="6" t="str">
        <f>VLOOKUP(B111,Sheet3!$B$2:$E$311,2,FALSE)</f>
        <v>#N/A</v>
      </c>
      <c r="D111" s="6" t="str">
        <f>VLOOKUP(B111,Sheet3!$B$2:$E$311,3,)</f>
        <v>#N/A</v>
      </c>
      <c r="E111" s="6" t="str">
        <f>VLOOKUP(B111,Sheet3!$B$2:$E$311,4,)</f>
        <v>#N/A</v>
      </c>
      <c r="F111" s="6">
        <v>5.0</v>
      </c>
      <c r="G111" s="6" t="s">
        <v>326</v>
      </c>
      <c r="H111" s="6" t="s">
        <v>567</v>
      </c>
    </row>
    <row r="112" ht="15.75" customHeight="1">
      <c r="A112" s="23">
        <v>46007.0</v>
      </c>
      <c r="B112" s="6" t="s">
        <v>356</v>
      </c>
      <c r="C112" s="6" t="str">
        <f>VLOOKUP(B112,Sheet3!$B$2:$E$311,2,FALSE)</f>
        <v>#N/A</v>
      </c>
      <c r="D112" s="6" t="str">
        <f>VLOOKUP(B112,Sheet3!$B$2:$E$311,3,)</f>
        <v>#N/A</v>
      </c>
      <c r="E112" s="6" t="str">
        <f>VLOOKUP(B112,Sheet3!$B$2:$E$311,4,)</f>
        <v>#N/A</v>
      </c>
      <c r="F112" s="6">
        <v>1000.0</v>
      </c>
      <c r="G112" s="6" t="s">
        <v>326</v>
      </c>
      <c r="H112" s="6" t="s">
        <v>483</v>
      </c>
    </row>
    <row r="113" ht="15.75" customHeight="1">
      <c r="A113" s="23">
        <v>46007.0</v>
      </c>
      <c r="B113" s="6" t="s">
        <v>346</v>
      </c>
      <c r="C113" s="6" t="str">
        <f>VLOOKUP(B113,Sheet3!$B$2:$E$311,2,FALSE)</f>
        <v>#N/A</v>
      </c>
      <c r="D113" s="6" t="str">
        <f>VLOOKUP(B113,Sheet3!$B$2:$E$311,3,)</f>
        <v>#N/A</v>
      </c>
      <c r="E113" s="6" t="str">
        <f>VLOOKUP(B113,Sheet3!$B$2:$E$311,4,)</f>
        <v>#N/A</v>
      </c>
      <c r="F113" s="6">
        <v>1000.0</v>
      </c>
      <c r="G113" s="6" t="s">
        <v>326</v>
      </c>
      <c r="H113" s="6" t="s">
        <v>483</v>
      </c>
    </row>
    <row r="114" ht="15.75" customHeight="1">
      <c r="A114" s="23">
        <v>46007.0</v>
      </c>
      <c r="B114" s="6" t="s">
        <v>502</v>
      </c>
      <c r="C114" s="6" t="str">
        <f>VLOOKUP(B114,Sheet3!$B$2:$E$311,2,FALSE)</f>
        <v>#N/A</v>
      </c>
      <c r="D114" s="6" t="str">
        <f>VLOOKUP(B114,Sheet3!$B$2:$E$311,3,)</f>
        <v>#N/A</v>
      </c>
      <c r="E114" s="6" t="str">
        <f>VLOOKUP(B114,Sheet3!$B$2:$E$311,4,)</f>
        <v>#N/A</v>
      </c>
      <c r="F114" s="6">
        <v>700.0</v>
      </c>
      <c r="G114" s="6" t="s">
        <v>326</v>
      </c>
      <c r="H114" s="6" t="s">
        <v>483</v>
      </c>
    </row>
    <row r="115" ht="15.75" customHeight="1">
      <c r="A115" s="23">
        <v>46007.0</v>
      </c>
      <c r="B115" s="6" t="s">
        <v>351</v>
      </c>
      <c r="C115" s="6" t="str">
        <f>VLOOKUP(B115,Sheet3!$B$2:$E$311,2,FALSE)</f>
        <v>#N/A</v>
      </c>
      <c r="D115" s="6" t="str">
        <f>VLOOKUP(B115,Sheet3!$B$2:$E$311,3,)</f>
        <v>#N/A</v>
      </c>
      <c r="E115" s="6" t="str">
        <f>VLOOKUP(B115,Sheet3!$B$2:$E$311,4,)</f>
        <v>#N/A</v>
      </c>
      <c r="F115" s="6">
        <v>2000.0</v>
      </c>
      <c r="G115" s="6" t="s">
        <v>326</v>
      </c>
      <c r="H115" s="6" t="s">
        <v>483</v>
      </c>
    </row>
    <row r="116" ht="15.75" customHeight="1">
      <c r="A116" s="23">
        <v>46008.0</v>
      </c>
      <c r="B116" s="6" t="s">
        <v>565</v>
      </c>
      <c r="C116" s="6" t="str">
        <f>VLOOKUP(B116,Sheet3!$B$2:$E$311,2,FALSE)</f>
        <v>#N/A</v>
      </c>
      <c r="D116" s="6" t="str">
        <f>VLOOKUP(B116,Sheet3!$B$2:$E$311,3,)</f>
        <v>#N/A</v>
      </c>
      <c r="E116" s="6" t="str">
        <f>VLOOKUP(B116,Sheet3!$B$2:$E$311,4,)</f>
        <v>#N/A</v>
      </c>
      <c r="F116" s="6">
        <v>1.0</v>
      </c>
      <c r="G116" s="6" t="s">
        <v>326</v>
      </c>
      <c r="H116" s="6" t="s">
        <v>338</v>
      </c>
    </row>
    <row r="117" ht="15.75" customHeight="1">
      <c r="A117" s="23">
        <v>46008.0</v>
      </c>
      <c r="B117" s="6" t="s">
        <v>597</v>
      </c>
      <c r="C117" s="6" t="str">
        <f>VLOOKUP(B117,Sheet3!$B$2:$E$311,2,FALSE)</f>
        <v>#N/A</v>
      </c>
      <c r="D117" s="6" t="str">
        <f>VLOOKUP(B117,Sheet3!$B$2:$E$311,3,)</f>
        <v>#N/A</v>
      </c>
      <c r="E117" s="6" t="str">
        <f>VLOOKUP(B117,Sheet3!$B$2:$E$311,4,)</f>
        <v>#N/A</v>
      </c>
      <c r="F117" s="6">
        <v>311.0</v>
      </c>
      <c r="G117" s="6" t="s">
        <v>326</v>
      </c>
      <c r="H117" s="6" t="s">
        <v>338</v>
      </c>
    </row>
    <row r="118" ht="15.75" customHeight="1">
      <c r="A118" s="23">
        <v>46008.0</v>
      </c>
      <c r="B118" s="6" t="s">
        <v>351</v>
      </c>
      <c r="C118" s="6" t="str">
        <f>VLOOKUP(B118,Sheet3!$B$2:$E$311,2,FALSE)</f>
        <v>#N/A</v>
      </c>
      <c r="D118" s="6" t="str">
        <f>VLOOKUP(B118,Sheet3!$B$2:$E$311,3,)</f>
        <v>#N/A</v>
      </c>
      <c r="E118" s="6" t="str">
        <f>VLOOKUP(B118,Sheet3!$B$2:$E$311,4,)</f>
        <v>#N/A</v>
      </c>
      <c r="F118" s="6">
        <v>600.0</v>
      </c>
      <c r="G118" s="6" t="s">
        <v>326</v>
      </c>
      <c r="H118" s="6" t="s">
        <v>598</v>
      </c>
    </row>
    <row r="119" ht="15.75" customHeight="1">
      <c r="A119" s="23">
        <v>46008.0</v>
      </c>
      <c r="B119" s="6" t="s">
        <v>356</v>
      </c>
      <c r="C119" s="6" t="str">
        <f>VLOOKUP(B119,Sheet3!$B$2:$E$311,2,FALSE)</f>
        <v>#N/A</v>
      </c>
      <c r="D119" s="6" t="str">
        <f>VLOOKUP(B119,Sheet3!$B$2:$E$311,3,)</f>
        <v>#N/A</v>
      </c>
      <c r="E119" s="6" t="str">
        <f>VLOOKUP(B119,Sheet3!$B$2:$E$311,4,)</f>
        <v>#N/A</v>
      </c>
      <c r="F119" s="6">
        <v>700.0</v>
      </c>
      <c r="G119" s="6" t="s">
        <v>326</v>
      </c>
      <c r="H119" s="6" t="s">
        <v>598</v>
      </c>
    </row>
    <row r="120" ht="15.75" customHeight="1">
      <c r="A120" s="23">
        <v>46008.0</v>
      </c>
      <c r="B120" s="6" t="s">
        <v>346</v>
      </c>
      <c r="C120" s="6" t="str">
        <f>VLOOKUP(B120,Sheet3!$B$2:$E$311,2,FALSE)</f>
        <v>#N/A</v>
      </c>
      <c r="D120" s="6" t="str">
        <f>VLOOKUP(B120,Sheet3!$B$2:$E$311,3,)</f>
        <v>#N/A</v>
      </c>
      <c r="E120" s="6" t="str">
        <f>VLOOKUP(B120,Sheet3!$B$2:$E$311,4,)</f>
        <v>#N/A</v>
      </c>
      <c r="F120" s="6">
        <v>4500.0</v>
      </c>
      <c r="G120" s="6" t="s">
        <v>326</v>
      </c>
      <c r="H120" s="6" t="s">
        <v>598</v>
      </c>
    </row>
    <row r="121" ht="15.75" customHeight="1">
      <c r="A121" s="23">
        <v>46008.0</v>
      </c>
      <c r="B121" s="6" t="s">
        <v>502</v>
      </c>
      <c r="C121" s="6" t="str">
        <f>VLOOKUP(B121,Sheet3!$B$2:$E$311,2,FALSE)</f>
        <v>#N/A</v>
      </c>
      <c r="D121" s="6" t="str">
        <f>VLOOKUP(B121,Sheet3!$B$2:$E$311,3,)</f>
        <v>#N/A</v>
      </c>
      <c r="E121" s="6" t="str">
        <f>VLOOKUP(B121,Sheet3!$B$2:$E$311,4,)</f>
        <v>#N/A</v>
      </c>
      <c r="F121" s="6">
        <v>1000.0</v>
      </c>
      <c r="G121" s="6" t="s">
        <v>326</v>
      </c>
      <c r="H121" s="6" t="s">
        <v>598</v>
      </c>
    </row>
    <row r="122" ht="15.75" customHeight="1">
      <c r="A122" s="23">
        <v>46008.0</v>
      </c>
      <c r="B122" s="6" t="s">
        <v>527</v>
      </c>
      <c r="C122" s="6" t="str">
        <f>VLOOKUP(B122,Sheet3!$B$2:$E$311,2,FALSE)</f>
        <v>#N/A</v>
      </c>
      <c r="D122" s="6" t="str">
        <f>VLOOKUP(B122,Sheet3!$B$2:$E$311,3,)</f>
        <v>#N/A</v>
      </c>
      <c r="E122" s="6" t="str">
        <f>VLOOKUP(B122,Sheet3!$B$2:$E$311,4,)</f>
        <v>#N/A</v>
      </c>
      <c r="F122" s="6">
        <v>1.0</v>
      </c>
      <c r="G122" s="6" t="s">
        <v>326</v>
      </c>
      <c r="H122" s="6" t="s">
        <v>319</v>
      </c>
    </row>
    <row r="123" ht="15.75" customHeight="1">
      <c r="A123" s="23">
        <v>46008.0</v>
      </c>
      <c r="B123" s="6" t="s">
        <v>315</v>
      </c>
      <c r="C123" s="6" t="str">
        <f>VLOOKUP(B123,Sheet3!$B$2:$E$311,2,FALSE)</f>
        <v>#N/A</v>
      </c>
      <c r="D123" s="6" t="str">
        <f>VLOOKUP(B123,Sheet3!$B$2:$E$311,3,)</f>
        <v>#N/A</v>
      </c>
      <c r="E123" s="6" t="str">
        <f>VLOOKUP(B123,Sheet3!$B$2:$E$311,4,)</f>
        <v>#N/A</v>
      </c>
      <c r="F123" s="6">
        <v>9.0</v>
      </c>
      <c r="G123" s="6" t="s">
        <v>326</v>
      </c>
      <c r="H123" s="6" t="s">
        <v>319</v>
      </c>
    </row>
    <row r="124" ht="15.75" customHeight="1">
      <c r="A124" s="23">
        <v>46008.0</v>
      </c>
      <c r="B124" s="6" t="s">
        <v>516</v>
      </c>
      <c r="C124" s="6" t="str">
        <f>VLOOKUP(B124,Sheet3!$B$2:$E$311,2,FALSE)</f>
        <v>#N/A</v>
      </c>
      <c r="D124" s="6" t="str">
        <f>VLOOKUP(B124,Sheet3!$B$2:$E$311,3,)</f>
        <v>#N/A</v>
      </c>
      <c r="E124" s="6" t="str">
        <f>VLOOKUP(B124,Sheet3!$B$2:$E$311,4,)</f>
        <v>#N/A</v>
      </c>
      <c r="F124" s="6">
        <v>34.0</v>
      </c>
      <c r="G124" s="6" t="s">
        <v>326</v>
      </c>
      <c r="H124" s="6" t="s">
        <v>338</v>
      </c>
    </row>
    <row r="125" ht="15.75" customHeight="1">
      <c r="A125" s="23">
        <v>46009.0</v>
      </c>
      <c r="B125" s="6" t="s">
        <v>611</v>
      </c>
      <c r="C125" s="6" t="str">
        <f>VLOOKUP(B125,Sheet3!$B$2:$E$311,2,FALSE)</f>
        <v>#N/A</v>
      </c>
      <c r="D125" s="6" t="str">
        <f>VLOOKUP(B125,Sheet3!$B$2:$E$311,3,)</f>
        <v>#N/A</v>
      </c>
      <c r="E125" s="6" t="str">
        <f>VLOOKUP(B125,Sheet3!$B$2:$E$311,4,)</f>
        <v>#N/A</v>
      </c>
      <c r="F125" s="6">
        <v>1.0</v>
      </c>
      <c r="G125" s="6" t="s">
        <v>496</v>
      </c>
      <c r="H125" s="6" t="s">
        <v>614</v>
      </c>
    </row>
    <row r="126" ht="15.75" customHeight="1">
      <c r="A126" s="23">
        <v>46009.0</v>
      </c>
      <c r="B126" s="6" t="s">
        <v>379</v>
      </c>
      <c r="C126" s="6" t="str">
        <f>VLOOKUP(B126,Sheet3!$B$2:$E$311,2,FALSE)</f>
        <v>#N/A</v>
      </c>
      <c r="D126" s="6" t="str">
        <f>VLOOKUP(B126,Sheet3!$B$2:$E$311,3,)</f>
        <v>#N/A</v>
      </c>
      <c r="E126" s="6" t="str">
        <f>VLOOKUP(B126,Sheet3!$B$2:$E$311,4,)</f>
        <v>#N/A</v>
      </c>
      <c r="F126" s="6">
        <v>32.0</v>
      </c>
      <c r="G126" s="6" t="s">
        <v>326</v>
      </c>
      <c r="H126" s="6" t="s">
        <v>399</v>
      </c>
    </row>
    <row r="127" ht="15.75" customHeight="1">
      <c r="A127" s="23">
        <v>46009.0</v>
      </c>
      <c r="B127" s="6" t="s">
        <v>315</v>
      </c>
      <c r="C127" s="6" t="str">
        <f>VLOOKUP(B127,Sheet3!$B$2:$E$311,2,FALSE)</f>
        <v>#N/A</v>
      </c>
      <c r="D127" s="6" t="str">
        <f>VLOOKUP(B127,Sheet3!$B$2:$E$311,3,)</f>
        <v>#N/A</v>
      </c>
      <c r="E127" s="6" t="str">
        <f>VLOOKUP(B127,Sheet3!$B$2:$E$311,4,)</f>
        <v>#N/A</v>
      </c>
      <c r="F127" s="6">
        <v>3.0</v>
      </c>
      <c r="G127" s="6" t="s">
        <v>326</v>
      </c>
      <c r="H127" s="6" t="s">
        <v>567</v>
      </c>
    </row>
    <row r="128" ht="15.75" customHeight="1">
      <c r="A128" s="23">
        <v>46009.0</v>
      </c>
      <c r="B128" s="6" t="s">
        <v>179</v>
      </c>
      <c r="C128" s="6" t="str">
        <f>VLOOKUP(B128,Sheet3!$B$2:$E$311,2,FALSE)</f>
        <v>P006</v>
      </c>
      <c r="D128" s="6" t="str">
        <f>VLOOKUP(B128,Sheet3!$B$2:$E$311,3,)</f>
        <v>PRODUKSI STOK LUUCA</v>
      </c>
      <c r="E128" s="6" t="str">
        <f>VLOOKUP(B128,Sheet3!$B$2:$E$311,4,)</f>
        <v>GR</v>
      </c>
      <c r="F128" s="6">
        <v>5000.0</v>
      </c>
      <c r="G128" s="6" t="s">
        <v>326</v>
      </c>
      <c r="H128" s="6" t="s">
        <v>483</v>
      </c>
    </row>
    <row r="129" ht="15.75" customHeight="1">
      <c r="A129" s="23">
        <v>46009.0</v>
      </c>
      <c r="B129" s="6" t="s">
        <v>586</v>
      </c>
      <c r="C129" s="6" t="str">
        <f>VLOOKUP(B129,Sheet3!$B$2:$E$311,2,FALSE)</f>
        <v>#N/A</v>
      </c>
      <c r="D129" s="6" t="str">
        <f>VLOOKUP(B129,Sheet3!$B$2:$E$311,3,)</f>
        <v>#N/A</v>
      </c>
      <c r="E129" s="6" t="str">
        <f>VLOOKUP(B129,Sheet3!$B$2:$E$311,4,)</f>
        <v>#N/A</v>
      </c>
      <c r="F129" s="6">
        <v>3.0</v>
      </c>
      <c r="G129" s="6" t="s">
        <v>326</v>
      </c>
      <c r="H129" s="6" t="s">
        <v>614</v>
      </c>
    </row>
    <row r="130" ht="15.75" customHeight="1">
      <c r="A130" s="23">
        <v>46009.0</v>
      </c>
      <c r="B130" s="6" t="s">
        <v>617</v>
      </c>
      <c r="C130" s="6" t="str">
        <f>VLOOKUP(B130,Sheet3!$B$2:$E$311,2,FALSE)</f>
        <v>#N/A</v>
      </c>
      <c r="D130" s="6" t="str">
        <f>VLOOKUP(B130,Sheet3!$B$2:$E$311,3,)</f>
        <v>#N/A</v>
      </c>
      <c r="E130" s="6" t="str">
        <f>VLOOKUP(B130,Sheet3!$B$2:$E$311,4,)</f>
        <v>#N/A</v>
      </c>
      <c r="F130" s="6">
        <v>778.0</v>
      </c>
      <c r="G130" s="6" t="s">
        <v>326</v>
      </c>
      <c r="H130" s="6" t="s">
        <v>399</v>
      </c>
    </row>
    <row r="131" ht="15.75" customHeight="1">
      <c r="A131" s="23">
        <v>46009.0</v>
      </c>
      <c r="B131" s="6" t="s">
        <v>315</v>
      </c>
      <c r="C131" s="6" t="str">
        <f>VLOOKUP(B131,Sheet3!$B$2:$E$311,2,FALSE)</f>
        <v>#N/A</v>
      </c>
      <c r="D131" s="6" t="str">
        <f>VLOOKUP(B131,Sheet3!$B$2:$E$311,3,)</f>
        <v>#N/A</v>
      </c>
      <c r="E131" s="6" t="str">
        <f>VLOOKUP(B131,Sheet3!$B$2:$E$311,4,)</f>
        <v>#N/A</v>
      </c>
      <c r="F131" s="6">
        <v>2.0</v>
      </c>
      <c r="G131" s="6" t="s">
        <v>326</v>
      </c>
      <c r="H131" s="6" t="s">
        <v>338</v>
      </c>
    </row>
    <row r="132" ht="15.75" customHeight="1">
      <c r="A132" s="23">
        <v>46009.0</v>
      </c>
      <c r="B132" s="6" t="s">
        <v>516</v>
      </c>
      <c r="C132" s="6" t="str">
        <f>VLOOKUP(B132,Sheet3!$B$2:$E$311,2,FALSE)</f>
        <v>#N/A</v>
      </c>
      <c r="D132" s="6" t="str">
        <f>VLOOKUP(B132,Sheet3!$B$2:$E$311,3,)</f>
        <v>#N/A</v>
      </c>
      <c r="E132" s="6" t="str">
        <f>VLOOKUP(B132,Sheet3!$B$2:$E$311,4,)</f>
        <v>#N/A</v>
      </c>
      <c r="F132" s="6">
        <v>41.0</v>
      </c>
      <c r="G132" s="6" t="s">
        <v>326</v>
      </c>
      <c r="H132" s="6" t="s">
        <v>338</v>
      </c>
    </row>
    <row r="133" ht="15.75" customHeight="1">
      <c r="A133" s="23">
        <v>46009.0</v>
      </c>
      <c r="B133" s="6" t="s">
        <v>625</v>
      </c>
      <c r="C133" s="6" t="str">
        <f>VLOOKUP(B133,Sheet3!$B$2:$E$311,2,FALSE)</f>
        <v>#N/A</v>
      </c>
      <c r="D133" s="6" t="str">
        <f>VLOOKUP(B133,Sheet3!$B$2:$E$311,3,)</f>
        <v>#N/A</v>
      </c>
      <c r="E133" s="6" t="str">
        <f>VLOOKUP(B133,Sheet3!$B$2:$E$311,4,)</f>
        <v>#N/A</v>
      </c>
      <c r="F133" s="6">
        <v>157.0</v>
      </c>
      <c r="G133" s="6" t="s">
        <v>326</v>
      </c>
      <c r="H133" s="6" t="s">
        <v>338</v>
      </c>
    </row>
    <row r="134" ht="15.75" customHeight="1">
      <c r="A134" s="23">
        <v>46009.0</v>
      </c>
      <c r="B134" s="6" t="s">
        <v>627</v>
      </c>
      <c r="C134" s="6" t="str">
        <f>VLOOKUP(B134,Sheet3!$B$2:$E$311,2,FALSE)</f>
        <v>#N/A</v>
      </c>
      <c r="D134" s="6" t="str">
        <f>VLOOKUP(B134,Sheet3!$B$2:$E$311,3,)</f>
        <v>#N/A</v>
      </c>
      <c r="E134" s="6" t="s">
        <v>628</v>
      </c>
      <c r="F134" s="6">
        <v>495.0</v>
      </c>
      <c r="G134" s="6" t="s">
        <v>326</v>
      </c>
      <c r="H134" s="6" t="s">
        <v>338</v>
      </c>
    </row>
    <row r="135" ht="15.75" customHeight="1">
      <c r="A135" s="23">
        <v>46009.0</v>
      </c>
      <c r="B135" s="6" t="s">
        <v>315</v>
      </c>
      <c r="C135" s="6" t="str">
        <f>VLOOKUP(B135,Sheet3!$B$2:$E$311,2,FALSE)</f>
        <v>#N/A</v>
      </c>
      <c r="D135" s="6" t="str">
        <f>VLOOKUP(B135,Sheet3!$B$2:$E$311,3,)</f>
        <v>#N/A</v>
      </c>
      <c r="E135" s="6" t="str">
        <f>VLOOKUP(B135,Sheet3!$B$2:$E$311,4,)</f>
        <v>#N/A</v>
      </c>
      <c r="F135" s="6">
        <v>4.0</v>
      </c>
      <c r="G135" s="6" t="s">
        <v>326</v>
      </c>
      <c r="H135" s="6" t="s">
        <v>567</v>
      </c>
    </row>
    <row r="136" ht="15.75" customHeight="1">
      <c r="A136" s="23">
        <v>46009.0</v>
      </c>
      <c r="B136" s="6" t="s">
        <v>527</v>
      </c>
      <c r="C136" s="6" t="str">
        <f>VLOOKUP(B136,Sheet3!$B$2:$E$311,2,FALSE)</f>
        <v>#N/A</v>
      </c>
      <c r="D136" s="6" t="str">
        <f>VLOOKUP(B136,Sheet3!$B$2:$E$311,3,)</f>
        <v>#N/A</v>
      </c>
      <c r="E136" s="6" t="str">
        <f>VLOOKUP(B136,Sheet3!$B$2:$E$311,4,)</f>
        <v>#N/A</v>
      </c>
      <c r="F136" s="6">
        <v>1.0</v>
      </c>
      <c r="G136" s="6" t="s">
        <v>326</v>
      </c>
      <c r="H136" s="6" t="s">
        <v>567</v>
      </c>
    </row>
    <row r="137" ht="15.75" customHeight="1">
      <c r="A137" s="23">
        <v>46010.0</v>
      </c>
      <c r="B137" s="6" t="s">
        <v>630</v>
      </c>
      <c r="C137" s="6" t="str">
        <f>VLOOKUP(B137,Sheet3!$B$2:$E$311,2,FALSE)</f>
        <v>#N/A</v>
      </c>
      <c r="D137" s="6" t="str">
        <f>VLOOKUP(B137,Sheet3!$B$2:$E$311,3,)</f>
        <v>#N/A</v>
      </c>
      <c r="E137" s="6" t="str">
        <f>VLOOKUP(B137,Sheet3!$B$2:$E$311,4,)</f>
        <v>#N/A</v>
      </c>
      <c r="F137" s="6">
        <v>76.0</v>
      </c>
      <c r="G137" s="6" t="s">
        <v>326</v>
      </c>
      <c r="H137" s="6" t="s">
        <v>399</v>
      </c>
    </row>
    <row r="138" ht="15.75" customHeight="1">
      <c r="A138" s="23">
        <v>46010.0</v>
      </c>
      <c r="B138" s="6" t="s">
        <v>404</v>
      </c>
      <c r="C138" s="6" t="str">
        <f>VLOOKUP(B138,Sheet3!$B$2:$E$311,2,FALSE)</f>
        <v>#N/A</v>
      </c>
      <c r="D138" s="6" t="str">
        <f>VLOOKUP(B138,Sheet3!$B$2:$E$311,3,)</f>
        <v>#N/A</v>
      </c>
      <c r="E138" s="6" t="str">
        <f>VLOOKUP(B138,Sheet3!$B$2:$E$311,4,)</f>
        <v>#N/A</v>
      </c>
      <c r="F138" s="6">
        <v>1.0</v>
      </c>
      <c r="G138" s="6" t="s">
        <v>632</v>
      </c>
      <c r="H138" s="6" t="s">
        <v>399</v>
      </c>
    </row>
    <row r="139" ht="15.75" customHeight="1">
      <c r="A139" s="23">
        <v>46010.0</v>
      </c>
      <c r="B139" s="6" t="s">
        <v>627</v>
      </c>
      <c r="C139" s="6" t="str">
        <f>VLOOKUP(B139,Sheet3!$B$2:$E$311,2,FALSE)</f>
        <v>#N/A</v>
      </c>
      <c r="D139" s="6" t="str">
        <f>VLOOKUP(B139,Sheet3!$B$2:$E$311,3,)</f>
        <v>#N/A</v>
      </c>
      <c r="E139" s="6" t="s">
        <v>628</v>
      </c>
      <c r="F139" s="6">
        <v>88.0</v>
      </c>
      <c r="G139" s="6" t="s">
        <v>326</v>
      </c>
      <c r="H139" s="6" t="s">
        <v>399</v>
      </c>
    </row>
    <row r="140" ht="15.75" customHeight="1">
      <c r="A140" s="23">
        <v>46010.0</v>
      </c>
      <c r="B140" s="6" t="s">
        <v>404</v>
      </c>
      <c r="C140" s="6" t="str">
        <f>VLOOKUP(B140,Sheet3!$B$2:$E$311,2,FALSE)</f>
        <v>#N/A</v>
      </c>
      <c r="D140" s="6" t="str">
        <f>VLOOKUP(B140,Sheet3!$B$2:$E$311,3,)</f>
        <v>#N/A</v>
      </c>
      <c r="E140" s="6" t="str">
        <f>VLOOKUP(B140,Sheet3!$B$2:$E$311,4,)</f>
        <v>#N/A</v>
      </c>
      <c r="F140" s="6">
        <v>1.0</v>
      </c>
      <c r="G140" s="6" t="s">
        <v>326</v>
      </c>
      <c r="H140" s="6" t="s">
        <v>567</v>
      </c>
    </row>
    <row r="141" ht="15.75" customHeight="1">
      <c r="A141" s="23">
        <v>46010.0</v>
      </c>
      <c r="B141" s="6" t="s">
        <v>516</v>
      </c>
      <c r="C141" s="6" t="str">
        <f>VLOOKUP(B141,Sheet3!$B$2:$E$311,2,FALSE)</f>
        <v>#N/A</v>
      </c>
      <c r="D141" s="6" t="str">
        <f>VLOOKUP(B141,Sheet3!$B$2:$E$311,3,)</f>
        <v>#N/A</v>
      </c>
      <c r="E141" s="6" t="str">
        <f>VLOOKUP(B141,Sheet3!$B$2:$E$311,4,)</f>
        <v>#N/A</v>
      </c>
      <c r="F141" s="6">
        <v>186.0</v>
      </c>
      <c r="G141" s="6" t="s">
        <v>326</v>
      </c>
      <c r="H141" s="6" t="s">
        <v>567</v>
      </c>
    </row>
    <row r="142" ht="15.75" customHeight="1">
      <c r="A142" s="23">
        <v>46010.0</v>
      </c>
      <c r="B142" s="6" t="s">
        <v>346</v>
      </c>
      <c r="C142" s="6" t="str">
        <f>VLOOKUP(B142,Sheet3!$B$2:$E$311,2,FALSE)</f>
        <v>#N/A</v>
      </c>
      <c r="D142" s="6" t="str">
        <f>VLOOKUP(B142,Sheet3!$B$2:$E$311,3,)</f>
        <v>#N/A</v>
      </c>
      <c r="E142" s="6" t="str">
        <f>VLOOKUP(B142,Sheet3!$B$2:$E$311,4,)</f>
        <v>#N/A</v>
      </c>
      <c r="F142" s="6">
        <v>3500.0</v>
      </c>
      <c r="G142" s="6" t="s">
        <v>326</v>
      </c>
      <c r="H142" s="6" t="s">
        <v>598</v>
      </c>
    </row>
    <row r="143" ht="15.75" customHeight="1">
      <c r="A143" s="23">
        <v>46010.0</v>
      </c>
      <c r="B143" s="6" t="s">
        <v>356</v>
      </c>
      <c r="C143" s="6" t="str">
        <f>VLOOKUP(B143,Sheet3!$B$2:$E$311,2,FALSE)</f>
        <v>#N/A</v>
      </c>
      <c r="D143" s="6" t="str">
        <f>VLOOKUP(B143,Sheet3!$B$2:$E$311,3,)</f>
        <v>#N/A</v>
      </c>
      <c r="E143" s="6" t="str">
        <f>VLOOKUP(B143,Sheet3!$B$2:$E$311,4,)</f>
        <v>#N/A</v>
      </c>
      <c r="F143" s="6">
        <v>2000.0</v>
      </c>
      <c r="G143" s="6" t="s">
        <v>326</v>
      </c>
      <c r="H143" s="6" t="s">
        <v>598</v>
      </c>
    </row>
    <row r="144" ht="15.75" customHeight="1">
      <c r="A144" s="23">
        <v>46010.0</v>
      </c>
      <c r="B144" s="6" t="s">
        <v>502</v>
      </c>
      <c r="C144" s="6" t="str">
        <f>VLOOKUP(B144,Sheet3!$B$2:$E$311,2,FALSE)</f>
        <v>#N/A</v>
      </c>
      <c r="D144" s="6" t="str">
        <f>VLOOKUP(B144,Sheet3!$B$2:$E$311,3,)</f>
        <v>#N/A</v>
      </c>
      <c r="E144" s="6" t="str">
        <f>VLOOKUP(B144,Sheet3!$B$2:$E$311,4,)</f>
        <v>#N/A</v>
      </c>
      <c r="F144" s="6">
        <v>700.0</v>
      </c>
      <c r="G144" s="6" t="s">
        <v>326</v>
      </c>
      <c r="H144" s="6" t="s">
        <v>598</v>
      </c>
    </row>
    <row r="145" ht="15.75" customHeight="1">
      <c r="A145" s="23">
        <v>46010.0</v>
      </c>
      <c r="B145" s="6" t="s">
        <v>351</v>
      </c>
      <c r="C145" s="6" t="str">
        <f>VLOOKUP(B145,Sheet3!$B$2:$E$311,2,FALSE)</f>
        <v>#N/A</v>
      </c>
      <c r="D145" s="6" t="str">
        <f>VLOOKUP(B145,Sheet3!$B$2:$E$311,3,)</f>
        <v>#N/A</v>
      </c>
      <c r="E145" s="6" t="str">
        <f>VLOOKUP(B145,Sheet3!$B$2:$E$311,4,)</f>
        <v>#N/A</v>
      </c>
      <c r="F145" s="6">
        <v>2500.0</v>
      </c>
      <c r="G145" s="6" t="s">
        <v>326</v>
      </c>
      <c r="H145" s="6" t="s">
        <v>598</v>
      </c>
    </row>
    <row r="146" ht="15.75" customHeight="1">
      <c r="A146" s="23">
        <v>46010.0</v>
      </c>
      <c r="B146" s="6" t="s">
        <v>639</v>
      </c>
      <c r="C146" s="6" t="str">
        <f>VLOOKUP(B146,Sheet3!$B$2:$E$311,2,FALSE)</f>
        <v>#N/A</v>
      </c>
      <c r="D146" s="6" t="str">
        <f>VLOOKUP(B146,Sheet3!$B$2:$E$311,3,)</f>
        <v>#N/A</v>
      </c>
      <c r="E146" s="6" t="str">
        <f>VLOOKUP(B146,Sheet3!$B$2:$E$311,4,)</f>
        <v>#N/A</v>
      </c>
      <c r="F146" s="6">
        <v>2.0</v>
      </c>
      <c r="G146" s="6" t="s">
        <v>326</v>
      </c>
      <c r="H146" s="6" t="s">
        <v>567</v>
      </c>
    </row>
    <row r="147" ht="15.75" customHeight="1">
      <c r="A147" s="23">
        <v>46010.0</v>
      </c>
      <c r="B147" s="6" t="s">
        <v>315</v>
      </c>
      <c r="C147" s="6" t="str">
        <f>VLOOKUP(B147,Sheet3!$B$2:$E$311,2,FALSE)</f>
        <v>#N/A</v>
      </c>
      <c r="D147" s="6" t="str">
        <f>VLOOKUP(B147,Sheet3!$B$2:$E$311,3,)</f>
        <v>#N/A</v>
      </c>
      <c r="E147" s="6" t="str">
        <f>VLOOKUP(B147,Sheet3!$B$2:$E$311,4,)</f>
        <v>#N/A</v>
      </c>
      <c r="F147" s="6">
        <v>13.0</v>
      </c>
      <c r="G147" s="6" t="s">
        <v>326</v>
      </c>
      <c r="H147" s="6" t="s">
        <v>567</v>
      </c>
    </row>
    <row r="148" ht="15.75" customHeight="1">
      <c r="A148" s="23">
        <v>46010.0</v>
      </c>
      <c r="B148" s="6" t="s">
        <v>315</v>
      </c>
      <c r="C148" s="6" t="str">
        <f>VLOOKUP(B148,Sheet3!$B$2:$E$311,2,FALSE)</f>
        <v>#N/A</v>
      </c>
      <c r="D148" s="6" t="str">
        <f>VLOOKUP(B148,Sheet3!$B$2:$E$311,3,)</f>
        <v>#N/A</v>
      </c>
      <c r="E148" s="6" t="str">
        <f>VLOOKUP(B148,Sheet3!$B$2:$E$311,4,)</f>
        <v>#N/A</v>
      </c>
      <c r="F148" s="6">
        <v>12.0</v>
      </c>
      <c r="G148" s="6" t="s">
        <v>326</v>
      </c>
      <c r="H148" s="6" t="s">
        <v>567</v>
      </c>
    </row>
    <row r="149" ht="15.75" customHeight="1">
      <c r="A149" s="23">
        <v>46010.0</v>
      </c>
      <c r="B149" s="6" t="s">
        <v>315</v>
      </c>
      <c r="C149" s="6" t="str">
        <f>VLOOKUP(B149,Sheet3!$B$2:$E$311,2,FALSE)</f>
        <v>#N/A</v>
      </c>
      <c r="D149" s="6" t="str">
        <f>VLOOKUP(B149,Sheet3!$B$2:$E$311,3,)</f>
        <v>#N/A</v>
      </c>
      <c r="E149" s="6" t="str">
        <f>VLOOKUP(B149,Sheet3!$B$2:$E$311,4,)</f>
        <v>#N/A</v>
      </c>
      <c r="F149" s="6">
        <v>16.0</v>
      </c>
      <c r="G149" s="6" t="s">
        <v>326</v>
      </c>
      <c r="H149" s="6" t="s">
        <v>567</v>
      </c>
    </row>
    <row r="150" ht="15.75" customHeight="1">
      <c r="A150" s="23">
        <v>46011.0</v>
      </c>
      <c r="B150" s="6" t="s">
        <v>296</v>
      </c>
      <c r="C150" s="6" t="str">
        <f>VLOOKUP(B150,Sheet3!$B$2:$E$311,2,FALSE)</f>
        <v>#N/A</v>
      </c>
      <c r="D150" s="6" t="str">
        <f>VLOOKUP(B150,Sheet3!$B$2:$E$311,3,)</f>
        <v>#N/A</v>
      </c>
      <c r="E150" s="6" t="str">
        <f>VLOOKUP(B150,Sheet3!$B$2:$E$311,4,)</f>
        <v>#N/A</v>
      </c>
      <c r="F150" s="6">
        <v>249.0</v>
      </c>
      <c r="G150" s="6" t="s">
        <v>326</v>
      </c>
      <c r="H150" s="6" t="s">
        <v>598</v>
      </c>
    </row>
    <row r="151" ht="15.75" customHeight="1">
      <c r="A151" s="23">
        <v>46011.0</v>
      </c>
      <c r="B151" s="6" t="s">
        <v>315</v>
      </c>
      <c r="C151" s="6" t="str">
        <f>VLOOKUP(B151,Sheet3!$B$2:$E$311,2,FALSE)</f>
        <v>#N/A</v>
      </c>
      <c r="D151" s="6" t="str">
        <f>VLOOKUP(B151,Sheet3!$B$2:$E$311,3,)</f>
        <v>#N/A</v>
      </c>
      <c r="E151" s="6" t="str">
        <f>VLOOKUP(B151,Sheet3!$B$2:$E$311,4,)</f>
        <v>#N/A</v>
      </c>
      <c r="F151" s="6">
        <v>21.0</v>
      </c>
      <c r="G151" s="6" t="s">
        <v>326</v>
      </c>
      <c r="H151" s="6" t="s">
        <v>645</v>
      </c>
    </row>
    <row r="152" ht="15.75" customHeight="1">
      <c r="A152" s="23">
        <v>46011.0</v>
      </c>
      <c r="B152" s="6" t="s">
        <v>584</v>
      </c>
      <c r="C152" s="6" t="str">
        <f>VLOOKUP(B152,Sheet3!$B$2:$E$311,2,FALSE)</f>
        <v>#N/A</v>
      </c>
      <c r="D152" s="6" t="str">
        <f>VLOOKUP(B152,Sheet3!$B$2:$E$311,3,)</f>
        <v>#N/A</v>
      </c>
      <c r="E152" s="6" t="str">
        <f>VLOOKUP(B152,Sheet3!$B$2:$E$311,4,)</f>
        <v>#N/A</v>
      </c>
      <c r="F152" s="6">
        <v>115.0</v>
      </c>
      <c r="G152" s="6" t="s">
        <v>326</v>
      </c>
      <c r="H152" s="6" t="s">
        <v>452</v>
      </c>
    </row>
    <row r="153" ht="15.75" customHeight="1">
      <c r="A153" s="23">
        <v>46011.0</v>
      </c>
      <c r="B153" s="6" t="s">
        <v>502</v>
      </c>
      <c r="C153" s="6" t="str">
        <f>VLOOKUP(B153,Sheet3!$B$2:$E$311,2,FALSE)</f>
        <v>#N/A</v>
      </c>
      <c r="D153" s="6" t="str">
        <f>VLOOKUP(B153,Sheet3!$B$2:$E$311,3,)</f>
        <v>#N/A</v>
      </c>
      <c r="E153" s="6" t="str">
        <f>VLOOKUP(B153,Sheet3!$B$2:$E$311,4,)</f>
        <v>#N/A</v>
      </c>
      <c r="F153" s="6">
        <v>3400.0</v>
      </c>
      <c r="G153" s="6" t="s">
        <v>326</v>
      </c>
      <c r="H153" s="6" t="s">
        <v>483</v>
      </c>
    </row>
    <row r="154" ht="15.75" customHeight="1">
      <c r="A154" s="23">
        <v>46011.0</v>
      </c>
      <c r="B154" s="6" t="s">
        <v>351</v>
      </c>
      <c r="C154" s="6" t="str">
        <f>VLOOKUP(B154,Sheet3!$B$2:$E$311,2,FALSE)</f>
        <v>#N/A</v>
      </c>
      <c r="D154" s="6" t="str">
        <f>VLOOKUP(B154,Sheet3!$B$2:$E$311,3,)</f>
        <v>#N/A</v>
      </c>
      <c r="E154" s="6" t="str">
        <f>VLOOKUP(B154,Sheet3!$B$2:$E$311,4,)</f>
        <v>#N/A</v>
      </c>
      <c r="F154" s="6">
        <v>1700.0</v>
      </c>
      <c r="G154" s="6" t="s">
        <v>326</v>
      </c>
      <c r="H154" s="6" t="s">
        <v>483</v>
      </c>
    </row>
    <row r="155" ht="15.75" customHeight="1">
      <c r="A155" s="23">
        <v>46011.0</v>
      </c>
      <c r="B155" s="6" t="s">
        <v>356</v>
      </c>
      <c r="C155" s="6" t="str">
        <f>VLOOKUP(B155,Sheet3!$B$2:$E$311,2,FALSE)</f>
        <v>#N/A</v>
      </c>
      <c r="D155" s="6" t="str">
        <f>VLOOKUP(B155,Sheet3!$B$2:$E$311,3,)</f>
        <v>#N/A</v>
      </c>
      <c r="E155" s="6" t="str">
        <f>VLOOKUP(B155,Sheet3!$B$2:$E$311,4,)</f>
        <v>#N/A</v>
      </c>
      <c r="F155" s="6">
        <v>1700.0</v>
      </c>
      <c r="G155" s="6" t="s">
        <v>326</v>
      </c>
      <c r="H155" s="6" t="s">
        <v>483</v>
      </c>
    </row>
    <row r="156" ht="15.75" customHeight="1">
      <c r="A156" s="23">
        <v>46011.0</v>
      </c>
      <c r="B156" s="6" t="s">
        <v>315</v>
      </c>
      <c r="C156" s="6" t="str">
        <f>VLOOKUP(B156,Sheet3!$B$2:$E$311,2,FALSE)</f>
        <v>#N/A</v>
      </c>
      <c r="D156" s="6" t="str">
        <f>VLOOKUP(B156,Sheet3!$B$2:$E$311,3,)</f>
        <v>#N/A</v>
      </c>
      <c r="E156" s="6" t="str">
        <f>VLOOKUP(B156,Sheet3!$B$2:$E$311,4,)</f>
        <v>#N/A</v>
      </c>
      <c r="F156" s="6">
        <v>18.0</v>
      </c>
      <c r="G156" s="6" t="s">
        <v>326</v>
      </c>
      <c r="H156" s="6" t="s">
        <v>567</v>
      </c>
    </row>
    <row r="157" ht="15.75" customHeight="1">
      <c r="A157" s="23">
        <v>46011.0</v>
      </c>
      <c r="B157" s="6" t="s">
        <v>315</v>
      </c>
      <c r="C157" s="6" t="str">
        <f>VLOOKUP(B157,Sheet3!$B$2:$E$311,2,FALSE)</f>
        <v>#N/A</v>
      </c>
      <c r="D157" s="6" t="str">
        <f>VLOOKUP(B157,Sheet3!$B$2:$E$311,3,)</f>
        <v>#N/A</v>
      </c>
      <c r="E157" s="6" t="str">
        <f>VLOOKUP(B157,Sheet3!$B$2:$E$311,4,)</f>
        <v>#N/A</v>
      </c>
      <c r="F157" s="6">
        <v>4.0</v>
      </c>
      <c r="G157" s="6" t="s">
        <v>326</v>
      </c>
      <c r="H157" s="6" t="s">
        <v>567</v>
      </c>
    </row>
    <row r="158" ht="15.75" customHeight="1">
      <c r="A158" s="23">
        <v>46011.0</v>
      </c>
      <c r="B158" s="6" t="s">
        <v>648</v>
      </c>
      <c r="C158" s="6" t="str">
        <f>VLOOKUP(B158,Sheet3!$B$2:$E$311,2,FALSE)</f>
        <v>#N/A</v>
      </c>
      <c r="D158" s="6" t="str">
        <f>VLOOKUP(B158,Sheet3!$B$2:$E$311,3,)</f>
        <v>#N/A</v>
      </c>
      <c r="E158" s="6" t="str">
        <f>VLOOKUP(B158,Sheet3!$B$2:$E$311,4,)</f>
        <v>#N/A</v>
      </c>
      <c r="F158" s="6">
        <v>163.0</v>
      </c>
      <c r="G158" s="6" t="s">
        <v>326</v>
      </c>
      <c r="H158" s="6" t="s">
        <v>567</v>
      </c>
    </row>
    <row r="159" ht="15.75" customHeight="1">
      <c r="A159" s="23">
        <v>46012.0</v>
      </c>
      <c r="B159" s="6" t="s">
        <v>372</v>
      </c>
      <c r="C159" s="6" t="str">
        <f>VLOOKUP(B159,Sheet3!$B$2:$E$311,2,FALSE)</f>
        <v>#N/A</v>
      </c>
      <c r="D159" s="6" t="str">
        <f>VLOOKUP(B159,Sheet3!$B$2:$E$311,3,)</f>
        <v>#N/A</v>
      </c>
      <c r="E159" s="6" t="str">
        <f>VLOOKUP(B159,Sheet3!$B$2:$E$311,4,)</f>
        <v>#N/A</v>
      </c>
      <c r="F159" s="6">
        <v>2.0</v>
      </c>
      <c r="G159" s="6" t="s">
        <v>326</v>
      </c>
      <c r="H159" s="6" t="s">
        <v>614</v>
      </c>
    </row>
    <row r="160" ht="15.75" customHeight="1">
      <c r="A160" s="23">
        <v>46012.0</v>
      </c>
      <c r="B160" s="6" t="s">
        <v>651</v>
      </c>
      <c r="C160" s="6" t="str">
        <f>VLOOKUP(B160,Sheet3!$B$2:$E$311,2,FALSE)</f>
        <v>#N/A</v>
      </c>
      <c r="D160" s="6" t="str">
        <f>VLOOKUP(B160,Sheet3!$B$2:$E$311,3,)</f>
        <v>#N/A</v>
      </c>
      <c r="E160" s="6" t="str">
        <f>VLOOKUP(B160,Sheet3!$B$2:$E$311,4,)</f>
        <v>#N/A</v>
      </c>
      <c r="F160" s="6">
        <v>10.0</v>
      </c>
      <c r="G160" s="6" t="s">
        <v>652</v>
      </c>
      <c r="H160" s="6" t="s">
        <v>598</v>
      </c>
    </row>
    <row r="161" ht="15.75" customHeight="1">
      <c r="A161" s="23">
        <v>46012.0</v>
      </c>
      <c r="B161" s="6" t="s">
        <v>356</v>
      </c>
      <c r="C161" s="6" t="str">
        <f>VLOOKUP(B161,Sheet3!$B$2:$E$311,2,FALSE)</f>
        <v>#N/A</v>
      </c>
      <c r="D161" s="6" t="str">
        <f>VLOOKUP(B161,Sheet3!$B$2:$E$311,3,)</f>
        <v>#N/A</v>
      </c>
      <c r="E161" s="6" t="str">
        <f>VLOOKUP(B161,Sheet3!$B$2:$E$311,4,)</f>
        <v>#N/A</v>
      </c>
      <c r="F161" s="6">
        <v>500.0</v>
      </c>
      <c r="G161" s="6" t="s">
        <v>326</v>
      </c>
      <c r="H161" s="6" t="s">
        <v>598</v>
      </c>
    </row>
    <row r="162" ht="15.75" customHeight="1">
      <c r="A162" s="23">
        <v>46012.0</v>
      </c>
      <c r="B162" s="6" t="s">
        <v>502</v>
      </c>
      <c r="C162" s="6" t="str">
        <f>VLOOKUP(B162,Sheet3!$B$2:$E$311,2,FALSE)</f>
        <v>#N/A</v>
      </c>
      <c r="D162" s="6" t="str">
        <f>VLOOKUP(B162,Sheet3!$B$2:$E$311,3,)</f>
        <v>#N/A</v>
      </c>
      <c r="E162" s="6" t="str">
        <f>VLOOKUP(B162,Sheet3!$B$2:$E$311,4,)</f>
        <v>#N/A</v>
      </c>
      <c r="F162" s="6">
        <v>900.0</v>
      </c>
      <c r="G162" s="6" t="s">
        <v>326</v>
      </c>
      <c r="H162" s="6" t="s">
        <v>598</v>
      </c>
    </row>
    <row r="163" ht="15.75" customHeight="1">
      <c r="A163" s="23">
        <v>46012.0</v>
      </c>
      <c r="B163" s="6" t="s">
        <v>346</v>
      </c>
      <c r="C163" s="6" t="str">
        <f>VLOOKUP(B163,Sheet3!$B$2:$E$311,2,FALSE)</f>
        <v>#N/A</v>
      </c>
      <c r="D163" s="6" t="str">
        <f>VLOOKUP(B163,Sheet3!$B$2:$E$311,3,)</f>
        <v>#N/A</v>
      </c>
      <c r="E163" s="6" t="str">
        <f>VLOOKUP(B163,Sheet3!$B$2:$E$311,4,)</f>
        <v>#N/A</v>
      </c>
      <c r="F163" s="6">
        <v>150.0</v>
      </c>
      <c r="G163" s="6" t="s">
        <v>326</v>
      </c>
      <c r="H163" s="6" t="s">
        <v>598</v>
      </c>
    </row>
    <row r="164" ht="15.75" customHeight="1">
      <c r="A164" s="23">
        <v>46012.0</v>
      </c>
      <c r="B164" s="6" t="s">
        <v>351</v>
      </c>
      <c r="C164" s="6" t="str">
        <f>VLOOKUP(B164,Sheet3!$B$2:$E$311,2,FALSE)</f>
        <v>#N/A</v>
      </c>
      <c r="D164" s="6" t="str">
        <f>VLOOKUP(B164,Sheet3!$B$2:$E$311,3,)</f>
        <v>#N/A</v>
      </c>
      <c r="E164" s="6" t="str">
        <f>VLOOKUP(B164,Sheet3!$B$2:$E$311,4,)</f>
        <v>#N/A</v>
      </c>
      <c r="F164" s="6">
        <v>1400.0</v>
      </c>
      <c r="G164" s="6" t="s">
        <v>326</v>
      </c>
      <c r="H164" s="6" t="s">
        <v>598</v>
      </c>
    </row>
    <row r="165" ht="15.75" customHeight="1">
      <c r="A165" s="23">
        <v>46012.0</v>
      </c>
      <c r="B165" s="6" t="s">
        <v>523</v>
      </c>
      <c r="C165" s="6" t="str">
        <f>VLOOKUP(B165,Sheet3!$B$2:$E$311,2,FALSE)</f>
        <v>#N/A</v>
      </c>
      <c r="D165" s="6" t="str">
        <f>VLOOKUP(B165,Sheet3!$B$2:$E$311,3,)</f>
        <v>#N/A</v>
      </c>
      <c r="E165" s="6" t="str">
        <f>VLOOKUP(B165,Sheet3!$B$2:$E$311,4,)</f>
        <v>#N/A</v>
      </c>
      <c r="F165" s="6">
        <v>105.0</v>
      </c>
      <c r="G165" s="6" t="s">
        <v>326</v>
      </c>
      <c r="H165" s="6" t="s">
        <v>567</v>
      </c>
    </row>
    <row r="166" ht="15.75" customHeight="1">
      <c r="A166" s="23">
        <v>46012.0</v>
      </c>
      <c r="B166" s="6" t="s">
        <v>658</v>
      </c>
      <c r="C166" s="6" t="str">
        <f>VLOOKUP(B166,Sheet3!$B$2:$E$311,2,FALSE)</f>
        <v>#N/A</v>
      </c>
      <c r="D166" s="6" t="str">
        <f>VLOOKUP(B166,Sheet3!$B$2:$E$311,3,)</f>
        <v>#N/A</v>
      </c>
      <c r="E166" s="6" t="str">
        <f>VLOOKUP(B166,Sheet3!$B$2:$E$311,4,)</f>
        <v>#N/A</v>
      </c>
      <c r="F166" s="6">
        <v>500.0</v>
      </c>
      <c r="G166" s="6" t="s">
        <v>326</v>
      </c>
      <c r="H166" s="6" t="s">
        <v>567</v>
      </c>
    </row>
    <row r="167" ht="15.75" customHeight="1">
      <c r="A167" s="23">
        <v>46012.0</v>
      </c>
      <c r="B167" s="6" t="s">
        <v>315</v>
      </c>
      <c r="C167" s="6" t="str">
        <f>VLOOKUP(B167,Sheet3!$B$2:$E$311,2,FALSE)</f>
        <v>#N/A</v>
      </c>
      <c r="D167" s="6" t="str">
        <f>VLOOKUP(B167,Sheet3!$B$2:$E$311,3,)</f>
        <v>#N/A</v>
      </c>
      <c r="E167" s="6" t="str">
        <f>VLOOKUP(B167,Sheet3!$B$2:$E$311,4,)</f>
        <v>#N/A</v>
      </c>
      <c r="F167" s="6">
        <v>11.0</v>
      </c>
      <c r="G167" s="6" t="s">
        <v>326</v>
      </c>
      <c r="H167" s="6" t="s">
        <v>567</v>
      </c>
    </row>
    <row r="168" ht="15.75" customHeight="1">
      <c r="A168" s="23">
        <v>46012.0</v>
      </c>
      <c r="B168" s="6" t="s">
        <v>315</v>
      </c>
      <c r="C168" s="6" t="str">
        <f>VLOOKUP(B168,Sheet3!$B$2:$E$311,2,FALSE)</f>
        <v>#N/A</v>
      </c>
      <c r="D168" s="6" t="str">
        <f>VLOOKUP(B168,Sheet3!$B$2:$E$311,3,)</f>
        <v>#N/A</v>
      </c>
      <c r="E168" s="6" t="str">
        <f>VLOOKUP(B168,Sheet3!$B$2:$E$311,4,)</f>
        <v>#N/A</v>
      </c>
      <c r="F168" s="6">
        <v>8.0</v>
      </c>
      <c r="G168" s="6" t="s">
        <v>326</v>
      </c>
      <c r="H168" s="6" t="s">
        <v>567</v>
      </c>
    </row>
    <row r="169" ht="15.75" customHeight="1">
      <c r="A169" s="23">
        <v>46013.0</v>
      </c>
      <c r="B169" s="6" t="s">
        <v>565</v>
      </c>
      <c r="C169" s="6" t="str">
        <f>VLOOKUP(B169,Sheet3!$B$2:$E$311,2,FALSE)</f>
        <v>#N/A</v>
      </c>
      <c r="D169" s="6" t="str">
        <f>VLOOKUP(B169,Sheet3!$B$2:$E$311,3,)</f>
        <v>#N/A</v>
      </c>
      <c r="E169" s="6" t="str">
        <f>VLOOKUP(B169,Sheet3!$B$2:$E$311,4,)</f>
        <v>#N/A</v>
      </c>
      <c r="F169" s="6">
        <v>1.0</v>
      </c>
      <c r="G169" s="6" t="s">
        <v>293</v>
      </c>
      <c r="H169" s="6" t="s">
        <v>338</v>
      </c>
    </row>
    <row r="170" ht="15.75" customHeight="1">
      <c r="A170" s="23">
        <v>46013.0</v>
      </c>
      <c r="B170" s="6" t="s">
        <v>663</v>
      </c>
      <c r="C170" s="6" t="str">
        <f>VLOOKUP(B170,Sheet3!$B$2:$E$311,2,FALSE)</f>
        <v>#N/A</v>
      </c>
      <c r="D170" s="6" t="str">
        <f>VLOOKUP(B170,Sheet3!$B$2:$E$311,3,)</f>
        <v>#N/A</v>
      </c>
      <c r="E170" s="6" t="str">
        <f>VLOOKUP(B170,Sheet3!$B$2:$E$311,4,)</f>
        <v>#N/A</v>
      </c>
      <c r="F170" s="6">
        <v>81.0</v>
      </c>
      <c r="G170" s="6" t="s">
        <v>326</v>
      </c>
      <c r="H170" s="6" t="s">
        <v>338</v>
      </c>
    </row>
    <row r="171" ht="15.75" customHeight="1">
      <c r="A171" s="23">
        <v>46013.0</v>
      </c>
      <c r="B171" s="6" t="s">
        <v>517</v>
      </c>
      <c r="C171" s="6" t="str">
        <f>VLOOKUP(B171,Sheet3!$B$2:$E$311,2,FALSE)</f>
        <v>#N/A</v>
      </c>
      <c r="D171" s="6" t="str">
        <f>VLOOKUP(B171,Sheet3!$B$2:$E$311,3,)</f>
        <v>#N/A</v>
      </c>
      <c r="E171" s="6" t="str">
        <f>VLOOKUP(B171,Sheet3!$B$2:$E$311,4,)</f>
        <v>#N/A</v>
      </c>
      <c r="F171" s="6">
        <v>5.0</v>
      </c>
      <c r="G171" s="6" t="s">
        <v>665</v>
      </c>
      <c r="H171" s="6" t="s">
        <v>573</v>
      </c>
    </row>
    <row r="172" ht="15.75" customHeight="1">
      <c r="A172" s="23">
        <v>46013.0</v>
      </c>
      <c r="B172" s="6" t="s">
        <v>502</v>
      </c>
      <c r="C172" s="6" t="str">
        <f>VLOOKUP(B172,Sheet3!$B$2:$E$311,2,FALSE)</f>
        <v>#N/A</v>
      </c>
      <c r="D172" s="6" t="str">
        <f>VLOOKUP(B172,Sheet3!$B$2:$E$311,3,)</f>
        <v>#N/A</v>
      </c>
      <c r="E172" s="6" t="str">
        <f>VLOOKUP(B172,Sheet3!$B$2:$E$311,4,)</f>
        <v>#N/A</v>
      </c>
      <c r="F172" s="6">
        <v>2100.0</v>
      </c>
      <c r="G172" s="6" t="s">
        <v>326</v>
      </c>
      <c r="H172" s="6" t="s">
        <v>598</v>
      </c>
    </row>
    <row r="173" ht="15.75" customHeight="1">
      <c r="A173" s="23">
        <v>46013.0</v>
      </c>
      <c r="B173" s="6" t="s">
        <v>351</v>
      </c>
      <c r="C173" s="6" t="str">
        <f>VLOOKUP(B173,Sheet3!$B$2:$E$311,2,FALSE)</f>
        <v>#N/A</v>
      </c>
      <c r="D173" s="6" t="str">
        <f>VLOOKUP(B173,Sheet3!$B$2:$E$311,3,)</f>
        <v>#N/A</v>
      </c>
      <c r="E173" s="6" t="str">
        <f>VLOOKUP(B173,Sheet3!$B$2:$E$311,4,)</f>
        <v>#N/A</v>
      </c>
      <c r="F173" s="6">
        <v>3500.0</v>
      </c>
      <c r="G173" s="6" t="s">
        <v>326</v>
      </c>
      <c r="H173" s="6" t="s">
        <v>598</v>
      </c>
    </row>
    <row r="174" ht="15.75" customHeight="1">
      <c r="A174" s="23">
        <v>46013.0</v>
      </c>
      <c r="B174" s="6" t="s">
        <v>346</v>
      </c>
      <c r="C174" s="6" t="str">
        <f>VLOOKUP(B174,Sheet3!$B$2:$E$311,2,FALSE)</f>
        <v>#N/A</v>
      </c>
      <c r="D174" s="6" t="str">
        <f>VLOOKUP(B174,Sheet3!$B$2:$E$311,3,)</f>
        <v>#N/A</v>
      </c>
      <c r="E174" s="6" t="str">
        <f>VLOOKUP(B174,Sheet3!$B$2:$E$311,4,)</f>
        <v>#N/A</v>
      </c>
      <c r="F174" s="6">
        <v>1000.0</v>
      </c>
      <c r="G174" s="6" t="s">
        <v>326</v>
      </c>
      <c r="H174" s="6" t="s">
        <v>598</v>
      </c>
    </row>
    <row r="175" ht="15.75" customHeight="1">
      <c r="A175" s="23">
        <v>46013.0</v>
      </c>
      <c r="B175" s="6" t="s">
        <v>356</v>
      </c>
      <c r="C175" s="6" t="str">
        <f>VLOOKUP(B175,Sheet3!$B$2:$E$311,2,FALSE)</f>
        <v>#N/A</v>
      </c>
      <c r="D175" s="6" t="str">
        <f>VLOOKUP(B175,Sheet3!$B$2:$E$311,3,)</f>
        <v>#N/A</v>
      </c>
      <c r="E175" s="6" t="str">
        <f>VLOOKUP(B175,Sheet3!$B$2:$E$311,4,)</f>
        <v>#N/A</v>
      </c>
      <c r="F175" s="6">
        <v>3500.0</v>
      </c>
      <c r="G175" s="6" t="s">
        <v>326</v>
      </c>
      <c r="H175" s="6" t="s">
        <v>598</v>
      </c>
    </row>
    <row r="176" ht="15.75" customHeight="1">
      <c r="A176" s="23">
        <v>46013.0</v>
      </c>
      <c r="B176" s="6" t="s">
        <v>315</v>
      </c>
      <c r="C176" s="6" t="str">
        <f>VLOOKUP(B176,Sheet3!$B$2:$E$311,2,FALSE)</f>
        <v>#N/A</v>
      </c>
      <c r="D176" s="6" t="str">
        <f>VLOOKUP(B176,Sheet3!$B$2:$E$311,3,)</f>
        <v>#N/A</v>
      </c>
      <c r="E176" s="6" t="str">
        <f>VLOOKUP(B176,Sheet3!$B$2:$E$311,4,)</f>
        <v>#N/A</v>
      </c>
      <c r="F176" s="6">
        <f>4680/130</f>
        <v>36</v>
      </c>
      <c r="G176" s="6" t="s">
        <v>326</v>
      </c>
      <c r="H176" s="6" t="s">
        <v>567</v>
      </c>
    </row>
    <row r="177" ht="15.75" customHeight="1">
      <c r="A177" s="23">
        <v>46013.0</v>
      </c>
      <c r="B177" s="6" t="s">
        <v>315</v>
      </c>
      <c r="C177" s="6" t="str">
        <f>VLOOKUP(B177,Sheet3!$B$2:$E$311,2,FALSE)</f>
        <v>#N/A</v>
      </c>
      <c r="D177" s="6" t="str">
        <f>VLOOKUP(B177,Sheet3!$B$2:$E$311,3,)</f>
        <v>#N/A</v>
      </c>
      <c r="E177" s="6" t="str">
        <f>VLOOKUP(B177,Sheet3!$B$2:$E$311,4,)</f>
        <v>#N/A</v>
      </c>
      <c r="F177" s="6">
        <v>28.0</v>
      </c>
      <c r="G177" s="6" t="s">
        <v>326</v>
      </c>
      <c r="H177" s="6" t="s">
        <v>567</v>
      </c>
    </row>
    <row r="178" ht="15.75" customHeight="1">
      <c r="A178" s="23">
        <v>46013.0</v>
      </c>
      <c r="B178" s="6" t="s">
        <v>516</v>
      </c>
      <c r="C178" s="6" t="str">
        <f>VLOOKUP(B178,Sheet3!$B$2:$E$311,2,FALSE)</f>
        <v>#N/A</v>
      </c>
      <c r="D178" s="6" t="str">
        <f>VLOOKUP(B178,Sheet3!$B$2:$E$311,3,)</f>
        <v>#N/A</v>
      </c>
      <c r="E178" s="6" t="str">
        <f>VLOOKUP(B178,Sheet3!$B$2:$E$311,4,)</f>
        <v>#N/A</v>
      </c>
      <c r="F178" s="6">
        <v>285.0</v>
      </c>
      <c r="G178" s="6" t="s">
        <v>326</v>
      </c>
      <c r="H178" s="6" t="s">
        <v>567</v>
      </c>
    </row>
    <row r="179" ht="15.75" customHeight="1">
      <c r="A179" s="23">
        <v>46013.0</v>
      </c>
      <c r="B179" s="6" t="s">
        <v>639</v>
      </c>
      <c r="C179" s="6" t="str">
        <f>VLOOKUP(B179,Sheet3!$B$2:$E$311,2,FALSE)</f>
        <v>#N/A</v>
      </c>
      <c r="D179" s="6" t="str">
        <f>VLOOKUP(B179,Sheet3!$B$2:$E$311,3,)</f>
        <v>#N/A</v>
      </c>
      <c r="E179" s="6" t="str">
        <f>VLOOKUP(B179,Sheet3!$B$2:$E$311,4,)</f>
        <v>#N/A</v>
      </c>
      <c r="F179" s="6">
        <v>3.0</v>
      </c>
      <c r="G179" s="6" t="s">
        <v>326</v>
      </c>
      <c r="H179" s="6" t="s">
        <v>567</v>
      </c>
    </row>
    <row r="180" ht="15.75" customHeight="1">
      <c r="A180" s="23">
        <v>46013.0</v>
      </c>
      <c r="B180" s="6" t="s">
        <v>527</v>
      </c>
      <c r="C180" s="6" t="str">
        <f>VLOOKUP(B180,Sheet3!$B$2:$E$311,2,FALSE)</f>
        <v>#N/A</v>
      </c>
      <c r="D180" s="6" t="str">
        <f>VLOOKUP(B180,Sheet3!$B$2:$E$311,3,)</f>
        <v>#N/A</v>
      </c>
      <c r="E180" s="6" t="str">
        <f>VLOOKUP(B180,Sheet3!$B$2:$E$311,4,)</f>
        <v>#N/A</v>
      </c>
      <c r="F180" s="6">
        <v>1.0</v>
      </c>
      <c r="G180" s="6" t="s">
        <v>326</v>
      </c>
      <c r="H180" s="6" t="s">
        <v>567</v>
      </c>
    </row>
    <row r="181" ht="15.75" customHeight="1">
      <c r="A181" s="23">
        <v>46014.0</v>
      </c>
      <c r="B181" s="6" t="s">
        <v>552</v>
      </c>
      <c r="C181" s="6" t="str">
        <f>VLOOKUP(B181,Sheet3!$B$2:$E$311,2,FALSE)</f>
        <v>#N/A</v>
      </c>
      <c r="D181" s="6" t="str">
        <f>VLOOKUP(B181,Sheet3!$B$2:$E$311,3,)</f>
        <v>#N/A</v>
      </c>
      <c r="E181" s="6" t="str">
        <f>VLOOKUP(B181,Sheet3!$B$2:$E$311,4,)</f>
        <v>#N/A</v>
      </c>
      <c r="F181" s="6">
        <v>454.0</v>
      </c>
      <c r="G181" s="6" t="s">
        <v>326</v>
      </c>
      <c r="H181" s="6" t="s">
        <v>319</v>
      </c>
    </row>
    <row r="182" ht="15.75" customHeight="1">
      <c r="A182" s="23">
        <v>46014.0</v>
      </c>
      <c r="B182" s="6" t="s">
        <v>315</v>
      </c>
      <c r="C182" s="6" t="str">
        <f>VLOOKUP(B182,Sheet3!$B$2:$E$311,2,FALSE)</f>
        <v>#N/A</v>
      </c>
      <c r="D182" s="6" t="str">
        <f>VLOOKUP(B182,Sheet3!$B$2:$E$311,3,)</f>
        <v>#N/A</v>
      </c>
      <c r="E182" s="6" t="str">
        <f>VLOOKUP(B182,Sheet3!$B$2:$E$311,4,)</f>
        <v>#N/A</v>
      </c>
      <c r="F182" s="6">
        <v>22.0</v>
      </c>
      <c r="G182" s="6" t="s">
        <v>326</v>
      </c>
      <c r="H182" s="6" t="s">
        <v>319</v>
      </c>
    </row>
    <row r="183" ht="15.75" customHeight="1">
      <c r="A183" s="23">
        <v>46014.0</v>
      </c>
      <c r="B183" s="6" t="s">
        <v>351</v>
      </c>
      <c r="C183" s="6" t="str">
        <f>VLOOKUP(B183,Sheet3!$B$2:$E$311,2,FALSE)</f>
        <v>#N/A</v>
      </c>
      <c r="D183" s="6" t="str">
        <f>VLOOKUP(B183,Sheet3!$B$2:$E$311,3,)</f>
        <v>#N/A</v>
      </c>
      <c r="E183" s="6" t="str">
        <f>VLOOKUP(B183,Sheet3!$B$2:$E$311,4,)</f>
        <v>#N/A</v>
      </c>
      <c r="F183" s="6">
        <v>150.0</v>
      </c>
      <c r="G183" s="6" t="s">
        <v>326</v>
      </c>
      <c r="H183" s="6" t="s">
        <v>598</v>
      </c>
    </row>
    <row r="184" ht="15.75" customHeight="1">
      <c r="A184" s="23">
        <v>46014.0</v>
      </c>
      <c r="B184" s="6" t="s">
        <v>502</v>
      </c>
      <c r="C184" s="6" t="str">
        <f>VLOOKUP(B184,Sheet3!$B$2:$E$311,2,FALSE)</f>
        <v>#N/A</v>
      </c>
      <c r="D184" s="6" t="str">
        <f>VLOOKUP(B184,Sheet3!$B$2:$E$311,3,)</f>
        <v>#N/A</v>
      </c>
      <c r="E184" s="6" t="str">
        <f>VLOOKUP(B184,Sheet3!$B$2:$E$311,4,)</f>
        <v>#N/A</v>
      </c>
      <c r="F184" s="6">
        <v>1000.0</v>
      </c>
      <c r="G184" s="6" t="s">
        <v>326</v>
      </c>
      <c r="H184" s="6" t="s">
        <v>598</v>
      </c>
    </row>
    <row r="185" ht="15.75" customHeight="1">
      <c r="A185" s="23">
        <v>46014.0</v>
      </c>
      <c r="B185" s="6" t="s">
        <v>346</v>
      </c>
      <c r="C185" s="6" t="str">
        <f>VLOOKUP(B185,Sheet3!$B$2:$E$311,2,FALSE)</f>
        <v>#N/A</v>
      </c>
      <c r="D185" s="6" t="str">
        <f>VLOOKUP(B185,Sheet3!$B$2:$E$311,3,)</f>
        <v>#N/A</v>
      </c>
      <c r="E185" s="6" t="str">
        <f>VLOOKUP(B185,Sheet3!$B$2:$E$311,4,)</f>
        <v>#N/A</v>
      </c>
      <c r="F185" s="6">
        <v>1000.0</v>
      </c>
      <c r="G185" s="6" t="s">
        <v>326</v>
      </c>
      <c r="H185" s="6" t="s">
        <v>598</v>
      </c>
    </row>
    <row r="186" ht="15.75" customHeight="1">
      <c r="A186" s="23">
        <v>46014.0</v>
      </c>
      <c r="B186" s="6" t="s">
        <v>356</v>
      </c>
      <c r="C186" s="6" t="str">
        <f>VLOOKUP(B186,Sheet3!$B$2:$E$311,2,FALSE)</f>
        <v>#N/A</v>
      </c>
      <c r="D186" s="6" t="str">
        <f>VLOOKUP(B186,Sheet3!$B$2:$E$311,3,)</f>
        <v>#N/A</v>
      </c>
      <c r="E186" s="6" t="str">
        <f>VLOOKUP(B186,Sheet3!$B$2:$E$311,4,)</f>
        <v>#N/A</v>
      </c>
      <c r="F186" s="6">
        <v>3400.0</v>
      </c>
      <c r="G186" s="6" t="s">
        <v>326</v>
      </c>
      <c r="H186" s="6" t="s">
        <v>598</v>
      </c>
    </row>
    <row r="187" ht="15.75" customHeight="1">
      <c r="A187" s="23">
        <v>46015.0</v>
      </c>
      <c r="B187" s="6" t="s">
        <v>688</v>
      </c>
      <c r="C187" s="6" t="str">
        <f>VLOOKUP(B187,Sheet3!$B$2:$E$311,2,FALSE)</f>
        <v>#N/A</v>
      </c>
      <c r="D187" s="6" t="str">
        <f>VLOOKUP(B187,Sheet3!$B$2:$E$311,3,)</f>
        <v>#N/A</v>
      </c>
      <c r="E187" s="6" t="str">
        <f>VLOOKUP(B187,Sheet3!$B$2:$E$311,4,)</f>
        <v>#N/A</v>
      </c>
      <c r="F187" s="6">
        <v>300.0</v>
      </c>
      <c r="G187" s="6" t="s">
        <v>326</v>
      </c>
      <c r="H187" s="6" t="s">
        <v>692</v>
      </c>
    </row>
    <row r="188" ht="15.75" customHeight="1">
      <c r="A188" s="23">
        <v>46015.0</v>
      </c>
      <c r="B188" s="6" t="s">
        <v>296</v>
      </c>
      <c r="C188" s="6" t="str">
        <f>VLOOKUP(B188,Sheet3!$B$2:$E$311,2,FALSE)</f>
        <v>#N/A</v>
      </c>
      <c r="D188" s="6" t="str">
        <f>VLOOKUP(B188,Sheet3!$B$2:$E$311,3,)</f>
        <v>#N/A</v>
      </c>
      <c r="E188" s="6" t="str">
        <f>VLOOKUP(B188,Sheet3!$B$2:$E$311,4,)</f>
        <v>#N/A</v>
      </c>
      <c r="F188" s="6">
        <v>289.0</v>
      </c>
      <c r="G188" s="6" t="s">
        <v>326</v>
      </c>
      <c r="H188" s="6" t="s">
        <v>338</v>
      </c>
    </row>
    <row r="189" ht="15.75" customHeight="1">
      <c r="A189" s="23">
        <v>46015.0</v>
      </c>
      <c r="B189" s="6" t="s">
        <v>315</v>
      </c>
      <c r="C189" s="6" t="str">
        <f>VLOOKUP(B189,Sheet3!$B$2:$E$311,2,FALSE)</f>
        <v>#N/A</v>
      </c>
      <c r="D189" s="6" t="str">
        <f>VLOOKUP(B189,Sheet3!$B$2:$E$311,3,)</f>
        <v>#N/A</v>
      </c>
      <c r="E189" s="6" t="str">
        <f>VLOOKUP(B189,Sheet3!$B$2:$E$311,4,)</f>
        <v>#N/A</v>
      </c>
      <c r="F189" s="6">
        <v>15.0</v>
      </c>
      <c r="G189" s="6" t="s">
        <v>326</v>
      </c>
      <c r="H189" s="6" t="s">
        <v>319</v>
      </c>
    </row>
    <row r="190" ht="15.75" customHeight="1">
      <c r="A190" s="23">
        <v>46016.0</v>
      </c>
      <c r="B190" s="6" t="s">
        <v>315</v>
      </c>
      <c r="C190" s="6" t="str">
        <f>VLOOKUP(B190,Sheet3!$B$2:$E$311,2,FALSE)</f>
        <v>#N/A</v>
      </c>
      <c r="D190" s="6" t="str">
        <f>VLOOKUP(B190,Sheet3!$B$2:$E$311,3,)</f>
        <v>#N/A</v>
      </c>
      <c r="E190" s="6" t="str">
        <f>VLOOKUP(B190,Sheet3!$B$2:$E$311,4,)</f>
        <v>#N/A</v>
      </c>
      <c r="F190" s="6">
        <v>7.0</v>
      </c>
      <c r="G190" s="6" t="s">
        <v>326</v>
      </c>
      <c r="H190" s="6" t="s">
        <v>399</v>
      </c>
    </row>
    <row r="191" ht="15.75" customHeight="1">
      <c r="A191" s="23">
        <v>46016.0</v>
      </c>
      <c r="B191" s="6" t="s">
        <v>315</v>
      </c>
      <c r="C191" s="6" t="str">
        <f>VLOOKUP(B191,Sheet3!$B$2:$E$311,2,FALSE)</f>
        <v>#N/A</v>
      </c>
      <c r="D191" s="6" t="str">
        <f>VLOOKUP(B191,Sheet3!$B$2:$E$311,3,)</f>
        <v>#N/A</v>
      </c>
      <c r="E191" s="6" t="str">
        <f>VLOOKUP(B191,Sheet3!$B$2:$E$311,4,)</f>
        <v>#N/A</v>
      </c>
      <c r="F191" s="6">
        <v>21.0</v>
      </c>
      <c r="G191" s="6" t="s">
        <v>326</v>
      </c>
      <c r="H191" s="6" t="s">
        <v>399</v>
      </c>
    </row>
    <row r="192" ht="15.75" customHeight="1">
      <c r="A192" s="23">
        <v>46016.0</v>
      </c>
      <c r="B192" s="6" t="s">
        <v>502</v>
      </c>
      <c r="C192" s="6" t="str">
        <f>VLOOKUP(B192,Sheet3!$B$2:$E$311,2,FALSE)</f>
        <v>#N/A</v>
      </c>
      <c r="D192" s="6" t="str">
        <f>VLOOKUP(B192,Sheet3!$B$2:$E$311,3,)</f>
        <v>#N/A</v>
      </c>
      <c r="E192" s="6" t="str">
        <f>VLOOKUP(B192,Sheet3!$B$2:$E$311,4,)</f>
        <v>#N/A</v>
      </c>
      <c r="F192" s="6">
        <v>900.0</v>
      </c>
      <c r="G192" s="6" t="s">
        <v>326</v>
      </c>
      <c r="H192" s="6" t="s">
        <v>699</v>
      </c>
    </row>
    <row r="193" ht="15.75" customHeight="1">
      <c r="A193" s="23">
        <v>46016.0</v>
      </c>
      <c r="B193" s="6" t="s">
        <v>346</v>
      </c>
      <c r="C193" s="6" t="str">
        <f>VLOOKUP(B193,Sheet3!$B$2:$E$311,2,FALSE)</f>
        <v>#N/A</v>
      </c>
      <c r="D193" s="6" t="str">
        <f>VLOOKUP(B193,Sheet3!$B$2:$E$311,3,)</f>
        <v>#N/A</v>
      </c>
      <c r="E193" s="6" t="str">
        <f>VLOOKUP(B193,Sheet3!$B$2:$E$311,4,)</f>
        <v>#N/A</v>
      </c>
      <c r="F193" s="6">
        <v>300.0</v>
      </c>
      <c r="G193" s="6" t="s">
        <v>326</v>
      </c>
      <c r="H193" s="6" t="s">
        <v>699</v>
      </c>
    </row>
    <row r="194" ht="15.75" customHeight="1">
      <c r="A194" s="23">
        <v>46016.0</v>
      </c>
      <c r="B194" s="6" t="s">
        <v>356</v>
      </c>
      <c r="C194" s="6" t="str">
        <f>VLOOKUP(B194,Sheet3!$B$2:$E$311,2,FALSE)</f>
        <v>#N/A</v>
      </c>
      <c r="D194" s="6" t="str">
        <f>VLOOKUP(B194,Sheet3!$B$2:$E$311,3,)</f>
        <v>#N/A</v>
      </c>
      <c r="E194" s="6" t="str">
        <f>VLOOKUP(B194,Sheet3!$B$2:$E$311,4,)</f>
        <v>#N/A</v>
      </c>
      <c r="F194" s="6">
        <v>600.0</v>
      </c>
      <c r="G194" s="6" t="s">
        <v>326</v>
      </c>
      <c r="H194" s="6" t="s">
        <v>699</v>
      </c>
    </row>
    <row r="195" ht="15.75" customHeight="1">
      <c r="A195" s="23">
        <v>46016.0</v>
      </c>
      <c r="B195" s="6" t="s">
        <v>704</v>
      </c>
      <c r="C195" s="6" t="str">
        <f>VLOOKUP(B195,Sheet3!$B$2:$E$311,2,FALSE)</f>
        <v>#N/A</v>
      </c>
      <c r="D195" s="6" t="str">
        <f>VLOOKUP(B195,Sheet3!$B$2:$E$311,3,)</f>
        <v>#N/A</v>
      </c>
      <c r="E195" s="6" t="str">
        <f>VLOOKUP(B195,Sheet3!$B$2:$E$311,4,)</f>
        <v>#N/A</v>
      </c>
      <c r="F195" s="6">
        <v>1.0</v>
      </c>
      <c r="G195" s="6" t="s">
        <v>326</v>
      </c>
      <c r="H195" s="6" t="s">
        <v>645</v>
      </c>
    </row>
    <row r="196" ht="15.75" customHeight="1">
      <c r="A196" s="23">
        <v>46016.0</v>
      </c>
      <c r="B196" s="6" t="s">
        <v>706</v>
      </c>
      <c r="C196" s="6" t="str">
        <f>VLOOKUP(B196,Sheet3!$B$2:$E$311,2,FALSE)</f>
        <v>#N/A</v>
      </c>
      <c r="D196" s="6" t="str">
        <f>VLOOKUP(B196,Sheet3!$B$2:$E$311,3,)</f>
        <v>#N/A</v>
      </c>
      <c r="E196" s="6" t="str">
        <f>VLOOKUP(B196,Sheet3!$B$2:$E$311,4,)</f>
        <v>#N/A</v>
      </c>
      <c r="F196" s="6">
        <v>69.0</v>
      </c>
      <c r="G196" s="6" t="s">
        <v>326</v>
      </c>
      <c r="H196" s="6" t="s">
        <v>598</v>
      </c>
    </row>
    <row r="197" ht="15.75" customHeight="1">
      <c r="A197" s="23">
        <v>46016.0</v>
      </c>
      <c r="B197" s="6" t="s">
        <v>565</v>
      </c>
      <c r="C197" s="6" t="str">
        <f>VLOOKUP(B197,Sheet3!$B$2:$E$311,2,FALSE)</f>
        <v>#N/A</v>
      </c>
      <c r="D197" s="6" t="str">
        <f>VLOOKUP(B197,Sheet3!$B$2:$E$311,3,)</f>
        <v>#N/A</v>
      </c>
      <c r="E197" s="6" t="str">
        <f>VLOOKUP(B197,Sheet3!$B$2:$E$311,4,)</f>
        <v>#N/A</v>
      </c>
      <c r="F197" s="6">
        <v>1.0</v>
      </c>
      <c r="G197" s="6" t="s">
        <v>526</v>
      </c>
      <c r="H197" s="6" t="s">
        <v>598</v>
      </c>
    </row>
    <row r="198" ht="15.75" customHeight="1">
      <c r="A198" s="23">
        <v>46016.0</v>
      </c>
      <c r="B198" s="6" t="s">
        <v>379</v>
      </c>
      <c r="C198" s="6" t="str">
        <f>VLOOKUP(B198,Sheet3!$B$2:$E$311,2,FALSE)</f>
        <v>#N/A</v>
      </c>
      <c r="D198" s="6" t="str">
        <f>VLOOKUP(B198,Sheet3!$B$2:$E$311,3,)</f>
        <v>#N/A</v>
      </c>
      <c r="E198" s="6" t="str">
        <f>VLOOKUP(B198,Sheet3!$B$2:$E$311,4,)</f>
        <v>#N/A</v>
      </c>
      <c r="F198" s="6">
        <v>39.0</v>
      </c>
      <c r="G198" s="6" t="s">
        <v>326</v>
      </c>
      <c r="H198" s="6" t="s">
        <v>598</v>
      </c>
    </row>
    <row r="199" ht="15.75" customHeight="1">
      <c r="A199" s="23">
        <v>46017.0</v>
      </c>
      <c r="B199" s="6" t="s">
        <v>315</v>
      </c>
      <c r="C199" s="6" t="str">
        <f>VLOOKUP(B199,Sheet3!$B$2:$E$311,2,FALSE)</f>
        <v>#N/A</v>
      </c>
      <c r="D199" s="6" t="str">
        <f>VLOOKUP(B199,Sheet3!$B$2:$E$311,3,)</f>
        <v>#N/A</v>
      </c>
      <c r="E199" s="6" t="str">
        <f>VLOOKUP(B199,Sheet3!$B$2:$E$311,4,)</f>
        <v>#N/A</v>
      </c>
      <c r="F199" s="6">
        <v>38.0</v>
      </c>
      <c r="G199" s="6" t="s">
        <v>326</v>
      </c>
      <c r="H199" s="6" t="s">
        <v>699</v>
      </c>
    </row>
    <row r="200" ht="15.75" customHeight="1">
      <c r="A200" s="23">
        <v>46017.0</v>
      </c>
      <c r="B200" s="6" t="s">
        <v>327</v>
      </c>
      <c r="C200" s="6" t="str">
        <f>VLOOKUP(B200,Sheet3!$B$2:$E$311,2,FALSE)</f>
        <v>#N/A</v>
      </c>
      <c r="D200" s="6" t="str">
        <f>VLOOKUP(B200,Sheet3!$B$2:$E$311,3,)</f>
        <v>#N/A</v>
      </c>
      <c r="E200" s="6" t="str">
        <f>VLOOKUP(B200,Sheet3!$B$2:$E$311,4,)</f>
        <v>#N/A</v>
      </c>
      <c r="F200" s="6">
        <v>3.0</v>
      </c>
      <c r="G200" s="6" t="s">
        <v>326</v>
      </c>
      <c r="H200" s="6" t="s">
        <v>645</v>
      </c>
    </row>
    <row r="201" ht="15.75" customHeight="1">
      <c r="A201" s="23">
        <v>46017.0</v>
      </c>
      <c r="B201" s="6" t="s">
        <v>351</v>
      </c>
      <c r="C201" s="6" t="str">
        <f>VLOOKUP(B201,Sheet3!$B$2:$E$311,2,FALSE)</f>
        <v>#N/A</v>
      </c>
      <c r="D201" s="6" t="str">
        <f>VLOOKUP(B201,Sheet3!$B$2:$E$311,3,)</f>
        <v>#N/A</v>
      </c>
      <c r="E201" s="6" t="str">
        <f>VLOOKUP(B201,Sheet3!$B$2:$E$311,4,)</f>
        <v>#N/A</v>
      </c>
      <c r="F201" s="6">
        <v>400.0</v>
      </c>
      <c r="G201" s="6" t="s">
        <v>326</v>
      </c>
      <c r="H201" s="6" t="s">
        <v>716</v>
      </c>
    </row>
    <row r="202" ht="15.75" customHeight="1">
      <c r="A202" s="23">
        <v>46017.0</v>
      </c>
      <c r="B202" s="6" t="s">
        <v>356</v>
      </c>
      <c r="C202" s="6" t="str">
        <f>VLOOKUP(B202,Sheet3!$B$2:$E$311,2,FALSE)</f>
        <v>#N/A</v>
      </c>
      <c r="D202" s="6" t="str">
        <f>VLOOKUP(B202,Sheet3!$B$2:$E$311,3,)</f>
        <v>#N/A</v>
      </c>
      <c r="E202" s="6" t="str">
        <f>VLOOKUP(B202,Sheet3!$B$2:$E$311,4,)</f>
        <v>#N/A</v>
      </c>
      <c r="F202" s="6">
        <v>1300.0</v>
      </c>
      <c r="G202" s="6" t="s">
        <v>326</v>
      </c>
      <c r="H202" s="6" t="s">
        <v>716</v>
      </c>
    </row>
    <row r="203" ht="15.75" customHeight="1">
      <c r="A203" s="23">
        <v>46017.0</v>
      </c>
      <c r="B203" s="6" t="s">
        <v>346</v>
      </c>
      <c r="C203" s="6" t="str">
        <f>VLOOKUP(B203,Sheet3!$B$2:$E$311,2,FALSE)</f>
        <v>#N/A</v>
      </c>
      <c r="D203" s="6" t="str">
        <f>VLOOKUP(B203,Sheet3!$B$2:$E$311,3,)</f>
        <v>#N/A</v>
      </c>
      <c r="E203" s="6" t="str">
        <f>VLOOKUP(B203,Sheet3!$B$2:$E$311,4,)</f>
        <v>#N/A</v>
      </c>
      <c r="F203" s="6">
        <v>1200.0</v>
      </c>
      <c r="G203" s="6" t="s">
        <v>326</v>
      </c>
      <c r="H203" s="6" t="s">
        <v>716</v>
      </c>
    </row>
    <row r="204" ht="15.75" customHeight="1">
      <c r="A204" s="23">
        <v>46017.0</v>
      </c>
      <c r="B204" s="6" t="s">
        <v>502</v>
      </c>
      <c r="C204" s="6" t="str">
        <f>VLOOKUP(B204,Sheet3!$B$2:$E$311,2,FALSE)</f>
        <v>#N/A</v>
      </c>
      <c r="D204" s="6" t="str">
        <f>VLOOKUP(B204,Sheet3!$B$2:$E$311,3,)</f>
        <v>#N/A</v>
      </c>
      <c r="E204" s="6" t="str">
        <f>VLOOKUP(B204,Sheet3!$B$2:$E$311,4,)</f>
        <v>#N/A</v>
      </c>
      <c r="F204" s="6">
        <v>1500.0</v>
      </c>
      <c r="G204" s="6" t="s">
        <v>326</v>
      </c>
      <c r="H204" s="6" t="s">
        <v>716</v>
      </c>
    </row>
    <row r="205" ht="15.75" customHeight="1">
      <c r="A205" s="23">
        <v>46017.0</v>
      </c>
      <c r="B205" s="6" t="s">
        <v>379</v>
      </c>
      <c r="C205" s="6" t="str">
        <f>VLOOKUP(B205,Sheet3!$B$2:$E$311,2,FALSE)</f>
        <v>#N/A</v>
      </c>
      <c r="D205" s="6" t="str">
        <f>VLOOKUP(B205,Sheet3!$B$2:$E$311,3,)</f>
        <v>#N/A</v>
      </c>
      <c r="E205" s="6" t="str">
        <f>VLOOKUP(B205,Sheet3!$B$2:$E$311,4,)</f>
        <v>#N/A</v>
      </c>
      <c r="F205" s="6">
        <v>70.0</v>
      </c>
      <c r="G205" s="6" t="s">
        <v>326</v>
      </c>
      <c r="H205" s="6" t="s">
        <v>598</v>
      </c>
    </row>
    <row r="206" ht="15.75" customHeight="1">
      <c r="A206" s="23">
        <v>46018.0</v>
      </c>
      <c r="B206" s="6" t="s">
        <v>724</v>
      </c>
      <c r="C206" s="6" t="str">
        <f>VLOOKUP(B206,Sheet3!$B$2:$E$311,2,FALSE)</f>
        <v>#N/A</v>
      </c>
      <c r="D206" s="6" t="str">
        <f>VLOOKUP(B206,Sheet3!$B$2:$E$311,3,)</f>
        <v>#N/A</v>
      </c>
      <c r="E206" s="6" t="str">
        <f>VLOOKUP(B206,Sheet3!$B$2:$E$311,4,)</f>
        <v>#N/A</v>
      </c>
      <c r="F206" s="6">
        <v>1.0</v>
      </c>
      <c r="G206" s="6" t="s">
        <v>293</v>
      </c>
      <c r="H206" s="6" t="s">
        <v>726</v>
      </c>
    </row>
    <row r="207" ht="15.75" customHeight="1">
      <c r="A207" s="23">
        <v>46018.0</v>
      </c>
      <c r="B207" s="6" t="s">
        <v>728</v>
      </c>
      <c r="C207" s="6" t="str">
        <f>VLOOKUP(B207,Sheet3!$B$2:$E$311,2,FALSE)</f>
        <v>#N/A</v>
      </c>
      <c r="D207" s="6" t="str">
        <f>VLOOKUP(B207,Sheet3!$B$2:$E$311,3,)</f>
        <v>#N/A</v>
      </c>
      <c r="E207" s="6" t="str">
        <f>VLOOKUP(B207,Sheet3!$B$2:$E$311,4,)</f>
        <v>#N/A</v>
      </c>
      <c r="F207" s="6">
        <v>1.0</v>
      </c>
      <c r="G207" s="6" t="s">
        <v>293</v>
      </c>
      <c r="H207" s="6" t="s">
        <v>598</v>
      </c>
    </row>
    <row r="208" ht="15.75" customHeight="1">
      <c r="A208" s="23">
        <v>46018.0</v>
      </c>
      <c r="B208" s="6" t="s">
        <v>351</v>
      </c>
      <c r="C208" s="6" t="str">
        <f>VLOOKUP(B208,Sheet3!$B$2:$E$311,2,FALSE)</f>
        <v>#N/A</v>
      </c>
      <c r="D208" s="6" t="str">
        <f>VLOOKUP(B208,Sheet3!$B$2:$E$311,3,)</f>
        <v>#N/A</v>
      </c>
      <c r="E208" s="6" t="str">
        <f>VLOOKUP(B208,Sheet3!$B$2:$E$311,4,)</f>
        <v>#N/A</v>
      </c>
      <c r="F208" s="6">
        <v>1700.0</v>
      </c>
      <c r="G208" s="6" t="s">
        <v>326</v>
      </c>
      <c r="H208" s="6" t="s">
        <v>521</v>
      </c>
    </row>
    <row r="209" ht="15.75" customHeight="1">
      <c r="A209" s="23">
        <v>46018.0</v>
      </c>
      <c r="B209" s="6" t="s">
        <v>356</v>
      </c>
      <c r="C209" s="6" t="str">
        <f>VLOOKUP(B209,Sheet3!$B$2:$E$311,2,FALSE)</f>
        <v>#N/A</v>
      </c>
      <c r="D209" s="6" t="str">
        <f>VLOOKUP(B209,Sheet3!$B$2:$E$311,3,)</f>
        <v>#N/A</v>
      </c>
      <c r="E209" s="6" t="str">
        <f>VLOOKUP(B209,Sheet3!$B$2:$E$311,4,)</f>
        <v>#N/A</v>
      </c>
      <c r="F209" s="6">
        <v>2800.0</v>
      </c>
      <c r="G209" s="6" t="s">
        <v>326</v>
      </c>
      <c r="H209" s="6" t="s">
        <v>521</v>
      </c>
    </row>
    <row r="210" ht="15.75" customHeight="1">
      <c r="A210" s="23">
        <v>46018.0</v>
      </c>
      <c r="B210" s="6" t="s">
        <v>533</v>
      </c>
      <c r="C210" s="6" t="str">
        <f>VLOOKUP(B210,Sheet3!$B$2:$E$311,2,FALSE)</f>
        <v>#N/A</v>
      </c>
      <c r="D210" s="6" t="str">
        <f>VLOOKUP(B210,Sheet3!$B$2:$E$311,3,)</f>
        <v>#N/A</v>
      </c>
      <c r="E210" s="6" t="str">
        <f>VLOOKUP(B210,Sheet3!$B$2:$E$311,4,)</f>
        <v>#N/A</v>
      </c>
      <c r="F210" s="6">
        <v>9.0</v>
      </c>
      <c r="G210" s="6" t="s">
        <v>742</v>
      </c>
      <c r="H210" s="6" t="s">
        <v>573</v>
      </c>
    </row>
    <row r="211" ht="15.75" customHeight="1">
      <c r="A211" s="23">
        <v>46018.0</v>
      </c>
      <c r="B211" s="6" t="s">
        <v>502</v>
      </c>
      <c r="C211" s="6" t="str">
        <f>VLOOKUP(B211,Sheet3!$B$2:$E$311,2,FALSE)</f>
        <v>#N/A</v>
      </c>
      <c r="D211" s="6" t="str">
        <f>VLOOKUP(B211,Sheet3!$B$2:$E$311,3,)</f>
        <v>#N/A</v>
      </c>
      <c r="E211" s="6" t="str">
        <f>VLOOKUP(B211,Sheet3!$B$2:$E$311,4,)</f>
        <v>#N/A</v>
      </c>
      <c r="F211" s="6">
        <v>1400.0</v>
      </c>
      <c r="G211" s="6" t="s">
        <v>326</v>
      </c>
      <c r="H211" s="6" t="s">
        <v>521</v>
      </c>
    </row>
    <row r="212" ht="15.75" customHeight="1">
      <c r="A212" s="23">
        <v>46018.0</v>
      </c>
      <c r="B212" s="6" t="s">
        <v>379</v>
      </c>
      <c r="C212" s="6" t="str">
        <f>VLOOKUP(B212,Sheet3!$B$2:$E$311,2,FALSE)</f>
        <v>#N/A</v>
      </c>
      <c r="D212" s="6" t="str">
        <f>VLOOKUP(B212,Sheet3!$B$2:$E$311,3,)</f>
        <v>#N/A</v>
      </c>
      <c r="E212" s="6" t="str">
        <f>VLOOKUP(B212,Sheet3!$B$2:$E$311,4,)</f>
        <v>#N/A</v>
      </c>
      <c r="F212" s="6">
        <v>60.0</v>
      </c>
      <c r="G212" s="6" t="s">
        <v>326</v>
      </c>
      <c r="H212" s="6" t="s">
        <v>598</v>
      </c>
    </row>
    <row r="213" ht="15.75" customHeight="1">
      <c r="A213" s="23">
        <v>46018.0</v>
      </c>
      <c r="B213" s="6" t="s">
        <v>315</v>
      </c>
      <c r="C213" s="6" t="str">
        <f>VLOOKUP(B213,Sheet3!$B$2:$E$311,2,FALSE)</f>
        <v>#N/A</v>
      </c>
      <c r="D213" s="6" t="str">
        <f>VLOOKUP(B213,Sheet3!$B$2:$E$311,3,)</f>
        <v>#N/A</v>
      </c>
      <c r="E213" s="6" t="str">
        <f>VLOOKUP(B213,Sheet3!$B$2:$E$311,4,)</f>
        <v>#N/A</v>
      </c>
      <c r="F213" s="6">
        <v>21.0</v>
      </c>
      <c r="G213" s="6" t="s">
        <v>326</v>
      </c>
      <c r="H213" s="6" t="s">
        <v>319</v>
      </c>
    </row>
    <row r="214" ht="15.75" customHeight="1">
      <c r="A214" s="23">
        <v>46018.0</v>
      </c>
      <c r="B214" s="6" t="s">
        <v>706</v>
      </c>
      <c r="C214" s="6" t="str">
        <f>VLOOKUP(B214,Sheet3!$B$2:$E$311,2,FALSE)</f>
        <v>#N/A</v>
      </c>
      <c r="D214" s="6" t="str">
        <f>VLOOKUP(B214,Sheet3!$B$2:$E$311,3,)</f>
        <v>#N/A</v>
      </c>
      <c r="E214" s="6" t="str">
        <f>VLOOKUP(B214,Sheet3!$B$2:$E$311,4,)</f>
        <v>#N/A</v>
      </c>
      <c r="F214" s="6">
        <v>378.0</v>
      </c>
      <c r="G214" s="6" t="s">
        <v>326</v>
      </c>
      <c r="H214" s="6" t="s">
        <v>338</v>
      </c>
    </row>
    <row r="215" ht="15.75" customHeight="1">
      <c r="A215" s="23">
        <v>46018.0</v>
      </c>
      <c r="B215" s="6" t="s">
        <v>753</v>
      </c>
      <c r="C215" s="6" t="str">
        <f>VLOOKUP(B215,Sheet3!$B$2:$E$311,2,FALSE)</f>
        <v>#N/A</v>
      </c>
      <c r="D215" s="6" t="str">
        <f>VLOOKUP(B215,Sheet3!$B$2:$E$311,3,)</f>
        <v>#N/A</v>
      </c>
      <c r="E215" s="6" t="s">
        <v>628</v>
      </c>
      <c r="F215" s="6">
        <v>128.0</v>
      </c>
      <c r="G215" s="6" t="s">
        <v>326</v>
      </c>
      <c r="H215" s="6" t="s">
        <v>338</v>
      </c>
    </row>
    <row r="216" ht="15.75" customHeight="1">
      <c r="A216" s="23">
        <v>46018.0</v>
      </c>
      <c r="B216" s="6" t="s">
        <v>756</v>
      </c>
      <c r="C216" s="6" t="str">
        <f>VLOOKUP(B216,Sheet3!$B$2:$E$311,2,FALSE)</f>
        <v>#N/A</v>
      </c>
      <c r="D216" s="6" t="str">
        <f>VLOOKUP(B216,Sheet3!$B$2:$E$311,3,)</f>
        <v>#N/A</v>
      </c>
      <c r="E216" s="6" t="str">
        <f>VLOOKUP(B216,Sheet3!$B$2:$E$311,4,)</f>
        <v>#N/A</v>
      </c>
      <c r="F216" s="6">
        <v>1.0</v>
      </c>
      <c r="G216" s="6" t="s">
        <v>526</v>
      </c>
      <c r="H216" s="6" t="s">
        <v>338</v>
      </c>
    </row>
    <row r="217" ht="15.75" customHeight="1">
      <c r="A217" s="23">
        <v>46018.0</v>
      </c>
      <c r="B217" s="6" t="s">
        <v>756</v>
      </c>
      <c r="C217" s="6" t="str">
        <f>VLOOKUP(B217,Sheet3!$B$2:$E$311,2,FALSE)</f>
        <v>#N/A</v>
      </c>
      <c r="D217" s="6" t="str">
        <f>VLOOKUP(B217,Sheet3!$B$2:$E$311,3,)</f>
        <v>#N/A</v>
      </c>
      <c r="E217" s="6" t="str">
        <f>VLOOKUP(B217,Sheet3!$B$2:$E$311,4,)</f>
        <v>#N/A</v>
      </c>
      <c r="F217" s="6">
        <v>4.0</v>
      </c>
      <c r="G217" s="6" t="s">
        <v>526</v>
      </c>
      <c r="H217" s="6" t="s">
        <v>338</v>
      </c>
    </row>
    <row r="218" ht="15.75" customHeight="1">
      <c r="A218" s="23">
        <v>46019.0</v>
      </c>
      <c r="B218" s="6" t="s">
        <v>356</v>
      </c>
      <c r="C218" s="6" t="str">
        <f>VLOOKUP(B218,Sheet3!$B$2:$E$311,2,FALSE)</f>
        <v>#N/A</v>
      </c>
      <c r="D218" s="6" t="str">
        <f>VLOOKUP(B218,Sheet3!$B$2:$E$311,3,)</f>
        <v>#N/A</v>
      </c>
      <c r="E218" s="6" t="str">
        <f>VLOOKUP(B218,Sheet3!$B$2:$E$311,4,)</f>
        <v>#N/A</v>
      </c>
      <c r="F218" s="6">
        <v>1200.0</v>
      </c>
      <c r="G218" s="6" t="s">
        <v>326</v>
      </c>
      <c r="H218" s="6" t="s">
        <v>521</v>
      </c>
    </row>
    <row r="219" ht="15.75" customHeight="1">
      <c r="A219" s="23">
        <v>46019.0</v>
      </c>
      <c r="B219" s="6" t="s">
        <v>502</v>
      </c>
      <c r="C219" s="6" t="str">
        <f>VLOOKUP(B219,Sheet3!$B$2:$E$311,2,FALSE)</f>
        <v>#N/A</v>
      </c>
      <c r="D219" s="6" t="str">
        <f>VLOOKUP(B219,Sheet3!$B$2:$E$311,3,)</f>
        <v>#N/A</v>
      </c>
      <c r="E219" s="6" t="str">
        <f>VLOOKUP(B219,Sheet3!$B$2:$E$311,4,)</f>
        <v>#N/A</v>
      </c>
      <c r="F219" s="6">
        <v>3000.0</v>
      </c>
      <c r="G219" s="6" t="s">
        <v>326</v>
      </c>
      <c r="H219" s="6" t="s">
        <v>521</v>
      </c>
    </row>
    <row r="220" ht="15.75" customHeight="1">
      <c r="A220" s="23">
        <v>46019.0</v>
      </c>
      <c r="B220" s="6" t="s">
        <v>351</v>
      </c>
      <c r="C220" s="6" t="str">
        <f>VLOOKUP(B220,Sheet3!$B$2:$E$311,2,FALSE)</f>
        <v>#N/A</v>
      </c>
      <c r="D220" s="6" t="str">
        <f>VLOOKUP(B220,Sheet3!$B$2:$E$311,3,)</f>
        <v>#N/A</v>
      </c>
      <c r="E220" s="6" t="str">
        <f>VLOOKUP(B220,Sheet3!$B$2:$E$311,4,)</f>
        <v>#N/A</v>
      </c>
      <c r="F220" s="6">
        <v>1800.0</v>
      </c>
      <c r="G220" s="6" t="s">
        <v>326</v>
      </c>
      <c r="H220" s="6" t="s">
        <v>521</v>
      </c>
    </row>
    <row r="221" ht="15.75" customHeight="1">
      <c r="A221" s="23">
        <v>46019.0</v>
      </c>
      <c r="B221" s="6" t="s">
        <v>346</v>
      </c>
      <c r="C221" s="6" t="str">
        <f>VLOOKUP(B221,Sheet3!$B$2:$E$311,2,FALSE)</f>
        <v>#N/A</v>
      </c>
      <c r="D221" s="6" t="str">
        <f>VLOOKUP(B221,Sheet3!$B$2:$E$311,3,)</f>
        <v>#N/A</v>
      </c>
      <c r="E221" s="6" t="str">
        <f>VLOOKUP(B221,Sheet3!$B$2:$E$311,4,)</f>
        <v>#N/A</v>
      </c>
      <c r="F221" s="6">
        <v>600.0</v>
      </c>
      <c r="G221" s="6" t="s">
        <v>326</v>
      </c>
      <c r="H221" s="6" t="s">
        <v>521</v>
      </c>
    </row>
    <row r="222" ht="15.75" customHeight="1">
      <c r="A222" s="23">
        <v>46019.0</v>
      </c>
      <c r="B222" s="6" t="s">
        <v>527</v>
      </c>
      <c r="C222" s="6" t="str">
        <f>VLOOKUP(B222,Sheet3!$B$2:$E$311,2,FALSE)</f>
        <v>#N/A</v>
      </c>
      <c r="D222" s="6" t="str">
        <f>VLOOKUP(B222,Sheet3!$B$2:$E$311,3,)</f>
        <v>#N/A</v>
      </c>
      <c r="E222" s="6" t="str">
        <f>VLOOKUP(B222,Sheet3!$B$2:$E$311,4,)</f>
        <v>#N/A</v>
      </c>
      <c r="F222" s="6">
        <v>1.0</v>
      </c>
      <c r="G222" s="6" t="s">
        <v>326</v>
      </c>
      <c r="H222" s="6" t="s">
        <v>763</v>
      </c>
    </row>
    <row r="223" ht="15.75" customHeight="1">
      <c r="A223" s="23">
        <v>46019.0</v>
      </c>
      <c r="B223" s="6" t="s">
        <v>327</v>
      </c>
      <c r="C223" s="6" t="str">
        <f>VLOOKUP(B223,Sheet3!$B$2:$E$311,2,FALSE)</f>
        <v>#N/A</v>
      </c>
      <c r="D223" s="6" t="str">
        <f>VLOOKUP(B223,Sheet3!$B$2:$E$311,3,)</f>
        <v>#N/A</v>
      </c>
      <c r="E223" s="6" t="str">
        <f>VLOOKUP(B223,Sheet3!$B$2:$E$311,4,)</f>
        <v>#N/A</v>
      </c>
      <c r="F223" s="6">
        <v>1.0</v>
      </c>
      <c r="G223" s="6" t="s">
        <v>326</v>
      </c>
      <c r="H223" s="6" t="s">
        <v>763</v>
      </c>
    </row>
    <row r="224" ht="15.75" customHeight="1">
      <c r="A224" s="23">
        <v>46019.0</v>
      </c>
      <c r="B224" s="6" t="s">
        <v>315</v>
      </c>
      <c r="C224" s="6" t="str">
        <f>VLOOKUP(B224,Sheet3!$B$2:$E$311,2,FALSE)</f>
        <v>#N/A</v>
      </c>
      <c r="D224" s="6" t="str">
        <f>VLOOKUP(B224,Sheet3!$B$2:$E$311,3,)</f>
        <v>#N/A</v>
      </c>
      <c r="E224" s="6" t="str">
        <f>VLOOKUP(B224,Sheet3!$B$2:$E$311,4,)</f>
        <v>#N/A</v>
      </c>
      <c r="F224" s="6">
        <v>24.0</v>
      </c>
      <c r="G224" s="6" t="s">
        <v>326</v>
      </c>
      <c r="H224" s="6" t="s">
        <v>399</v>
      </c>
    </row>
    <row r="225" ht="15.75" customHeight="1">
      <c r="A225" s="23">
        <v>46019.0</v>
      </c>
      <c r="B225" s="6" t="s">
        <v>315</v>
      </c>
      <c r="C225" s="6" t="str">
        <f>VLOOKUP(B225,Sheet3!$B$2:$E$311,2,FALSE)</f>
        <v>#N/A</v>
      </c>
      <c r="D225" s="6" t="str">
        <f>VLOOKUP(B225,Sheet3!$B$2:$E$311,3,)</f>
        <v>#N/A</v>
      </c>
      <c r="E225" s="6" t="str">
        <f>VLOOKUP(B225,Sheet3!$B$2:$E$311,4,)</f>
        <v>#N/A</v>
      </c>
      <c r="F225" s="6">
        <v>19.0</v>
      </c>
      <c r="G225" s="6" t="s">
        <v>326</v>
      </c>
      <c r="H225" s="6" t="s">
        <v>399</v>
      </c>
    </row>
    <row r="226" ht="15.75" customHeight="1">
      <c r="A226" s="23">
        <v>46019.0</v>
      </c>
      <c r="B226" s="6" t="s">
        <v>379</v>
      </c>
      <c r="C226" s="6" t="str">
        <f>VLOOKUP(B226,Sheet3!$B$2:$E$311,2,FALSE)</f>
        <v>#N/A</v>
      </c>
      <c r="D226" s="6" t="str">
        <f>VLOOKUP(B226,Sheet3!$B$2:$E$311,3,)</f>
        <v>#N/A</v>
      </c>
      <c r="E226" s="6" t="str">
        <f>VLOOKUP(B226,Sheet3!$B$2:$E$311,4,)</f>
        <v>#N/A</v>
      </c>
      <c r="F226" s="6">
        <v>20.0</v>
      </c>
      <c r="G226" s="6" t="s">
        <v>326</v>
      </c>
      <c r="H226" s="6" t="s">
        <v>598</v>
      </c>
    </row>
    <row r="227" ht="15.75" customHeight="1">
      <c r="A227" s="23">
        <v>46019.0</v>
      </c>
      <c r="B227" s="6" t="s">
        <v>658</v>
      </c>
      <c r="C227" s="6" t="str">
        <f>VLOOKUP(B227,Sheet3!$B$2:$E$311,2,FALSE)</f>
        <v>#N/A</v>
      </c>
      <c r="D227" s="6" t="str">
        <f>VLOOKUP(B227,Sheet3!$B$2:$E$311,3,)</f>
        <v>#N/A</v>
      </c>
      <c r="E227" s="6" t="str">
        <f>VLOOKUP(B227,Sheet3!$B$2:$E$311,4,)</f>
        <v>#N/A</v>
      </c>
      <c r="F227" s="6">
        <v>384.0</v>
      </c>
      <c r="G227" s="6" t="s">
        <v>326</v>
      </c>
      <c r="H227" s="6" t="s">
        <v>598</v>
      </c>
    </row>
    <row r="228" ht="15.75" customHeight="1">
      <c r="A228" s="23">
        <v>46020.0</v>
      </c>
      <c r="B228" s="6" t="s">
        <v>286</v>
      </c>
      <c r="C228" s="6" t="str">
        <f>VLOOKUP(B228,Sheet3!$B$2:$E$311,2,FALSE)</f>
        <v>#N/A</v>
      </c>
      <c r="D228" s="6" t="str">
        <f>VLOOKUP(B228,Sheet3!$B$2:$E$311,3,)</f>
        <v>#N/A</v>
      </c>
      <c r="E228" s="6" t="str">
        <f>VLOOKUP(B228,Sheet3!$B$2:$E$311,4,)</f>
        <v>#N/A</v>
      </c>
      <c r="F228" s="6">
        <v>110.0</v>
      </c>
      <c r="G228" s="6" t="s">
        <v>326</v>
      </c>
      <c r="H228" s="6" t="s">
        <v>716</v>
      </c>
    </row>
    <row r="229" ht="15.75" customHeight="1">
      <c r="A229" s="23">
        <v>46020.0</v>
      </c>
      <c r="B229" s="6" t="s">
        <v>767</v>
      </c>
      <c r="C229" s="6" t="str">
        <f>VLOOKUP(B229,Sheet3!$B$2:$E$311,2,FALSE)</f>
        <v>#N/A</v>
      </c>
      <c r="D229" s="6" t="str">
        <f>VLOOKUP(B229,Sheet3!$B$2:$E$311,3,)</f>
        <v>#N/A</v>
      </c>
      <c r="E229" s="6" t="str">
        <f>VLOOKUP(B229,Sheet3!$B$2:$E$311,4,)</f>
        <v>#N/A</v>
      </c>
      <c r="F229" s="6">
        <v>31.0</v>
      </c>
      <c r="G229" s="6" t="s">
        <v>326</v>
      </c>
      <c r="H229" s="6" t="s">
        <v>716</v>
      </c>
    </row>
    <row r="230" ht="15.75" customHeight="1">
      <c r="A230" s="23">
        <v>46020.0</v>
      </c>
      <c r="B230" s="6" t="s">
        <v>356</v>
      </c>
      <c r="C230" s="6" t="str">
        <f>VLOOKUP(B230,Sheet3!$B$2:$E$311,2,FALSE)</f>
        <v>#N/A</v>
      </c>
      <c r="D230" s="6" t="str">
        <f>VLOOKUP(B230,Sheet3!$B$2:$E$311,3,)</f>
        <v>#N/A</v>
      </c>
      <c r="E230" s="6" t="str">
        <f>VLOOKUP(B230,Sheet3!$B$2:$E$311,4,)</f>
        <v>#N/A</v>
      </c>
      <c r="F230" s="6">
        <v>1178.0</v>
      </c>
      <c r="G230" s="6" t="s">
        <v>326</v>
      </c>
      <c r="H230" s="6" t="s">
        <v>769</v>
      </c>
    </row>
    <row r="231" ht="15.75" customHeight="1">
      <c r="A231" s="23">
        <v>46020.0</v>
      </c>
      <c r="B231" s="6" t="s">
        <v>315</v>
      </c>
      <c r="C231" s="6" t="str">
        <f>VLOOKUP(B231,Sheet3!$B$2:$E$311,2,FALSE)</f>
        <v>#N/A</v>
      </c>
      <c r="D231" s="6" t="str">
        <f>VLOOKUP(B231,Sheet3!$B$2:$E$311,3,)</f>
        <v>#N/A</v>
      </c>
      <c r="E231" s="6" t="str">
        <f>VLOOKUP(B231,Sheet3!$B$2:$E$311,4,)</f>
        <v>#N/A</v>
      </c>
      <c r="F231" s="6">
        <v>23.0</v>
      </c>
      <c r="G231" s="6" t="s">
        <v>326</v>
      </c>
      <c r="H231" s="6" t="s">
        <v>338</v>
      </c>
    </row>
    <row r="232" ht="15.75" customHeight="1">
      <c r="A232" s="23">
        <v>46020.0</v>
      </c>
      <c r="B232" s="6" t="s">
        <v>770</v>
      </c>
      <c r="C232" s="6" t="str">
        <f>VLOOKUP(B232,Sheet3!$B$2:$E$311,2,FALSE)</f>
        <v>#N/A</v>
      </c>
      <c r="D232" s="6" t="str">
        <f>VLOOKUP(B232,Sheet3!$B$2:$E$311,3,)</f>
        <v>#N/A</v>
      </c>
      <c r="E232" s="6" t="str">
        <f>VLOOKUP(B232,Sheet3!$B$2:$E$311,4,)</f>
        <v>#N/A</v>
      </c>
      <c r="F232" s="6">
        <v>13.0</v>
      </c>
      <c r="G232" s="6" t="s">
        <v>326</v>
      </c>
      <c r="H232" s="6" t="s">
        <v>716</v>
      </c>
    </row>
    <row r="233" ht="15.75" customHeight="1">
      <c r="A233" s="23">
        <v>46021.0</v>
      </c>
      <c r="B233" s="6" t="s">
        <v>502</v>
      </c>
      <c r="C233" s="6" t="str">
        <f>VLOOKUP(B233,Sheet3!$B$2:$E$311,2,FALSE)</f>
        <v>#N/A</v>
      </c>
      <c r="D233" s="6" t="str">
        <f>VLOOKUP(B233,Sheet3!$B$2:$E$311,3,)</f>
        <v>#N/A</v>
      </c>
      <c r="E233" s="6" t="str">
        <f>VLOOKUP(B233,Sheet3!$B$2:$E$311,4,)</f>
        <v>#N/A</v>
      </c>
      <c r="F233" s="6">
        <v>800.0</v>
      </c>
      <c r="G233" s="6" t="s">
        <v>326</v>
      </c>
      <c r="H233" s="6" t="s">
        <v>769</v>
      </c>
    </row>
    <row r="234" ht="15.75" customHeight="1">
      <c r="A234" s="23">
        <v>46021.0</v>
      </c>
      <c r="B234" s="6" t="s">
        <v>627</v>
      </c>
      <c r="C234" s="6" t="str">
        <f>VLOOKUP(B234,Sheet3!$B$2:$E$311,2,FALSE)</f>
        <v>#N/A</v>
      </c>
      <c r="D234" s="6" t="str">
        <f>VLOOKUP(B234,Sheet3!$B$2:$E$311,3,)</f>
        <v>#N/A</v>
      </c>
      <c r="E234" s="6" t="str">
        <f>VLOOKUP(B234,Sheet3!$B$2:$E$311,4,)</f>
        <v>#N/A</v>
      </c>
      <c r="F234" s="6">
        <v>175.0</v>
      </c>
      <c r="G234" s="6" t="s">
        <v>326</v>
      </c>
      <c r="H234" s="6" t="s">
        <v>483</v>
      </c>
    </row>
    <row r="235" ht="15.75" customHeight="1">
      <c r="A235" s="23">
        <v>46021.0</v>
      </c>
      <c r="B235" s="6" t="s">
        <v>315</v>
      </c>
      <c r="C235" s="6" t="str">
        <f>VLOOKUP(B235,Sheet3!$B$2:$E$311,2,FALSE)</f>
        <v>#N/A</v>
      </c>
      <c r="D235" s="6" t="str">
        <f>VLOOKUP(B235,Sheet3!$B$2:$E$311,3,)</f>
        <v>#N/A</v>
      </c>
      <c r="E235" s="6" t="str">
        <f>VLOOKUP(B235,Sheet3!$B$2:$E$311,4,)</f>
        <v>#N/A</v>
      </c>
      <c r="F235" s="6">
        <v>22.0</v>
      </c>
      <c r="G235" s="6" t="s">
        <v>326</v>
      </c>
      <c r="H235" s="6" t="s">
        <v>338</v>
      </c>
    </row>
    <row r="236" ht="15.75" customHeight="1">
      <c r="A236" s="23">
        <v>46021.0</v>
      </c>
      <c r="B236" s="6" t="s">
        <v>315</v>
      </c>
      <c r="C236" s="6" t="str">
        <f>VLOOKUP(B236,Sheet3!$B$2:$E$311,2,FALSE)</f>
        <v>#N/A</v>
      </c>
      <c r="D236" s="6" t="str">
        <f>VLOOKUP(B236,Sheet3!$B$2:$E$311,3,)</f>
        <v>#N/A</v>
      </c>
      <c r="E236" s="6" t="str">
        <f>VLOOKUP(B236,Sheet3!$B$2:$E$311,4,)</f>
        <v>#N/A</v>
      </c>
      <c r="F236" s="6">
        <v>23.0</v>
      </c>
      <c r="G236" s="6" t="s">
        <v>326</v>
      </c>
      <c r="H236" s="6" t="s">
        <v>338</v>
      </c>
    </row>
    <row r="237" ht="15.75" customHeight="1">
      <c r="A237" s="23">
        <v>46021.0</v>
      </c>
      <c r="B237" s="6" t="s">
        <v>639</v>
      </c>
      <c r="C237" s="6" t="str">
        <f>VLOOKUP(B237,Sheet3!$B$2:$E$311,2,FALSE)</f>
        <v>#N/A</v>
      </c>
      <c r="D237" s="6" t="str">
        <f>VLOOKUP(B237,Sheet3!$B$2:$E$311,3,)</f>
        <v>#N/A</v>
      </c>
      <c r="E237" s="6" t="str">
        <f>VLOOKUP(B237,Sheet3!$B$2:$E$311,4,)</f>
        <v>#N/A</v>
      </c>
      <c r="F237" s="6">
        <v>2.0</v>
      </c>
      <c r="G237" s="6" t="s">
        <v>326</v>
      </c>
      <c r="H237" s="6" t="s">
        <v>338</v>
      </c>
    </row>
    <row r="238" ht="15.75" customHeight="1">
      <c r="A238" s="23">
        <v>46022.0</v>
      </c>
      <c r="B238" s="6" t="s">
        <v>774</v>
      </c>
      <c r="C238" s="6" t="str">
        <f>VLOOKUP(B238,Sheet3!$B$2:$E$311,2,FALSE)</f>
        <v>#N/A</v>
      </c>
      <c r="D238" s="6" t="str">
        <f>VLOOKUP(B238,Sheet3!$B$2:$E$311,3,)</f>
        <v>#N/A</v>
      </c>
      <c r="E238" s="6" t="str">
        <f>VLOOKUP(B238,Sheet3!$B$2:$E$311,4,)</f>
        <v>#N/A</v>
      </c>
      <c r="F238" s="6">
        <v>223.0</v>
      </c>
      <c r="G238" s="6" t="s">
        <v>326</v>
      </c>
      <c r="H238" s="6" t="s">
        <v>598</v>
      </c>
    </row>
    <row r="239" ht="15.75" customHeight="1">
      <c r="A239" s="6"/>
      <c r="B239" s="6"/>
      <c r="C239" s="6" t="str">
        <f>VLOOKUP(B239,Sheet3!$B$2:$E$311,2,FALSE)</f>
        <v>#N/A</v>
      </c>
      <c r="D239" s="6" t="str">
        <f>VLOOKUP(B239,Sheet3!$B$2:$E$311,3,)</f>
        <v>#N/A</v>
      </c>
      <c r="E239" s="6" t="str">
        <f>VLOOKUP(B239,Sheet3!$B$2:$E$311,4,)</f>
        <v>#N/A</v>
      </c>
      <c r="F239" s="6"/>
      <c r="G239" s="6"/>
      <c r="H239" s="6"/>
    </row>
    <row r="240" ht="15.75" customHeight="1">
      <c r="A240" s="6"/>
      <c r="B240" s="6"/>
      <c r="C240" s="6" t="str">
        <f>VLOOKUP(B240,Sheet3!$B$2:$E$311,2,FALSE)</f>
        <v>#N/A</v>
      </c>
      <c r="D240" s="6" t="str">
        <f>VLOOKUP(B240,Sheet3!$B$2:$E$311,3,)</f>
        <v>#N/A</v>
      </c>
      <c r="E240" s="6" t="str">
        <f>VLOOKUP(B240,Sheet3!$B$2:$E$311,4,)</f>
        <v>#N/A</v>
      </c>
      <c r="F240" s="6"/>
      <c r="G240" s="6"/>
      <c r="H240" s="6"/>
    </row>
    <row r="241" ht="15.75" customHeight="1">
      <c r="A241" s="6"/>
      <c r="B241" s="6"/>
      <c r="C241" s="6" t="str">
        <f>VLOOKUP(B241,Sheet3!$B$2:$E$311,2,FALSE)</f>
        <v>#N/A</v>
      </c>
      <c r="D241" s="6" t="str">
        <f>VLOOKUP(B241,Sheet3!$B$2:$E$311,3,)</f>
        <v>#N/A</v>
      </c>
      <c r="E241" s="6" t="str">
        <f>VLOOKUP(B241,Sheet3!$B$2:$E$311,4,)</f>
        <v>#N/A</v>
      </c>
      <c r="F241" s="6"/>
      <c r="G241" s="6"/>
      <c r="H241" s="6"/>
    </row>
    <row r="242" ht="15.75" customHeight="1">
      <c r="A242" s="6"/>
      <c r="B242" s="6"/>
      <c r="C242" s="6" t="str">
        <f>VLOOKUP(B242,Sheet3!$B$2:$E$311,2,FALSE)</f>
        <v>#N/A</v>
      </c>
      <c r="D242" s="6" t="str">
        <f>VLOOKUP(B242,Sheet3!$B$2:$E$311,3,)</f>
        <v>#N/A</v>
      </c>
      <c r="E242" s="6" t="str">
        <f>VLOOKUP(B242,Sheet3!$B$2:$E$311,4,)</f>
        <v>#N/A</v>
      </c>
      <c r="F242" s="6"/>
      <c r="G242" s="6"/>
      <c r="H242" s="6"/>
    </row>
    <row r="243" ht="15.75" customHeight="1">
      <c r="A243" s="6"/>
      <c r="B243" s="6"/>
      <c r="C243" s="6" t="str">
        <f>VLOOKUP(B243,Sheet3!$B$2:$E$311,2,FALSE)</f>
        <v>#N/A</v>
      </c>
      <c r="D243" s="6" t="str">
        <f>VLOOKUP(B243,Sheet3!$B$2:$E$311,3,)</f>
        <v>#N/A</v>
      </c>
      <c r="E243" s="6" t="str">
        <f>VLOOKUP(B243,Sheet3!$B$2:$E$311,4,)</f>
        <v>#N/A</v>
      </c>
      <c r="F243" s="6"/>
      <c r="G243" s="6"/>
      <c r="H243" s="6"/>
    </row>
    <row r="244" ht="15.75" customHeight="1">
      <c r="A244" s="6"/>
      <c r="B244" s="6"/>
      <c r="C244" s="6" t="str">
        <f>VLOOKUP(B244,Sheet3!$B$2:$E$311,2,FALSE)</f>
        <v>#N/A</v>
      </c>
      <c r="D244" s="6" t="str">
        <f>VLOOKUP(B244,Sheet3!$B$2:$E$311,3,)</f>
        <v>#N/A</v>
      </c>
      <c r="E244" s="6" t="str">
        <f>VLOOKUP(B244,Sheet3!$B$2:$E$311,4,)</f>
        <v>#N/A</v>
      </c>
      <c r="F244" s="6"/>
      <c r="G244" s="6"/>
      <c r="H244" s="6"/>
    </row>
    <row r="245" ht="15.75" customHeight="1">
      <c r="A245" s="6"/>
      <c r="B245" s="6"/>
      <c r="C245" s="6" t="str">
        <f>VLOOKUP(B245,Sheet3!$B$2:$E$311,2,FALSE)</f>
        <v>#N/A</v>
      </c>
      <c r="D245" s="6" t="str">
        <f>VLOOKUP(B245,Sheet3!$B$2:$E$311,3,)</f>
        <v>#N/A</v>
      </c>
      <c r="E245" s="6" t="str">
        <f>VLOOKUP(B245,Sheet3!$B$2:$E$311,4,)</f>
        <v>#N/A</v>
      </c>
      <c r="F245" s="6"/>
      <c r="G245" s="6"/>
      <c r="H245" s="6"/>
    </row>
    <row r="246" ht="15.75" customHeight="1">
      <c r="A246" s="6"/>
      <c r="B246" s="6"/>
      <c r="C246" s="6" t="str">
        <f>VLOOKUP(B246,Sheet3!$B$2:$E$311,2,FALSE)</f>
        <v>#N/A</v>
      </c>
      <c r="D246" s="6" t="str">
        <f>VLOOKUP(B246,Sheet3!$B$2:$E$311,3,)</f>
        <v>#N/A</v>
      </c>
      <c r="E246" s="6" t="str">
        <f>VLOOKUP(B246,Sheet3!$B$2:$E$311,4,)</f>
        <v>#N/A</v>
      </c>
      <c r="F246" s="6"/>
      <c r="G246" s="6"/>
      <c r="H246" s="6"/>
    </row>
    <row r="247" ht="15.75" customHeight="1">
      <c r="A247" s="6"/>
      <c r="B247" s="6"/>
      <c r="C247" s="6" t="str">
        <f>VLOOKUP(B247,Sheet3!$B$2:$E$311,2,FALSE)</f>
        <v>#N/A</v>
      </c>
      <c r="D247" s="6" t="str">
        <f>VLOOKUP(B247,Sheet3!$B$2:$E$311,3,)</f>
        <v>#N/A</v>
      </c>
      <c r="E247" s="6" t="str">
        <f>VLOOKUP(B247,Sheet3!$B$2:$E$311,4,)</f>
        <v>#N/A</v>
      </c>
      <c r="F247" s="6"/>
      <c r="G247" s="6"/>
      <c r="H247" s="6"/>
    </row>
    <row r="248" ht="15.75" customHeight="1">
      <c r="A248" s="6"/>
      <c r="B248" s="6"/>
      <c r="C248" s="6" t="str">
        <f>VLOOKUP(B248,Sheet3!$B$2:$E$311,2,FALSE)</f>
        <v>#N/A</v>
      </c>
      <c r="D248" s="6" t="str">
        <f>VLOOKUP(B248,Sheet3!$B$2:$E$311,3,)</f>
        <v>#N/A</v>
      </c>
      <c r="E248" s="6" t="str">
        <f>VLOOKUP(B248,Sheet3!$B$2:$E$311,4,)</f>
        <v>#N/A</v>
      </c>
      <c r="F248" s="6"/>
      <c r="G248" s="6"/>
      <c r="H248" s="6"/>
    </row>
    <row r="249" ht="15.75" customHeight="1">
      <c r="A249" s="6"/>
      <c r="B249" s="6"/>
      <c r="C249" s="6" t="str">
        <f>VLOOKUP(B249,Sheet3!$B$2:$E$311,2,FALSE)</f>
        <v>#N/A</v>
      </c>
      <c r="D249" s="6" t="str">
        <f>VLOOKUP(B249,Sheet3!$B$2:$E$311,3,)</f>
        <v>#N/A</v>
      </c>
      <c r="E249" s="6" t="str">
        <f>VLOOKUP(B249,Sheet3!$B$2:$E$311,4,)</f>
        <v>#N/A</v>
      </c>
      <c r="F249" s="6"/>
      <c r="G249" s="6"/>
      <c r="H249" s="6"/>
    </row>
    <row r="250" ht="15.75" customHeight="1">
      <c r="A250" s="6"/>
      <c r="B250" s="6"/>
      <c r="C250" s="6" t="str">
        <f>VLOOKUP(B250,Sheet3!$B$2:$E$311,2,FALSE)</f>
        <v>#N/A</v>
      </c>
      <c r="D250" s="6" t="str">
        <f>VLOOKUP(B250,Sheet3!$B$2:$E$311,3,)</f>
        <v>#N/A</v>
      </c>
      <c r="E250" s="6" t="str">
        <f>VLOOKUP(B250,Sheet3!$B$2:$E$311,4,)</f>
        <v>#N/A</v>
      </c>
      <c r="F250" s="6"/>
      <c r="G250" s="6"/>
      <c r="H250" s="6"/>
    </row>
    <row r="251" ht="15.75" customHeight="1">
      <c r="A251" s="6"/>
      <c r="B251" s="6"/>
      <c r="C251" s="6" t="str">
        <f>VLOOKUP(B251,Sheet3!$B$2:$E$311,2,FALSE)</f>
        <v>#N/A</v>
      </c>
      <c r="D251" s="6" t="str">
        <f>VLOOKUP(B251,Sheet3!$B$2:$E$311,3,)</f>
        <v>#N/A</v>
      </c>
      <c r="E251" s="6" t="str">
        <f>VLOOKUP(B251,Sheet3!$B$2:$E$311,4,)</f>
        <v>#N/A</v>
      </c>
      <c r="F251" s="6"/>
      <c r="G251" s="6"/>
      <c r="H251" s="6"/>
    </row>
    <row r="252" ht="15.75" customHeight="1">
      <c r="A252" s="6"/>
      <c r="B252" s="6"/>
      <c r="C252" s="6" t="str">
        <f>VLOOKUP(B252,Sheet3!$B$2:$E$311,2,FALSE)</f>
        <v>#N/A</v>
      </c>
      <c r="D252" s="6" t="str">
        <f>VLOOKUP(B252,Sheet3!$B$2:$E$311,3,)</f>
        <v>#N/A</v>
      </c>
      <c r="E252" s="6" t="str">
        <f>VLOOKUP(B252,Sheet3!$B$2:$E$311,4,)</f>
        <v>#N/A</v>
      </c>
      <c r="F252" s="6"/>
      <c r="G252" s="6"/>
      <c r="H252" s="6"/>
    </row>
    <row r="253" ht="15.75" customHeight="1">
      <c r="A253" s="6"/>
      <c r="B253" s="6"/>
      <c r="C253" s="6" t="str">
        <f>VLOOKUP(B253,Sheet3!$B$2:$E$311,2,FALSE)</f>
        <v>#N/A</v>
      </c>
      <c r="D253" s="6" t="str">
        <f>VLOOKUP(B253,Sheet3!$B$2:$E$311,3,)</f>
        <v>#N/A</v>
      </c>
      <c r="E253" s="6" t="str">
        <f>VLOOKUP(B253,Sheet3!$B$2:$E$311,4,)</f>
        <v>#N/A</v>
      </c>
      <c r="F253" s="6"/>
      <c r="G253" s="6"/>
      <c r="H253" s="6"/>
    </row>
    <row r="254" ht="15.75" customHeight="1">
      <c r="A254" s="6"/>
      <c r="B254" s="6"/>
      <c r="C254" s="6" t="str">
        <f>VLOOKUP(B254,Sheet3!$B$2:$E$311,2,FALSE)</f>
        <v>#N/A</v>
      </c>
      <c r="D254" s="6" t="str">
        <f>VLOOKUP(B254,Sheet3!$B$2:$E$311,3,)</f>
        <v>#N/A</v>
      </c>
      <c r="E254" s="6" t="str">
        <f>VLOOKUP(B254,Sheet3!$B$2:$E$311,4,)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VLOOKUP(B255,Sheet3!$B$2:$E$311,2,FALSE)</f>
        <v>#N/A</v>
      </c>
      <c r="D255" s="6" t="str">
        <f>VLOOKUP(B255,Sheet3!$B$2:$E$311,3,)</f>
        <v>#N/A</v>
      </c>
      <c r="E255" s="6" t="str">
        <f>VLOOKUP(B255,Sheet3!$B$2:$E$311,4,)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VLOOKUP(B256,Sheet3!$B$2:$E$311,2,FALSE)</f>
        <v>#N/A</v>
      </c>
      <c r="D256" s="6" t="str">
        <f>VLOOKUP(B256,Sheet3!$B$2:$E$311,3,)</f>
        <v>#N/A</v>
      </c>
      <c r="E256" s="6" t="str">
        <f>VLOOKUP(B256,Sheet3!$B$2:$E$311,4,)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VLOOKUP(B257,Sheet3!$B$2:$E$311,2,FALSE)</f>
        <v>#N/A</v>
      </c>
      <c r="D257" s="6" t="str">
        <f>VLOOKUP(B257,Sheet3!$B$2:$E$311,3,)</f>
        <v>#N/A</v>
      </c>
      <c r="E257" s="6" t="str">
        <f>VLOOKUP(B257,Sheet3!$B$2:$E$311,4,)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VLOOKUP(B258,Sheet3!$B$2:$E$311,2,FALSE)</f>
        <v>#N/A</v>
      </c>
      <c r="D258" s="6" t="str">
        <f>VLOOKUP(B258,Sheet3!$B$2:$E$311,3,)</f>
        <v>#N/A</v>
      </c>
      <c r="E258" s="6" t="str">
        <f>VLOOKUP(B258,Sheet3!$B$2:$E$311,4,)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VLOOKUP(B259,Sheet3!$B$2:$E$311,2,FALSE)</f>
        <v>#N/A</v>
      </c>
      <c r="D259" s="6" t="str">
        <f>VLOOKUP(B259,Sheet3!$B$2:$E$311,3,)</f>
        <v>#N/A</v>
      </c>
      <c r="E259" s="6" t="str">
        <f>VLOOKUP(B259,Sheet3!$B$2:$E$311,4,)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VLOOKUP(B260,Sheet3!$B$2:$E$311,2,FALSE)</f>
        <v>#N/A</v>
      </c>
      <c r="D260" s="6" t="str">
        <f>VLOOKUP(B260,Sheet3!$B$2:$E$311,3,)</f>
        <v>#N/A</v>
      </c>
      <c r="E260" s="6" t="str">
        <f>VLOOKUP(B260,Sheet3!$B$2:$E$311,4,)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VLOOKUP(B261,Sheet3!$B$2:$E$311,2,FALSE)</f>
        <v>#N/A</v>
      </c>
      <c r="D261" s="6" t="str">
        <f>VLOOKUP(B261,Sheet3!$B$2:$E$311,3,)</f>
        <v>#N/A</v>
      </c>
      <c r="E261" s="6" t="str">
        <f>VLOOKUP(B261,Sheet3!$B$2:$E$311,4,)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VLOOKUP(B262,Sheet3!$B$2:$E$311,2,FALSE)</f>
        <v>#N/A</v>
      </c>
      <c r="D262" s="6" t="str">
        <f>VLOOKUP(B262,Sheet3!$B$2:$E$311,3,)</f>
        <v>#N/A</v>
      </c>
      <c r="E262" s="6" t="str">
        <f>VLOOKUP(B262,Sheet3!$B$2:$E$311,4,)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VLOOKUP(B263,Sheet3!$B$2:$E$311,2,FALSE)</f>
        <v>#N/A</v>
      </c>
      <c r="D263" s="6" t="str">
        <f>VLOOKUP(B263,Sheet3!$B$2:$E$311,3,)</f>
        <v>#N/A</v>
      </c>
      <c r="E263" s="6" t="str">
        <f>VLOOKUP(B263,Sheet3!$B$2:$E$311,4,)</f>
        <v>#N/A</v>
      </c>
      <c r="F263" s="6"/>
      <c r="G263" s="6"/>
      <c r="H263" s="6"/>
    </row>
    <row r="264" ht="15.75" customHeight="1">
      <c r="A264" s="6"/>
      <c r="B264" s="6"/>
      <c r="C264" s="6" t="str">
        <f>VLOOKUP(B264,Sheet3!$B$2:$E$311,2,FALSE)</f>
        <v>#N/A</v>
      </c>
      <c r="D264" s="6" t="str">
        <f>VLOOKUP(B264,Sheet3!$B$2:$E$311,3,)</f>
        <v>#N/A</v>
      </c>
      <c r="E264" s="6" t="str">
        <f>VLOOKUP(B264,Sheet3!$B$2:$E$311,4,)</f>
        <v>#N/A</v>
      </c>
      <c r="F264" s="6"/>
      <c r="G264" s="6"/>
      <c r="H264" s="6"/>
    </row>
    <row r="265" ht="15.75" customHeight="1">
      <c r="A265" s="6"/>
      <c r="B265" s="6"/>
      <c r="C265" s="6" t="str">
        <f>VLOOKUP(B265,Sheet3!$B$2:$E$311,2,FALSE)</f>
        <v>#N/A</v>
      </c>
      <c r="D265" s="6" t="str">
        <f>VLOOKUP(B265,Sheet3!$B$2:$E$311,3,)</f>
        <v>#N/A</v>
      </c>
      <c r="E265" s="6" t="str">
        <f>VLOOKUP(B265,Sheet3!$B$2:$E$311,4,)</f>
        <v>#N/A</v>
      </c>
      <c r="F265" s="6"/>
      <c r="G265" s="6"/>
      <c r="H265" s="6"/>
    </row>
    <row r="266" ht="15.75" customHeight="1">
      <c r="A266" s="6"/>
      <c r="B266" s="6"/>
      <c r="C266" s="6" t="str">
        <f>VLOOKUP(B266,Sheet3!$B$2:$E$311,2,FALSE)</f>
        <v>#N/A</v>
      </c>
      <c r="D266" s="6" t="str">
        <f>VLOOKUP(B266,Sheet3!$B$2:$E$311,3,)</f>
        <v>#N/A</v>
      </c>
      <c r="E266" s="6" t="str">
        <f>VLOOKUP(B266,Sheet3!$B$2:$E$311,4,)</f>
        <v>#N/A</v>
      </c>
      <c r="F266" s="6"/>
      <c r="G266" s="6"/>
      <c r="H266" s="6"/>
    </row>
    <row r="267" ht="15.75" customHeight="1">
      <c r="A267" s="6"/>
      <c r="B267" s="6"/>
      <c r="C267" s="6" t="str">
        <f>VLOOKUP(B267,Sheet3!$B$2:$E$311,2,FALSE)</f>
        <v>#N/A</v>
      </c>
      <c r="D267" s="6" t="str">
        <f>VLOOKUP(B267,Sheet3!$B$2:$E$311,3,)</f>
        <v>#N/A</v>
      </c>
      <c r="E267" s="6" t="str">
        <f>VLOOKUP(B267,Sheet3!$B$2:$E$311,4,)</f>
        <v>#N/A</v>
      </c>
      <c r="F267" s="6"/>
      <c r="G267" s="6"/>
      <c r="H267" s="6"/>
    </row>
    <row r="268" ht="15.75" customHeight="1">
      <c r="A268" s="6"/>
      <c r="B268" s="6"/>
      <c r="C268" s="6" t="str">
        <f>VLOOKUP(B268,Sheet3!$B$2:$E$311,2,FALSE)</f>
        <v>#N/A</v>
      </c>
      <c r="D268" s="6" t="str">
        <f>VLOOKUP(B268,Sheet3!$B$2:$E$311,3,)</f>
        <v>#N/A</v>
      </c>
      <c r="E268" s="6" t="str">
        <f>VLOOKUP(B268,Sheet3!$B$2:$E$311,4,)</f>
        <v>#N/A</v>
      </c>
      <c r="F268" s="6"/>
      <c r="G268" s="6"/>
      <c r="H268" s="6"/>
    </row>
    <row r="269" ht="15.75" customHeight="1">
      <c r="A269" s="6"/>
      <c r="B269" s="6"/>
      <c r="C269" s="6" t="str">
        <f>VLOOKUP(B269,Sheet3!$B$2:$E$311,2,FALSE)</f>
        <v>#N/A</v>
      </c>
      <c r="D269" s="6" t="str">
        <f>VLOOKUP(B269,Sheet3!$B$2:$E$311,3,)</f>
        <v>#N/A</v>
      </c>
      <c r="E269" s="6" t="str">
        <f>VLOOKUP(B269,Sheet3!$B$2:$E$311,4,)</f>
        <v>#N/A</v>
      </c>
      <c r="F269" s="6"/>
      <c r="G269" s="6"/>
      <c r="H269" s="6"/>
    </row>
    <row r="270" ht="15.75" customHeight="1">
      <c r="A270" s="6"/>
      <c r="B270" s="6"/>
      <c r="C270" s="6" t="str">
        <f>VLOOKUP(B270,Sheet3!$B$2:$E$311,2,FALSE)</f>
        <v>#N/A</v>
      </c>
      <c r="D270" s="6" t="str">
        <f>VLOOKUP(B270,Sheet3!$B$2:$E$311,3,)</f>
        <v>#N/A</v>
      </c>
      <c r="E270" s="6" t="str">
        <f>VLOOKUP(B270,Sheet3!$B$2:$E$311,4,)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VLOOKUP(B271,Sheet3!$B$2:$E$311,2,FALSE)</f>
        <v>#N/A</v>
      </c>
      <c r="D271" s="6" t="str">
        <f>VLOOKUP(B271,Sheet3!$B$2:$E$311,3,)</f>
        <v>#N/A</v>
      </c>
      <c r="E271" s="6" t="str">
        <f>VLOOKUP(B271,Sheet3!$B$2:$E$311,4,)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VLOOKUP(B272,Sheet3!$B$2:$E$311,2,FALSE)</f>
        <v>#N/A</v>
      </c>
      <c r="D272" s="6" t="str">
        <f>VLOOKUP(B272,Sheet3!$B$2:$E$311,3,)</f>
        <v>#N/A</v>
      </c>
      <c r="E272" s="6" t="str">
        <f>VLOOKUP(B272,Sheet3!$B$2:$E$311,4,)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VLOOKUP(B273,Sheet3!$B$2:$E$311,2,FALSE)</f>
        <v>#N/A</v>
      </c>
      <c r="D273" s="6" t="str">
        <f>VLOOKUP(B273,Sheet3!$B$2:$E$311,3,)</f>
        <v>#N/A</v>
      </c>
      <c r="E273" s="6" t="str">
        <f>VLOOKUP(B273,Sheet3!$B$2:$E$311,4,)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VLOOKUP(B274,Sheet3!$B$2:$E$311,2,FALSE)</f>
        <v>#N/A</v>
      </c>
      <c r="D274" s="6" t="str">
        <f>VLOOKUP(B274,Sheet3!$B$2:$E$311,3,)</f>
        <v>#N/A</v>
      </c>
      <c r="E274" s="6" t="str">
        <f>VLOOKUP(B274,Sheet3!$B$2:$E$311,4,)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VLOOKUP(B275,Sheet3!$B$2:$E$311,2,FALSE)</f>
        <v>#N/A</v>
      </c>
      <c r="D275" s="6" t="str">
        <f>VLOOKUP(B275,Sheet3!$B$2:$E$311,3,)</f>
        <v>#N/A</v>
      </c>
      <c r="E275" s="6" t="str">
        <f>VLOOKUP(B275,Sheet3!$B$2:$E$311,4,)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VLOOKUP(B276,Sheet3!$B$2:$E$311,2,FALSE)</f>
        <v>#N/A</v>
      </c>
      <c r="D276" s="6" t="str">
        <f>VLOOKUP(B276,Sheet3!$B$2:$E$311,3,)</f>
        <v>#N/A</v>
      </c>
      <c r="E276" s="6" t="str">
        <f>VLOOKUP(B276,Sheet3!$B$2:$E$311,4,)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VLOOKUP(B277,Sheet3!$B$2:$E$311,2,FALSE)</f>
        <v>#N/A</v>
      </c>
      <c r="D277" s="6" t="str">
        <f>VLOOKUP(B277,Sheet3!$B$2:$E$311,3,)</f>
        <v>#N/A</v>
      </c>
      <c r="E277" s="6" t="str">
        <f>VLOOKUP(B277,Sheet3!$B$2:$E$311,4,)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VLOOKUP(B278,Sheet3!$B$2:$E$311,2,FALSE)</f>
        <v>#N/A</v>
      </c>
      <c r="D278" s="6" t="str">
        <f>VLOOKUP(B278,Sheet3!$B$2:$E$311,3,)</f>
        <v>#N/A</v>
      </c>
      <c r="E278" s="6" t="str">
        <f>VLOOKUP(B278,Sheet3!$B$2:$E$311,4,)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VLOOKUP(B279,Sheet3!$B$2:$E$311,2,FALSE)</f>
        <v>#N/A</v>
      </c>
      <c r="D279" s="6" t="str">
        <f>VLOOKUP(B279,Sheet3!$B$2:$E$311,3,)</f>
        <v>#N/A</v>
      </c>
      <c r="E279" s="6" t="str">
        <f>VLOOKUP(B279,Sheet3!$B$2:$E$311,4,)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VLOOKUP(B280,Sheet3!$B$2:$E$311,2,FALSE)</f>
        <v>#N/A</v>
      </c>
      <c r="D280" s="6" t="str">
        <f>VLOOKUP(B280,Sheet3!$B$2:$E$311,3,)</f>
        <v>#N/A</v>
      </c>
      <c r="E280" s="6" t="str">
        <f>VLOOKUP(B280,Sheet3!$B$2:$E$311,4,)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VLOOKUP(B281,Sheet3!$B$2:$E$311,2,FALSE)</f>
        <v>#N/A</v>
      </c>
      <c r="D281" s="6" t="str">
        <f>VLOOKUP(B281,Sheet3!$B$2:$E$311,3,)</f>
        <v>#N/A</v>
      </c>
      <c r="E281" s="6" t="str">
        <f>VLOOKUP(B281,Sheet3!$B$2:$E$311,4,)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VLOOKUP(B282,Sheet3!$B$2:$E$311,2,FALSE)</f>
        <v>#N/A</v>
      </c>
      <c r="D282" s="6" t="str">
        <f>VLOOKUP(B282,Sheet3!$B$2:$E$311,3,)</f>
        <v>#N/A</v>
      </c>
      <c r="E282" s="6" t="str">
        <f>VLOOKUP(B282,Sheet3!$B$2:$E$311,4,)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VLOOKUP(B283,Sheet3!$B$2:$E$311,2,FALSE)</f>
        <v>#N/A</v>
      </c>
      <c r="D283" s="6" t="str">
        <f>VLOOKUP(B283,Sheet3!$B$2:$E$311,3,)</f>
        <v>#N/A</v>
      </c>
      <c r="E283" s="6" t="str">
        <f>VLOOKUP(B283,Sheet3!$B$2:$E$311,4,)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VLOOKUP(B284,Sheet3!$B$2:$E$311,2,FALSE)</f>
        <v>#N/A</v>
      </c>
      <c r="D284" s="6" t="str">
        <f>VLOOKUP(B284,Sheet3!$B$2:$E$311,3,)</f>
        <v>#N/A</v>
      </c>
      <c r="E284" s="6" t="str">
        <f>VLOOKUP(B284,Sheet3!$B$2:$E$311,4,)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VLOOKUP(B285,Sheet3!$B$2:$E$311,2,FALSE)</f>
        <v>#N/A</v>
      </c>
      <c r="D285" s="6" t="str">
        <f>VLOOKUP(B285,Sheet3!$B$2:$E$311,3,)</f>
        <v>#N/A</v>
      </c>
      <c r="E285" s="6" t="str">
        <f>VLOOKUP(B285,Sheet3!$B$2:$E$311,4,)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VLOOKUP(B286,Sheet3!$B$2:$E$311,2,FALSE)</f>
        <v>#N/A</v>
      </c>
      <c r="D286" s="6" t="str">
        <f>VLOOKUP(B286,Sheet3!$B$2:$E$311,3,)</f>
        <v>#N/A</v>
      </c>
      <c r="E286" s="6" t="str">
        <f>VLOOKUP(B286,Sheet3!$B$2:$E$311,4,)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VLOOKUP(B287,Sheet3!$B$2:$E$311,2,FALSE)</f>
        <v>#N/A</v>
      </c>
      <c r="D287" s="6" t="str">
        <f>VLOOKUP(B287,Sheet3!$B$2:$E$311,3,)</f>
        <v>#N/A</v>
      </c>
      <c r="E287" s="6" t="str">
        <f>VLOOKUP(B287,Sheet3!$B$2:$E$311,4,)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VLOOKUP(B288,Sheet3!$B$2:$E$311,2,FALSE)</f>
        <v>#N/A</v>
      </c>
      <c r="D288" s="6" t="str">
        <f>VLOOKUP(B288,Sheet3!$B$2:$E$311,3,)</f>
        <v>#N/A</v>
      </c>
      <c r="E288" s="6" t="str">
        <f>VLOOKUP(B288,Sheet3!$B$2:$E$311,4,)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VLOOKUP(B289,Sheet3!$B$2:$E$311,2,FALSE)</f>
        <v>#N/A</v>
      </c>
      <c r="D289" s="6" t="str">
        <f>VLOOKUP(B289,Sheet3!$B$2:$E$311,3,)</f>
        <v>#N/A</v>
      </c>
      <c r="E289" s="6" t="str">
        <f>VLOOKUP(B289,Sheet3!$B$2:$E$311,4,)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VLOOKUP(B290,Sheet3!$B$2:$E$311,2,FALSE)</f>
        <v>#N/A</v>
      </c>
      <c r="D290" s="6" t="str">
        <f>VLOOKUP(B290,Sheet3!$B$2:$E$311,3,)</f>
        <v>#N/A</v>
      </c>
      <c r="E290" s="6" t="str">
        <f>VLOOKUP(B290,Sheet3!$B$2:$E$311,4,)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VLOOKUP(B291,Sheet3!$B$2:$E$311,2,FALSE)</f>
        <v>#N/A</v>
      </c>
      <c r="D291" s="6" t="str">
        <f>VLOOKUP(B291,Sheet3!$B$2:$E$311,3,)</f>
        <v>#N/A</v>
      </c>
      <c r="E291" s="6" t="str">
        <f>VLOOKUP(B291,Sheet3!$B$2:$E$311,4,)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VLOOKUP(B292,Sheet3!$B$2:$E$311,2,FALSE)</f>
        <v>#N/A</v>
      </c>
      <c r="D292" s="6" t="str">
        <f>VLOOKUP(B292,Sheet3!$B$2:$E$311,3,)</f>
        <v>#N/A</v>
      </c>
      <c r="E292" s="6" t="str">
        <f>VLOOKUP(B292,Sheet3!$B$2:$E$311,4,)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VLOOKUP(B293,Sheet3!$B$2:$E$311,2,FALSE)</f>
        <v>#N/A</v>
      </c>
      <c r="D293" s="6" t="str">
        <f>VLOOKUP(B293,Sheet3!$B$2:$E$311,3,)</f>
        <v>#N/A</v>
      </c>
      <c r="E293" s="6" t="str">
        <f>VLOOKUP(B293,Sheet3!$B$2:$E$311,4,)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VLOOKUP(B294,Sheet3!$B$2:$E$311,2,FALSE)</f>
        <v>#N/A</v>
      </c>
      <c r="D294" s="6" t="str">
        <f>VLOOKUP(B294,Sheet3!$B$2:$E$311,3,)</f>
        <v>#N/A</v>
      </c>
      <c r="E294" s="6" t="str">
        <f>VLOOKUP(B294,Sheet3!$B$2:$E$311,4,)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VLOOKUP(B295,Sheet3!$B$2:$E$311,2,FALSE)</f>
        <v>#N/A</v>
      </c>
      <c r="D295" s="6" t="str">
        <f>VLOOKUP(B295,Sheet3!$B$2:$E$311,3,)</f>
        <v>#N/A</v>
      </c>
      <c r="E295" s="6" t="str">
        <f>VLOOKUP(B295,Sheet3!$B$2:$E$311,4,)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VLOOKUP(B296,Sheet3!$B$2:$E$311,2,FALSE)</f>
        <v>#N/A</v>
      </c>
      <c r="D296" s="6" t="str">
        <f>VLOOKUP(B296,Sheet3!$B$2:$E$311,3,)</f>
        <v>#N/A</v>
      </c>
      <c r="E296" s="6" t="str">
        <f>VLOOKUP(B296,Sheet3!$B$2:$E$311,4,)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VLOOKUP(B297,Sheet3!$B$2:$E$311,2,FALSE)</f>
        <v>#N/A</v>
      </c>
      <c r="D297" s="6" t="str">
        <f>VLOOKUP(B297,Sheet3!$B$2:$E$311,3,)</f>
        <v>#N/A</v>
      </c>
      <c r="E297" s="6" t="str">
        <f>VLOOKUP(B297,Sheet3!$B$2:$E$311,4,)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VLOOKUP(B298,Sheet3!$B$2:$E$311,2,FALSE)</f>
        <v>#N/A</v>
      </c>
      <c r="D298" s="6" t="str">
        <f>VLOOKUP(B298,Sheet3!$B$2:$E$311,3,)</f>
        <v>#N/A</v>
      </c>
      <c r="E298" s="6" t="str">
        <f>VLOOKUP(B298,Sheet3!$B$2:$E$311,4,)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VLOOKUP(B299,Sheet3!$B$2:$E$311,2,FALSE)</f>
        <v>#N/A</v>
      </c>
      <c r="D299" s="6" t="str">
        <f>VLOOKUP(B299,Sheet3!$B$2:$E$311,3,)</f>
        <v>#N/A</v>
      </c>
      <c r="E299" s="6" t="str">
        <f>VLOOKUP(B299,Sheet3!$B$2:$E$311,4,)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VLOOKUP(B300,Sheet3!$B$2:$E$311,2,FALSE)</f>
        <v>#N/A</v>
      </c>
      <c r="D300" s="6" t="str">
        <f>VLOOKUP(B300,Sheet3!$B$2:$E$311,3,)</f>
        <v>#N/A</v>
      </c>
      <c r="E300" s="6" t="str">
        <f>VLOOKUP(B300,Sheet3!$B$2:$E$311,4,)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VLOOKUP(B301,Sheet3!$B$2:$E$311,2,FALSE)</f>
        <v>#N/A</v>
      </c>
      <c r="D301" s="6" t="str">
        <f>VLOOKUP(B301,Sheet3!$B$2:$E$311,3,)</f>
        <v>#N/A</v>
      </c>
      <c r="E301" s="6" t="str">
        <f>VLOOKUP(B301,Sheet3!$B$2:$E$311,4,)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VLOOKUP(B302,Sheet3!$B$2:$E$311,2,FALSE)</f>
        <v>#N/A</v>
      </c>
      <c r="D302" s="6" t="str">
        <f>VLOOKUP(B302,Sheet3!$B$2:$E$311,3,)</f>
        <v>#N/A</v>
      </c>
      <c r="E302" s="6" t="str">
        <f>VLOOKUP(B302,Sheet3!$B$2:$E$311,4,)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VLOOKUP(B303,Sheet3!$B$2:$E$311,2,FALSE)</f>
        <v>#N/A</v>
      </c>
      <c r="D303" s="6" t="str">
        <f>VLOOKUP(B303,Sheet3!$B$2:$E$311,3,)</f>
        <v>#N/A</v>
      </c>
      <c r="E303" s="6" t="str">
        <f>VLOOKUP(B303,Sheet3!$B$2:$E$311,4,)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VLOOKUP(B304,Sheet3!$B$2:$E$311,2,FALSE)</f>
        <v>#N/A</v>
      </c>
      <c r="D304" s="6" t="str">
        <f>VLOOKUP(B304,Sheet3!$B$2:$E$311,3,)</f>
        <v>#N/A</v>
      </c>
      <c r="E304" s="6" t="str">
        <f>VLOOKUP(B304,Sheet3!$B$2:$E$311,4,)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VLOOKUP(B305,Sheet3!$B$2:$E$311,2,FALSE)</f>
        <v>#N/A</v>
      </c>
      <c r="D305" s="6" t="str">
        <f>VLOOKUP(B305,Sheet3!$B$2:$E$311,3,)</f>
        <v>#N/A</v>
      </c>
      <c r="E305" s="6" t="str">
        <f>VLOOKUP(B305,Sheet3!$B$2:$E$311,4,)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VLOOKUP(B306,Sheet3!$B$2:$E$311,2,FALSE)</f>
        <v>#N/A</v>
      </c>
      <c r="D306" s="6" t="str">
        <f>VLOOKUP(B306,Sheet3!$B$2:$E$311,3,)</f>
        <v>#N/A</v>
      </c>
      <c r="E306" s="6" t="str">
        <f>VLOOKUP(B306,Sheet3!$B$2:$E$311,4,)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VLOOKUP(B307,Sheet3!$B$2:$E$311,2,FALSE)</f>
        <v>#N/A</v>
      </c>
      <c r="D307" s="6" t="str">
        <f>VLOOKUP(B307,Sheet3!$B$2:$E$311,3,)</f>
        <v>#N/A</v>
      </c>
      <c r="E307" s="6" t="str">
        <f>VLOOKUP(B307,Sheet3!$B$2:$E$311,4,)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VLOOKUP(B308,Sheet3!$B$2:$E$311,2,FALSE)</f>
        <v>#N/A</v>
      </c>
      <c r="D308" s="6" t="str">
        <f>VLOOKUP(B308,Sheet3!$B$2:$E$311,3,)</f>
        <v>#N/A</v>
      </c>
      <c r="E308" s="6" t="str">
        <f>VLOOKUP(B308,Sheet3!$B$2:$E$311,4,)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VLOOKUP(B309,Sheet3!$B$2:$E$311,2,FALSE)</f>
        <v>#N/A</v>
      </c>
      <c r="D309" s="6" t="str">
        <f>VLOOKUP(B309,Sheet3!$B$2:$E$311,3,)</f>
        <v>#N/A</v>
      </c>
      <c r="E309" s="6" t="str">
        <f>VLOOKUP(B309,Sheet3!$B$2:$E$311,4,)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VLOOKUP(B310,Sheet3!$B$2:$E$311,2,FALSE)</f>
        <v>#N/A</v>
      </c>
      <c r="D310" s="6" t="str">
        <f>VLOOKUP(B310,Sheet3!$B$2:$E$311,3,)</f>
        <v>#N/A</v>
      </c>
      <c r="E310" s="6" t="str">
        <f>VLOOKUP(B310,Sheet3!$B$2:$E$311,4,)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VLOOKUP(B311,Sheet3!$B$2:$E$311,2,FALSE)</f>
        <v>#N/A</v>
      </c>
      <c r="D311" s="6" t="str">
        <f>VLOOKUP(B311,Sheet3!$B$2:$E$311,3,)</f>
        <v>#N/A</v>
      </c>
      <c r="E311" s="6" t="str">
        <f>VLOOKUP(B311,Sheet3!$B$2:$E$311,4,)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VLOOKUP(B312,Sheet3!$B$2:$E$311,2,FALSE)</f>
        <v>#N/A</v>
      </c>
      <c r="D312" s="6" t="str">
        <f>VLOOKUP(B312,Sheet3!$B$2:$E$311,3,)</f>
        <v>#N/A</v>
      </c>
      <c r="E312" s="6" t="str">
        <f>VLOOKUP(B312,Sheet3!$B$2:$E$311,4,)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VLOOKUP(B313,Sheet3!$B$2:$E$311,2,FALSE)</f>
        <v>#N/A</v>
      </c>
      <c r="D313" s="6" t="str">
        <f>VLOOKUP(B313,Sheet3!$B$2:$E$311,3,)</f>
        <v>#N/A</v>
      </c>
      <c r="E313" s="6" t="str">
        <f>VLOOKUP(B313,Sheet3!$B$2:$E$311,4,)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VLOOKUP(B314,Sheet3!$B$2:$E$311,2,FALSE)</f>
        <v>#N/A</v>
      </c>
      <c r="D314" s="6" t="str">
        <f>VLOOKUP(B314,Sheet3!$B$2:$E$311,3,)</f>
        <v>#N/A</v>
      </c>
      <c r="E314" s="6" t="str">
        <f>VLOOKUP(B314,Sheet3!$B$2:$E$311,4,)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VLOOKUP(B315,Sheet3!$B$2:$E$311,2,FALSE)</f>
        <v>#N/A</v>
      </c>
      <c r="D315" s="6" t="str">
        <f>VLOOKUP(B315,Sheet3!$B$2:$E$311,3,)</f>
        <v>#N/A</v>
      </c>
      <c r="E315" s="6" t="str">
        <f>VLOOKUP(B315,Sheet3!$B$2:$E$311,4,)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VLOOKUP(B316,Sheet3!$B$2:$E$311,2,FALSE)</f>
        <v>#N/A</v>
      </c>
      <c r="D316" s="6" t="str">
        <f>VLOOKUP(B316,Sheet3!$B$2:$E$311,3,)</f>
        <v>#N/A</v>
      </c>
      <c r="E316" s="6" t="str">
        <f>VLOOKUP(B316,Sheet3!$B$2:$E$311,4,)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VLOOKUP(B317,Sheet3!$B$2:$E$311,2,FALSE)</f>
        <v>#N/A</v>
      </c>
      <c r="D317" s="6" t="str">
        <f>VLOOKUP(B317,Sheet3!$B$2:$E$311,3,)</f>
        <v>#N/A</v>
      </c>
      <c r="E317" s="6" t="str">
        <f>VLOOKUP(B317,Sheet3!$B$2:$E$311,4,)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VLOOKUP(B318,Sheet3!$B$2:$E$311,2,FALSE)</f>
        <v>#N/A</v>
      </c>
      <c r="D318" s="6" t="str">
        <f>VLOOKUP(B318,Sheet3!$B$2:$E$311,3,)</f>
        <v>#N/A</v>
      </c>
      <c r="E318" s="6" t="str">
        <f>VLOOKUP(B318,Sheet3!$B$2:$E$311,4,)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VLOOKUP(B319,Sheet3!$B$2:$E$311,2,FALSE)</f>
        <v>#N/A</v>
      </c>
      <c r="D319" s="6" t="str">
        <f>VLOOKUP(B319,Sheet3!$B$2:$E$311,3,)</f>
        <v>#N/A</v>
      </c>
      <c r="E319" s="6" t="str">
        <f>VLOOKUP(B319,Sheet3!$B$2:$E$311,4,)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VLOOKUP(B320,Sheet3!$B$2:$E$311,2,FALSE)</f>
        <v>#N/A</v>
      </c>
      <c r="D320" s="6" t="str">
        <f>VLOOKUP(B320,Sheet3!$B$2:$E$311,3,)</f>
        <v>#N/A</v>
      </c>
      <c r="E320" s="6" t="str">
        <f>VLOOKUP(B320,Sheet3!$B$2:$E$311,4,)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VLOOKUP(B321,Sheet3!$B$2:$E$311,2,FALSE)</f>
        <v>#N/A</v>
      </c>
      <c r="D321" s="6" t="str">
        <f>VLOOKUP(B321,Sheet3!$B$2:$E$311,3,)</f>
        <v>#N/A</v>
      </c>
      <c r="E321" s="6" t="str">
        <f>VLOOKUP(B321,Sheet3!$B$2:$E$311,4,)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VLOOKUP(B322,Sheet3!$B$2:$E$311,2,FALSE)</f>
        <v>#N/A</v>
      </c>
      <c r="D322" s="6" t="str">
        <f>VLOOKUP(B322,Sheet3!$B$2:$E$311,3,)</f>
        <v>#N/A</v>
      </c>
      <c r="E322" s="6" t="str">
        <f>VLOOKUP(B322,Sheet3!$B$2:$E$311,4,)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VLOOKUP(B323,Sheet3!$B$2:$E$311,2,FALSE)</f>
        <v>#N/A</v>
      </c>
      <c r="D323" s="6" t="str">
        <f>VLOOKUP(B323,Sheet3!$B$2:$E$311,3,)</f>
        <v>#N/A</v>
      </c>
      <c r="E323" s="6" t="str">
        <f>VLOOKUP(B323,Sheet3!$B$2:$E$311,4,)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VLOOKUP(B324,Sheet3!$B$2:$E$311,2,FALSE)</f>
        <v>#N/A</v>
      </c>
      <c r="D324" s="6" t="str">
        <f>VLOOKUP(B324,Sheet3!$B$2:$E$311,3,)</f>
        <v>#N/A</v>
      </c>
      <c r="E324" s="6" t="str">
        <f>VLOOKUP(B324,Sheet3!$B$2:$E$311,4,)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VLOOKUP(B325,Sheet3!$B$2:$E$311,2,FALSE)</f>
        <v>#N/A</v>
      </c>
      <c r="D325" s="6" t="str">
        <f>VLOOKUP(B325,Sheet3!$B$2:$E$311,3,)</f>
        <v>#N/A</v>
      </c>
      <c r="E325" s="6" t="str">
        <f>VLOOKUP(B325,Sheet3!$B$2:$E$311,4,)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VLOOKUP(B326,Sheet3!$B$2:$E$311,2,FALSE)</f>
        <v>#N/A</v>
      </c>
      <c r="D326" s="6" t="str">
        <f>VLOOKUP(B326,Sheet3!$B$2:$E$311,3,)</f>
        <v>#N/A</v>
      </c>
      <c r="E326" s="6" t="str">
        <f>VLOOKUP(B326,Sheet3!$B$2:$E$311,4,)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VLOOKUP(B327,Sheet3!$B$2:$E$311,2,FALSE)</f>
        <v>#N/A</v>
      </c>
      <c r="D327" s="6" t="str">
        <f>VLOOKUP(B327,Sheet3!$B$2:$E$311,3,)</f>
        <v>#N/A</v>
      </c>
      <c r="E327" s="6" t="str">
        <f>VLOOKUP(B327,Sheet3!$B$2:$E$311,4,)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VLOOKUP(B328,Sheet3!$B$2:$E$311,2,FALSE)</f>
        <v>#N/A</v>
      </c>
      <c r="D328" s="6" t="str">
        <f>VLOOKUP(B328,Sheet3!$B$2:$E$311,3,)</f>
        <v>#N/A</v>
      </c>
      <c r="E328" s="6" t="str">
        <f>VLOOKUP(B328,Sheet3!$B$2:$E$311,4,)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VLOOKUP(B329,Sheet3!$B$2:$E$311,2,FALSE)</f>
        <v>#N/A</v>
      </c>
      <c r="D329" s="6" t="str">
        <f>VLOOKUP(B329,Sheet3!$B$2:$E$311,3,)</f>
        <v>#N/A</v>
      </c>
      <c r="E329" s="6" t="str">
        <f>VLOOKUP(B329,Sheet3!$B$2:$E$311,4,)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VLOOKUP(B330,Sheet3!$B$2:$E$311,2,FALSE)</f>
        <v>#N/A</v>
      </c>
      <c r="D330" s="6" t="str">
        <f>VLOOKUP(B330,Sheet3!$B$2:$E$311,3,)</f>
        <v>#N/A</v>
      </c>
      <c r="E330" s="6" t="str">
        <f>VLOOKUP(B330,Sheet3!$B$2:$E$311,4,)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VLOOKUP(B331,Sheet3!$B$2:$E$311,2,FALSE)</f>
        <v>#N/A</v>
      </c>
      <c r="D331" s="6" t="str">
        <f>VLOOKUP(B331,Sheet3!$B$2:$E$311,3,)</f>
        <v>#N/A</v>
      </c>
      <c r="E331" s="6" t="str">
        <f>VLOOKUP(B331,Sheet3!$B$2:$E$311,4,)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VLOOKUP(B332,Sheet3!$B$2:$E$311,2,FALSE)</f>
        <v>#N/A</v>
      </c>
      <c r="D332" s="6" t="str">
        <f>VLOOKUP(B332,Sheet3!$B$2:$E$311,3,)</f>
        <v>#N/A</v>
      </c>
      <c r="E332" s="6" t="str">
        <f>VLOOKUP(B332,Sheet3!$B$2:$E$311,4,)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VLOOKUP(B333,Sheet3!$B$2:$E$311,2,FALSE)</f>
        <v>#N/A</v>
      </c>
      <c r="D333" s="6" t="str">
        <f>VLOOKUP(B333,Sheet3!$B$2:$E$311,3,)</f>
        <v>#N/A</v>
      </c>
      <c r="E333" s="6" t="str">
        <f>VLOOKUP(B333,Sheet3!$B$2:$E$311,4,)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VLOOKUP(B334,Sheet3!$B$2:$E$311,2,FALSE)</f>
        <v>#N/A</v>
      </c>
      <c r="D334" s="6" t="str">
        <f>VLOOKUP(B334,Sheet3!$B$2:$E$311,3,)</f>
        <v>#N/A</v>
      </c>
      <c r="E334" s="6" t="str">
        <f>VLOOKUP(B334,Sheet3!$B$2:$E$311,4,)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VLOOKUP(B335,Sheet3!$B$2:$E$311,2,FALSE)</f>
        <v>#N/A</v>
      </c>
      <c r="D335" s="6" t="str">
        <f>VLOOKUP(B335,Sheet3!$B$2:$E$311,3,)</f>
        <v>#N/A</v>
      </c>
      <c r="E335" s="6" t="str">
        <f>VLOOKUP(B335,Sheet3!$B$2:$E$311,4,)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VLOOKUP(B336,Sheet3!$B$2:$E$311,2,FALSE)</f>
        <v>#N/A</v>
      </c>
      <c r="D336" s="6" t="str">
        <f>VLOOKUP(B336,Sheet3!$B$2:$E$311,3,)</f>
        <v>#N/A</v>
      </c>
      <c r="E336" s="6" t="str">
        <f>VLOOKUP(B336,Sheet3!$B$2:$E$311,4,)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VLOOKUP(B337,Sheet3!$B$2:$E$311,2,FALSE)</f>
        <v>#N/A</v>
      </c>
      <c r="D337" s="6" t="str">
        <f>VLOOKUP(B337,Sheet3!$B$2:$E$311,3,)</f>
        <v>#N/A</v>
      </c>
      <c r="E337" s="6" t="str">
        <f>VLOOKUP(B337,Sheet3!$B$2:$E$311,4,)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VLOOKUP(B338,Sheet3!$B$2:$E$311,2,FALSE)</f>
        <v>#N/A</v>
      </c>
      <c r="D338" s="6" t="str">
        <f>VLOOKUP(B338,Sheet3!$B$2:$E$311,3,)</f>
        <v>#N/A</v>
      </c>
      <c r="E338" s="6" t="str">
        <f>VLOOKUP(B338,Sheet3!$B$2:$E$311,4,)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VLOOKUP(B339,Sheet3!$B$2:$E$311,2,FALSE)</f>
        <v>#N/A</v>
      </c>
      <c r="D339" s="6" t="str">
        <f>VLOOKUP(B339,Sheet3!$B$2:$E$311,3,)</f>
        <v>#N/A</v>
      </c>
      <c r="E339" s="6" t="str">
        <f>VLOOKUP(B339,Sheet3!$B$2:$E$311,4,)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VLOOKUP(B340,Sheet3!$B$2:$E$311,2,FALSE)</f>
        <v>#N/A</v>
      </c>
      <c r="D340" s="6" t="str">
        <f>VLOOKUP(B340,Sheet3!$B$2:$E$311,3,)</f>
        <v>#N/A</v>
      </c>
      <c r="E340" s="6" t="str">
        <f>VLOOKUP(B340,Sheet3!$B$2:$E$311,4,)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VLOOKUP(B341,Sheet3!$B$2:$E$311,2,FALSE)</f>
        <v>#N/A</v>
      </c>
      <c r="D341" s="6" t="str">
        <f>VLOOKUP(B341,Sheet3!$B$2:$E$311,3,)</f>
        <v>#N/A</v>
      </c>
      <c r="E341" s="6" t="str">
        <f>VLOOKUP(B341,Sheet3!$B$2:$E$311,4,)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VLOOKUP(B342,Sheet3!$B$2:$E$311,2,FALSE)</f>
        <v>#N/A</v>
      </c>
      <c r="D342" s="6" t="str">
        <f>VLOOKUP(B342,Sheet3!$B$2:$E$311,3,)</f>
        <v>#N/A</v>
      </c>
      <c r="E342" s="6" t="str">
        <f>VLOOKUP(B342,Sheet3!$B$2:$E$311,4,)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VLOOKUP(B343,Sheet3!$B$2:$E$311,2,FALSE)</f>
        <v>#N/A</v>
      </c>
      <c r="D343" s="6" t="str">
        <f>VLOOKUP(B343,Sheet3!$B$2:$E$311,3,)</f>
        <v>#N/A</v>
      </c>
      <c r="E343" s="6" t="str">
        <f>VLOOKUP(B343,Sheet3!$B$2:$E$311,4,)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VLOOKUP(B344,Sheet3!$B$2:$E$311,2,FALSE)</f>
        <v>#N/A</v>
      </c>
      <c r="D344" s="6" t="str">
        <f>VLOOKUP(B344,Sheet3!$B$2:$E$311,3,)</f>
        <v>#N/A</v>
      </c>
      <c r="E344" s="6" t="str">
        <f>VLOOKUP(B344,Sheet3!$B$2:$E$311,4,)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VLOOKUP(B345,Sheet3!$B$2:$E$311,2,FALSE)</f>
        <v>#N/A</v>
      </c>
      <c r="D345" s="6" t="str">
        <f>VLOOKUP(B345,Sheet3!$B$2:$E$311,3,)</f>
        <v>#N/A</v>
      </c>
      <c r="E345" s="6" t="str">
        <f>VLOOKUP(B345,Sheet3!$B$2:$E$311,4,)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VLOOKUP(B346,Sheet3!$B$2:$E$311,2,FALSE)</f>
        <v>#N/A</v>
      </c>
      <c r="D346" s="6" t="str">
        <f>VLOOKUP(B346,Sheet3!$B$2:$E$311,3,)</f>
        <v>#N/A</v>
      </c>
      <c r="E346" s="6" t="str">
        <f>VLOOKUP(B346,Sheet3!$B$2:$E$311,4,)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VLOOKUP(B347,Sheet3!$B$2:$E$311,2,FALSE)</f>
        <v>#N/A</v>
      </c>
      <c r="D347" s="6" t="str">
        <f>VLOOKUP(B347,Sheet3!$B$2:$E$311,3,)</f>
        <v>#N/A</v>
      </c>
      <c r="E347" s="6" t="str">
        <f>VLOOKUP(B347,Sheet3!$B$2:$E$311,4,)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VLOOKUP(B348,Sheet3!$B$2:$E$311,2,FALSE)</f>
        <v>#N/A</v>
      </c>
      <c r="D348" s="6" t="str">
        <f>VLOOKUP(B348,Sheet3!$B$2:$E$311,3,)</f>
        <v>#N/A</v>
      </c>
      <c r="E348" s="6" t="str">
        <f>VLOOKUP(B348,Sheet3!$B$2:$E$311,4,)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VLOOKUP(B349,Sheet3!$B$2:$E$311,2,FALSE)</f>
        <v>#N/A</v>
      </c>
      <c r="D349" s="6" t="str">
        <f>VLOOKUP(B349,Sheet3!$B$2:$E$311,3,)</f>
        <v>#N/A</v>
      </c>
      <c r="E349" s="6" t="str">
        <f>VLOOKUP(B349,Sheet3!$B$2:$E$311,4,)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VLOOKUP(B350,Sheet3!$B$2:$E$311,2,FALSE)</f>
        <v>#N/A</v>
      </c>
      <c r="D350" s="6" t="str">
        <f>VLOOKUP(B350,Sheet3!$B$2:$E$311,3,)</f>
        <v>#N/A</v>
      </c>
      <c r="E350" s="6" t="str">
        <f>VLOOKUP(B350,Sheet3!$B$2:$E$311,4,)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VLOOKUP(B351,Sheet3!$B$2:$E$311,2,FALSE)</f>
        <v>#N/A</v>
      </c>
      <c r="D351" s="6" t="str">
        <f>VLOOKUP(B351,Sheet3!$B$2:$E$311,3,)</f>
        <v>#N/A</v>
      </c>
      <c r="E351" s="6" t="str">
        <f>VLOOKUP(B351,Sheet3!$B$2:$E$311,4,)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VLOOKUP(B352,Sheet3!$B$2:$E$311,2,FALSE)</f>
        <v>#N/A</v>
      </c>
      <c r="D352" s="6" t="str">
        <f>VLOOKUP(B352,Sheet3!$B$2:$E$311,3,)</f>
        <v>#N/A</v>
      </c>
      <c r="E352" s="6" t="str">
        <f>VLOOKUP(B352,Sheet3!$B$2:$E$311,4,)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VLOOKUP(B353,Sheet3!$B$2:$E$311,2,FALSE)</f>
        <v>#N/A</v>
      </c>
      <c r="D353" s="6" t="str">
        <f>VLOOKUP(B353,Sheet3!$B$2:$E$311,3,)</f>
        <v>#N/A</v>
      </c>
      <c r="E353" s="6" t="str">
        <f>VLOOKUP(B353,Sheet3!$B$2:$E$311,4,)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VLOOKUP(B354,Sheet3!$B$2:$E$311,2,FALSE)</f>
        <v>#N/A</v>
      </c>
      <c r="D354" s="6" t="str">
        <f>VLOOKUP(B354,Sheet3!$B$2:$E$311,3,)</f>
        <v>#N/A</v>
      </c>
      <c r="E354" s="6" t="str">
        <f>VLOOKUP(B354,Sheet3!$B$2:$E$311,4,)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VLOOKUP(B355,Sheet3!$B$2:$E$311,2,FALSE)</f>
        <v>#N/A</v>
      </c>
      <c r="D355" s="6" t="str">
        <f>VLOOKUP(B355,Sheet3!$B$2:$E$311,3,)</f>
        <v>#N/A</v>
      </c>
      <c r="E355" s="6" t="str">
        <f>VLOOKUP(B355,Sheet3!$B$2:$E$311,4,)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VLOOKUP(B356,Sheet3!$B$2:$E$311,2,FALSE)</f>
        <v>#N/A</v>
      </c>
      <c r="D356" s="6" t="str">
        <f>VLOOKUP(B356,Sheet3!$B$2:$E$311,3,)</f>
        <v>#N/A</v>
      </c>
      <c r="E356" s="6" t="str">
        <f>VLOOKUP(B356,Sheet3!$B$2:$E$311,4,)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VLOOKUP(B357,Sheet3!$B$2:$E$311,2,FALSE)</f>
        <v>#N/A</v>
      </c>
      <c r="D357" s="6" t="str">
        <f>VLOOKUP(B357,Sheet3!$B$2:$E$311,3,)</f>
        <v>#N/A</v>
      </c>
      <c r="E357" s="6" t="str">
        <f>VLOOKUP(B357,Sheet3!$B$2:$E$311,4,)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VLOOKUP(B358,Sheet3!$B$2:$E$311,2,FALSE)</f>
        <v>#N/A</v>
      </c>
      <c r="D358" s="6" t="str">
        <f>VLOOKUP(B358,Sheet3!$B$2:$E$311,3,)</f>
        <v>#N/A</v>
      </c>
      <c r="E358" s="6" t="str">
        <f>VLOOKUP(B358,Sheet3!$B$2:$E$311,4,)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VLOOKUP(B359,Sheet3!$B$2:$E$311,2,FALSE)</f>
        <v>#N/A</v>
      </c>
      <c r="D359" s="6" t="str">
        <f>VLOOKUP(B359,Sheet3!$B$2:$E$311,3,)</f>
        <v>#N/A</v>
      </c>
      <c r="E359" s="6" t="str">
        <f>VLOOKUP(B359,Sheet3!$B$2:$E$311,4,)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VLOOKUP(B360,Sheet3!$B$2:$E$311,2,FALSE)</f>
        <v>#N/A</v>
      </c>
      <c r="D360" s="6" t="str">
        <f>VLOOKUP(B360,Sheet3!$B$2:$E$311,3,)</f>
        <v>#N/A</v>
      </c>
      <c r="E360" s="6" t="str">
        <f>VLOOKUP(B360,Sheet3!$B$2:$E$311,4,)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VLOOKUP(B361,Sheet3!$B$2:$E$311,2,FALSE)</f>
        <v>#N/A</v>
      </c>
      <c r="D361" s="6" t="str">
        <f>VLOOKUP(B361,Sheet3!$B$2:$E$311,3,)</f>
        <v>#N/A</v>
      </c>
      <c r="E361" s="6" t="str">
        <f>VLOOKUP(B361,Sheet3!$B$2:$E$311,4,)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VLOOKUP(B362,Sheet3!$B$2:$E$311,2,FALSE)</f>
        <v>#N/A</v>
      </c>
      <c r="D362" s="6" t="str">
        <f>VLOOKUP(B362,Sheet3!$B$2:$E$311,3,)</f>
        <v>#N/A</v>
      </c>
      <c r="E362" s="6" t="str">
        <f>VLOOKUP(B362,Sheet3!$B$2:$E$311,4,)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VLOOKUP(B363,Sheet3!$B$2:$E$311,2,FALSE)</f>
        <v>#N/A</v>
      </c>
      <c r="D363" s="6" t="str">
        <f>VLOOKUP(B363,Sheet3!$B$2:$E$311,3,)</f>
        <v>#N/A</v>
      </c>
      <c r="E363" s="6" t="str">
        <f>VLOOKUP(B363,Sheet3!$B$2:$E$311,4,)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VLOOKUP(B364,Sheet3!$B$2:$E$311,2,FALSE)</f>
        <v>#N/A</v>
      </c>
      <c r="D364" s="6" t="str">
        <f>VLOOKUP(B364,Sheet3!$B$2:$E$311,3,)</f>
        <v>#N/A</v>
      </c>
      <c r="E364" s="6" t="str">
        <f>VLOOKUP(B364,Sheet3!$B$2:$E$311,4,)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VLOOKUP(B365,Sheet3!$B$2:$E$311,2,FALSE)</f>
        <v>#N/A</v>
      </c>
      <c r="D365" s="6" t="str">
        <f>VLOOKUP(B365,Sheet3!$B$2:$E$311,3,)</f>
        <v>#N/A</v>
      </c>
      <c r="E365" s="6" t="str">
        <f>VLOOKUP(B365,Sheet3!$B$2:$E$311,4,)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VLOOKUP(B366,Sheet3!$B$2:$E$311,2,FALSE)</f>
        <v>#N/A</v>
      </c>
      <c r="D366" s="6" t="str">
        <f>VLOOKUP(B366,Sheet3!$B$2:$E$311,3,)</f>
        <v>#N/A</v>
      </c>
      <c r="E366" s="6" t="str">
        <f>VLOOKUP(B366,Sheet3!$B$2:$E$311,4,)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VLOOKUP(B367,Sheet3!$B$2:$E$311,2,FALSE)</f>
        <v>#N/A</v>
      </c>
      <c r="D367" s="6" t="str">
        <f>VLOOKUP(B367,Sheet3!$B$2:$E$311,3,)</f>
        <v>#N/A</v>
      </c>
      <c r="E367" s="6" t="str">
        <f>VLOOKUP(B367,Sheet3!$B$2:$E$311,4,)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VLOOKUP(B368,Sheet3!$B$2:$E$311,2,FALSE)</f>
        <v>#N/A</v>
      </c>
      <c r="D368" s="6" t="str">
        <f>VLOOKUP(B368,Sheet3!$B$2:$E$311,3,)</f>
        <v>#N/A</v>
      </c>
      <c r="E368" s="6" t="str">
        <f>VLOOKUP(B368,Sheet3!$B$2:$E$311,4,)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VLOOKUP(B369,Sheet3!$B$2:$E$311,2,FALSE)</f>
        <v>#N/A</v>
      </c>
      <c r="D369" s="6" t="str">
        <f>VLOOKUP(B369,Sheet3!$B$2:$E$311,3,)</f>
        <v>#N/A</v>
      </c>
      <c r="E369" s="6" t="str">
        <f>VLOOKUP(B369,Sheet3!$B$2:$E$311,4,)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VLOOKUP(B370,Sheet3!$B$2:$E$311,2,FALSE)</f>
        <v>#N/A</v>
      </c>
      <c r="D370" s="6" t="str">
        <f>VLOOKUP(B370,Sheet3!$B$2:$E$311,3,)</f>
        <v>#N/A</v>
      </c>
      <c r="E370" s="6" t="str">
        <f>VLOOKUP(B370,Sheet3!$B$2:$E$311,4,)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VLOOKUP(B371,Sheet3!$B$2:$E$311,2,FALSE)</f>
        <v>#N/A</v>
      </c>
      <c r="D371" s="6" t="str">
        <f>VLOOKUP(B371,Sheet3!$B$2:$E$311,3,)</f>
        <v>#N/A</v>
      </c>
      <c r="E371" s="6" t="str">
        <f>VLOOKUP(B371,Sheet3!$B$2:$E$311,4,)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VLOOKUP(B372,Sheet3!$B$2:$E$311,2,FALSE)</f>
        <v>#N/A</v>
      </c>
      <c r="D372" s="6" t="str">
        <f>VLOOKUP(B372,Sheet3!$B$2:$E$311,3,)</f>
        <v>#N/A</v>
      </c>
      <c r="E372" s="6" t="str">
        <f>VLOOKUP(B372,Sheet3!$B$2:$E$311,4,)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VLOOKUP(B373,Sheet3!$B$2:$E$311,2,FALSE)</f>
        <v>#N/A</v>
      </c>
      <c r="D373" s="6" t="str">
        <f>VLOOKUP(B373,Sheet3!$B$2:$E$311,3,)</f>
        <v>#N/A</v>
      </c>
      <c r="E373" s="6" t="str">
        <f>VLOOKUP(B373,Sheet3!$B$2:$E$311,4,)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VLOOKUP(B374,Sheet3!$B$2:$E$311,2,FALSE)</f>
        <v>#N/A</v>
      </c>
      <c r="D374" s="6" t="str">
        <f>VLOOKUP(B374,Sheet3!$B$2:$E$311,3,)</f>
        <v>#N/A</v>
      </c>
      <c r="E374" s="6" t="str">
        <f>VLOOKUP(B374,Sheet3!$B$2:$E$311,4,)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VLOOKUP(B375,Sheet3!$B$2:$E$311,2,FALSE)</f>
        <v>#N/A</v>
      </c>
      <c r="D375" s="6" t="str">
        <f>VLOOKUP(B375,Sheet3!$B$2:$E$311,3,)</f>
        <v>#N/A</v>
      </c>
      <c r="E375" s="6" t="str">
        <f>VLOOKUP(B375,Sheet3!$B$2:$E$311,4,)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VLOOKUP(B376,Sheet3!$B$2:$E$311,2,FALSE)</f>
        <v>#N/A</v>
      </c>
      <c r="D376" s="6" t="str">
        <f>VLOOKUP(B376,Sheet3!$B$2:$E$311,3,)</f>
        <v>#N/A</v>
      </c>
      <c r="E376" s="6" t="str">
        <f>VLOOKUP(B376,Sheet3!$B$2:$E$311,4,)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VLOOKUP(B377,Sheet3!$B$2:$E$311,2,FALSE)</f>
        <v>#N/A</v>
      </c>
      <c r="D377" s="6" t="str">
        <f>VLOOKUP(B377,Sheet3!$B$2:$E$311,3,)</f>
        <v>#N/A</v>
      </c>
      <c r="E377" s="6" t="str">
        <f>VLOOKUP(B377,Sheet3!$B$2:$E$311,4,)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VLOOKUP(B378,Sheet3!$B$2:$E$311,2,FALSE)</f>
        <v>#N/A</v>
      </c>
      <c r="D378" s="6" t="str">
        <f>VLOOKUP(B378,Sheet3!$B$2:$E$311,3,)</f>
        <v>#N/A</v>
      </c>
      <c r="E378" s="6" t="str">
        <f>VLOOKUP(B378,Sheet3!$B$2:$E$311,4,)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VLOOKUP(B379,Sheet3!$B$2:$E$311,2,FALSE)</f>
        <v>#N/A</v>
      </c>
      <c r="D379" s="6" t="str">
        <f>VLOOKUP(B379,Sheet3!$B$2:$E$311,3,)</f>
        <v>#N/A</v>
      </c>
      <c r="E379" s="6" t="str">
        <f>VLOOKUP(B379,Sheet3!$B$2:$E$311,4,)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VLOOKUP(B380,Sheet3!$B$2:$E$311,2,FALSE)</f>
        <v>#N/A</v>
      </c>
      <c r="D380" s="6" t="str">
        <f>VLOOKUP(B380,Sheet3!$B$2:$E$311,3,)</f>
        <v>#N/A</v>
      </c>
      <c r="E380" s="6" t="str">
        <f>VLOOKUP(B380,Sheet3!$B$2:$E$311,4,)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VLOOKUP(B381,Sheet3!$B$2:$E$311,2,FALSE)</f>
        <v>#N/A</v>
      </c>
      <c r="D381" s="6" t="str">
        <f>VLOOKUP(B381,Sheet3!$B$2:$E$311,3,)</f>
        <v>#N/A</v>
      </c>
      <c r="E381" s="6" t="str">
        <f>VLOOKUP(B381,Sheet3!$B$2:$E$311,4,)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VLOOKUP(B382,Sheet3!$B$2:$E$311,2,FALSE)</f>
        <v>#N/A</v>
      </c>
      <c r="D382" s="6" t="str">
        <f>VLOOKUP(B382,Sheet3!$B$2:$E$311,3,)</f>
        <v>#N/A</v>
      </c>
      <c r="E382" s="6" t="str">
        <f>VLOOKUP(B382,Sheet3!$B$2:$E$311,4,)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VLOOKUP(B383,Sheet3!$B$2:$E$311,2,FALSE)</f>
        <v>#N/A</v>
      </c>
      <c r="D383" s="6" t="str">
        <f>VLOOKUP(B383,Sheet3!$B$2:$E$311,3,)</f>
        <v>#N/A</v>
      </c>
      <c r="E383" s="6" t="str">
        <f>VLOOKUP(B383,Sheet3!$B$2:$E$311,4,)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VLOOKUP(B384,Sheet3!$B$2:$E$311,2,FALSE)</f>
        <v>#N/A</v>
      </c>
      <c r="D384" s="6" t="str">
        <f>VLOOKUP(B384,Sheet3!$B$2:$E$311,3,)</f>
        <v>#N/A</v>
      </c>
      <c r="E384" s="6" t="str">
        <f>VLOOKUP(B384,Sheet3!$B$2:$E$311,4,)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VLOOKUP(B385,Sheet3!$B$2:$E$311,2,FALSE)</f>
        <v>#N/A</v>
      </c>
      <c r="D385" s="6" t="str">
        <f>VLOOKUP(B385,Sheet3!$B$2:$E$311,3,)</f>
        <v>#N/A</v>
      </c>
      <c r="E385" s="6" t="str">
        <f>VLOOKUP(B385,Sheet3!$B$2:$E$311,4,)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VLOOKUP(B386,Sheet3!$B$2:$E$311,2,FALSE)</f>
        <v>#N/A</v>
      </c>
      <c r="D386" s="6" t="str">
        <f>VLOOKUP(B386,Sheet3!$B$2:$E$311,3,)</f>
        <v>#N/A</v>
      </c>
      <c r="E386" s="6" t="str">
        <f>VLOOKUP(B386,Sheet3!$B$2:$E$311,4,)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VLOOKUP(B387,Sheet3!$B$2:$E$311,2,FALSE)</f>
        <v>#N/A</v>
      </c>
      <c r="D387" s="6" t="str">
        <f>VLOOKUP(B387,Sheet3!$B$2:$E$311,3,)</f>
        <v>#N/A</v>
      </c>
      <c r="E387" s="6" t="str">
        <f>VLOOKUP(B387,Sheet3!$B$2:$E$311,4,)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VLOOKUP(B388,Sheet3!$B$2:$E$311,2,FALSE)</f>
        <v>#N/A</v>
      </c>
      <c r="D388" s="6" t="str">
        <f>VLOOKUP(B388,Sheet3!$B$2:$E$311,3,)</f>
        <v>#N/A</v>
      </c>
      <c r="E388" s="6" t="str">
        <f>VLOOKUP(B388,Sheet3!$B$2:$E$311,4,)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VLOOKUP(B389,Sheet3!$B$2:$E$311,2,FALSE)</f>
        <v>#N/A</v>
      </c>
      <c r="D389" s="6" t="str">
        <f>VLOOKUP(B389,Sheet3!$B$2:$E$311,3,)</f>
        <v>#N/A</v>
      </c>
      <c r="E389" s="6" t="str">
        <f>VLOOKUP(B389,Sheet3!$B$2:$E$311,4,)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VLOOKUP(B390,Sheet3!$B$2:$E$311,2,FALSE)</f>
        <v>#N/A</v>
      </c>
      <c r="D390" s="6" t="str">
        <f>VLOOKUP(B390,Sheet3!$B$2:$E$311,3,)</f>
        <v>#N/A</v>
      </c>
      <c r="E390" s="6" t="str">
        <f>VLOOKUP(B390,Sheet3!$B$2:$E$311,4,)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VLOOKUP(B391,Sheet3!$B$2:$E$311,2,FALSE)</f>
        <v>#N/A</v>
      </c>
      <c r="D391" s="6" t="str">
        <f>VLOOKUP(B391,Sheet3!$B$2:$E$311,3,)</f>
        <v>#N/A</v>
      </c>
      <c r="E391" s="6" t="str">
        <f>VLOOKUP(B391,Sheet3!$B$2:$E$311,4,)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VLOOKUP(B392,Sheet3!$B$2:$E$311,2,FALSE)</f>
        <v>#N/A</v>
      </c>
      <c r="D392" s="6" t="str">
        <f>VLOOKUP(B392,Sheet3!$B$2:$E$311,3,)</f>
        <v>#N/A</v>
      </c>
      <c r="E392" s="6" t="str">
        <f>VLOOKUP(B392,Sheet3!$B$2:$E$311,4,)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VLOOKUP(B393,Sheet3!$B$2:$E$311,2,FALSE)</f>
        <v>#N/A</v>
      </c>
      <c r="D393" s="6" t="str">
        <f>VLOOKUP(B393,Sheet3!$B$2:$E$311,3,)</f>
        <v>#N/A</v>
      </c>
      <c r="E393" s="6" t="str">
        <f>VLOOKUP(B393,Sheet3!$B$2:$E$311,4,)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VLOOKUP(B394,Sheet3!$B$2:$E$311,2,FALSE)</f>
        <v>#N/A</v>
      </c>
      <c r="D394" s="6" t="str">
        <f>VLOOKUP(B394,Sheet3!$B$2:$E$311,3,)</f>
        <v>#N/A</v>
      </c>
      <c r="E394" s="6" t="str">
        <f>VLOOKUP(B394,Sheet3!$B$2:$E$311,4,)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VLOOKUP(B395,Sheet3!$B$2:$E$311,2,FALSE)</f>
        <v>#N/A</v>
      </c>
      <c r="D395" s="6" t="str">
        <f>VLOOKUP(B395,Sheet3!$B$2:$E$311,3,)</f>
        <v>#N/A</v>
      </c>
      <c r="E395" s="6" t="str">
        <f>VLOOKUP(B395,Sheet3!$B$2:$E$311,4,)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VLOOKUP(B396,Sheet3!$B$2:$E$311,2,FALSE)</f>
        <v>#N/A</v>
      </c>
      <c r="D396" s="6" t="str">
        <f>VLOOKUP(B396,Sheet3!$B$2:$E$311,3,)</f>
        <v>#N/A</v>
      </c>
      <c r="E396" s="6" t="str">
        <f>VLOOKUP(B396,Sheet3!$B$2:$E$311,4,)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VLOOKUP(B397,Sheet3!$B$2:$E$311,2,FALSE)</f>
        <v>#N/A</v>
      </c>
      <c r="D397" s="6" t="str">
        <f>VLOOKUP(B397,Sheet3!$B$2:$E$311,3,)</f>
        <v>#N/A</v>
      </c>
      <c r="E397" s="6" t="str">
        <f>VLOOKUP(B397,Sheet3!$B$2:$E$311,4,)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VLOOKUP(B398,Sheet3!$B$2:$E$311,2,FALSE)</f>
        <v>#N/A</v>
      </c>
      <c r="D398" s="6" t="str">
        <f>VLOOKUP(B398,Sheet3!$B$2:$E$311,3,)</f>
        <v>#N/A</v>
      </c>
      <c r="E398" s="6" t="str">
        <f>VLOOKUP(B398,Sheet3!$B$2:$E$311,4,)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VLOOKUP(B399,Sheet3!$B$2:$E$311,2,FALSE)</f>
        <v>#N/A</v>
      </c>
      <c r="D399" s="6" t="str">
        <f>VLOOKUP(B399,Sheet3!$B$2:$E$311,3,)</f>
        <v>#N/A</v>
      </c>
      <c r="E399" s="6" t="str">
        <f>VLOOKUP(B399,Sheet3!$B$2:$E$311,4,)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VLOOKUP(B400,Sheet3!$B$2:$E$311,2,FALSE)</f>
        <v>#N/A</v>
      </c>
      <c r="D400" s="6" t="str">
        <f>VLOOKUP(B400,Sheet3!$B$2:$E$311,3,)</f>
        <v>#N/A</v>
      </c>
      <c r="E400" s="6" t="str">
        <f>VLOOKUP(B400,Sheet3!$B$2:$E$311,4,)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VLOOKUP(B401,Sheet3!$B$2:$E$311,2,FALSE)</f>
        <v>#N/A</v>
      </c>
      <c r="D401" s="6" t="str">
        <f>VLOOKUP(B401,Sheet3!$B$2:$E$311,3,)</f>
        <v>#N/A</v>
      </c>
      <c r="E401" s="6" t="str">
        <f>VLOOKUP(B401,Sheet3!$B$2:$E$311,4,)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VLOOKUP(B402,Sheet3!$B$2:$E$311,2,FALSE)</f>
        <v>#N/A</v>
      </c>
      <c r="D402" s="6" t="str">
        <f>VLOOKUP(B402,Sheet3!$B$2:$E$311,3,)</f>
        <v>#N/A</v>
      </c>
      <c r="E402" s="6" t="str">
        <f>VLOOKUP(B402,Sheet3!$B$2:$E$311,4,)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VLOOKUP(B403,Sheet3!$B$2:$E$311,2,FALSE)</f>
        <v>#N/A</v>
      </c>
      <c r="D403" s="6" t="str">
        <f>VLOOKUP(B403,Sheet3!$B$2:$E$311,3,)</f>
        <v>#N/A</v>
      </c>
      <c r="E403" s="6" t="str">
        <f>VLOOKUP(B403,Sheet3!$B$2:$E$311,4,)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VLOOKUP(B404,Sheet3!$B$2:$E$311,2,FALSE)</f>
        <v>#N/A</v>
      </c>
      <c r="D404" s="6" t="str">
        <f>VLOOKUP(B404,Sheet3!$B$2:$E$311,3,)</f>
        <v>#N/A</v>
      </c>
      <c r="E404" s="6" t="str">
        <f>VLOOKUP(B404,Sheet3!$B$2:$E$311,4,)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VLOOKUP(B405,Sheet3!$B$2:$E$311,2,FALSE)</f>
        <v>#N/A</v>
      </c>
      <c r="D405" s="6" t="str">
        <f>VLOOKUP(B405,Sheet3!$B$2:$E$311,3,)</f>
        <v>#N/A</v>
      </c>
      <c r="E405" s="6" t="str">
        <f>VLOOKUP(B405,Sheet3!$B$2:$E$311,4,)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VLOOKUP(B406,Sheet3!$B$2:$E$311,2,FALSE)</f>
        <v>#N/A</v>
      </c>
      <c r="D406" s="6" t="str">
        <f>VLOOKUP(B406,Sheet3!$B$2:$E$311,3,)</f>
        <v>#N/A</v>
      </c>
      <c r="E406" s="6" t="str">
        <f>VLOOKUP(B406,Sheet3!$B$2:$E$311,4,)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VLOOKUP(B407,Sheet3!$B$2:$E$311,2,FALSE)</f>
        <v>#N/A</v>
      </c>
      <c r="D407" s="6" t="str">
        <f>VLOOKUP(B407,Sheet3!$B$2:$E$311,3,)</f>
        <v>#N/A</v>
      </c>
      <c r="E407" s="6" t="str">
        <f>VLOOKUP(B407,Sheet3!$B$2:$E$311,4,)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VLOOKUP(B408,Sheet3!$B$2:$E$311,2,FALSE)</f>
        <v>#N/A</v>
      </c>
      <c r="D408" s="6" t="str">
        <f>VLOOKUP(B408,Sheet3!$B$2:$E$311,3,)</f>
        <v>#N/A</v>
      </c>
      <c r="E408" s="6" t="str">
        <f>VLOOKUP(B408,Sheet3!$B$2:$E$311,4,)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VLOOKUP(B409,Sheet3!$B$2:$E$311,2,FALSE)</f>
        <v>#N/A</v>
      </c>
      <c r="D409" s="6" t="str">
        <f>VLOOKUP(B409,Sheet3!$B$2:$E$311,3,)</f>
        <v>#N/A</v>
      </c>
      <c r="E409" s="6" t="str">
        <f>VLOOKUP(B409,Sheet3!$B$2:$E$311,4,)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VLOOKUP(B410,Sheet3!$B$2:$E$311,2,FALSE)</f>
        <v>#N/A</v>
      </c>
      <c r="D410" s="6" t="str">
        <f>VLOOKUP(B410,Sheet3!$B$2:$E$311,3,)</f>
        <v>#N/A</v>
      </c>
      <c r="E410" s="6" t="str">
        <f>VLOOKUP(B410,Sheet3!$B$2:$E$311,4,)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VLOOKUP(B411,Sheet3!$B$2:$E$311,2,FALSE)</f>
        <v>#N/A</v>
      </c>
      <c r="D411" s="6" t="str">
        <f>VLOOKUP(B411,Sheet3!$B$2:$E$311,3,)</f>
        <v>#N/A</v>
      </c>
      <c r="E411" s="6" t="str">
        <f>VLOOKUP(B411,Sheet3!$B$2:$E$311,4,)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VLOOKUP(B412,Sheet3!$B$2:$E$311,2,FALSE)</f>
        <v>#N/A</v>
      </c>
      <c r="D412" s="6" t="str">
        <f>VLOOKUP(B412,Sheet3!$B$2:$E$311,3,)</f>
        <v>#N/A</v>
      </c>
      <c r="E412" s="6" t="str">
        <f>VLOOKUP(B412,Sheet3!$B$2:$E$311,4,)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VLOOKUP(B413,Sheet3!$B$2:$E$311,2,FALSE)</f>
        <v>#N/A</v>
      </c>
      <c r="D413" s="6" t="str">
        <f>VLOOKUP(B413,Sheet3!$B$2:$E$311,3,)</f>
        <v>#N/A</v>
      </c>
      <c r="E413" s="6" t="str">
        <f>VLOOKUP(B413,Sheet3!$B$2:$E$311,4,)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VLOOKUP(B414,Sheet3!$B$2:$E$311,2,FALSE)</f>
        <v>#N/A</v>
      </c>
      <c r="D414" s="6" t="str">
        <f>VLOOKUP(B414,Sheet3!$B$2:$E$311,3,)</f>
        <v>#N/A</v>
      </c>
      <c r="E414" s="6" t="str">
        <f>VLOOKUP(B414,Sheet3!$B$2:$E$311,4,)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VLOOKUP(B415,Sheet3!$B$2:$E$311,2,FALSE)</f>
        <v>#N/A</v>
      </c>
      <c r="D415" s="6" t="str">
        <f>VLOOKUP(B415,Sheet3!$B$2:$E$311,3,)</f>
        <v>#N/A</v>
      </c>
      <c r="E415" s="6" t="str">
        <f>VLOOKUP(B415,Sheet3!$B$2:$E$311,4,)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VLOOKUP(B416,Sheet3!$B$2:$E$311,2,FALSE)</f>
        <v>#N/A</v>
      </c>
      <c r="D416" s="6" t="str">
        <f>VLOOKUP(B416,Sheet3!$B$2:$E$311,3,)</f>
        <v>#N/A</v>
      </c>
      <c r="E416" s="6" t="str">
        <f>VLOOKUP(B416,Sheet3!$B$2:$E$311,4,)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VLOOKUP(B417,Sheet3!$B$2:$E$311,2,FALSE)</f>
        <v>#N/A</v>
      </c>
      <c r="D417" s="6" t="str">
        <f>VLOOKUP(B417,Sheet3!$B$2:$E$311,3,)</f>
        <v>#N/A</v>
      </c>
      <c r="E417" s="6" t="str">
        <f>VLOOKUP(B417,Sheet3!$B$2:$E$311,4,)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VLOOKUP(B418,Sheet3!$B$2:$E$311,2,FALSE)</f>
        <v>#N/A</v>
      </c>
      <c r="D418" s="6" t="str">
        <f>VLOOKUP(B418,Sheet3!$B$2:$E$311,3,)</f>
        <v>#N/A</v>
      </c>
      <c r="E418" s="6" t="str">
        <f>VLOOKUP(B418,Sheet3!$B$2:$E$311,4,)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VLOOKUP(B419,Sheet3!$B$2:$E$311,2,FALSE)</f>
        <v>#N/A</v>
      </c>
      <c r="D419" s="6" t="str">
        <f>VLOOKUP(B419,Sheet3!$B$2:$E$311,3,)</f>
        <v>#N/A</v>
      </c>
      <c r="E419" s="6" t="str">
        <f>VLOOKUP(B419,Sheet3!$B$2:$E$311,4,)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VLOOKUP(B420,Sheet3!$B$2:$E$311,2,FALSE)</f>
        <v>#N/A</v>
      </c>
      <c r="D420" s="6" t="str">
        <f>VLOOKUP(B420,Sheet3!$B$2:$E$311,3,)</f>
        <v>#N/A</v>
      </c>
      <c r="E420" s="6" t="str">
        <f>VLOOKUP(B420,Sheet3!$B$2:$E$311,4,)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VLOOKUP(B421,Sheet3!$B$2:$E$311,2,FALSE)</f>
        <v>#N/A</v>
      </c>
      <c r="D421" s="6" t="str">
        <f>VLOOKUP(B421,Sheet3!$B$2:$E$311,3,)</f>
        <v>#N/A</v>
      </c>
      <c r="E421" s="6" t="str">
        <f>VLOOKUP(B421,Sheet3!$B$2:$E$311,4,)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VLOOKUP(B422,Sheet3!$B$2:$E$311,2,FALSE)</f>
        <v>#N/A</v>
      </c>
      <c r="D422" s="6" t="str">
        <f>VLOOKUP(B422,Sheet3!$B$2:$E$311,3,)</f>
        <v>#N/A</v>
      </c>
      <c r="E422" s="6" t="str">
        <f>VLOOKUP(B422,Sheet3!$B$2:$E$311,4,)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VLOOKUP(B423,Sheet3!$B$2:$E$311,2,FALSE)</f>
        <v>#N/A</v>
      </c>
      <c r="D423" s="6" t="str">
        <f>VLOOKUP(B423,Sheet3!$B$2:$E$311,3,)</f>
        <v>#N/A</v>
      </c>
      <c r="E423" s="6" t="str">
        <f>VLOOKUP(B423,Sheet3!$B$2:$E$311,4,)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VLOOKUP(B424,Sheet3!$B$2:$E$311,2,FALSE)</f>
        <v>#N/A</v>
      </c>
      <c r="D424" s="6" t="str">
        <f>VLOOKUP(B424,Sheet3!$B$2:$E$311,3,)</f>
        <v>#N/A</v>
      </c>
      <c r="E424" s="6" t="str">
        <f>VLOOKUP(B424,Sheet3!$B$2:$E$311,4,)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VLOOKUP(B425,Sheet3!$B$2:$E$311,2,FALSE)</f>
        <v>#N/A</v>
      </c>
      <c r="D425" s="6" t="str">
        <f>VLOOKUP(B425,Sheet3!$B$2:$E$311,3,)</f>
        <v>#N/A</v>
      </c>
      <c r="E425" s="6" t="str">
        <f>VLOOKUP(B425,Sheet3!$B$2:$E$311,4,)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VLOOKUP(B426,Sheet3!$B$2:$E$311,2,FALSE)</f>
        <v>#N/A</v>
      </c>
      <c r="D426" s="6" t="str">
        <f>VLOOKUP(B426,Sheet3!$B$2:$E$311,3,)</f>
        <v>#N/A</v>
      </c>
      <c r="E426" s="6" t="str">
        <f>VLOOKUP(B426,Sheet3!$B$2:$E$311,4,)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VLOOKUP(B427,Sheet3!$B$2:$E$311,2,FALSE)</f>
        <v>#N/A</v>
      </c>
      <c r="D427" s="6" t="str">
        <f>VLOOKUP(B427,Sheet3!$B$2:$E$311,3,)</f>
        <v>#N/A</v>
      </c>
      <c r="E427" s="6" t="str">
        <f>VLOOKUP(B427,Sheet3!$B$2:$E$311,4,)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VLOOKUP(B428,Sheet3!$B$2:$E$311,2,FALSE)</f>
        <v>#N/A</v>
      </c>
      <c r="D428" s="6" t="str">
        <f>VLOOKUP(B428,Sheet3!$B$2:$E$311,3,)</f>
        <v>#N/A</v>
      </c>
      <c r="E428" s="6" t="str">
        <f>VLOOKUP(B428,Sheet3!$B$2:$E$311,4,)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VLOOKUP(B429,Sheet3!$B$2:$E$311,2,FALSE)</f>
        <v>#N/A</v>
      </c>
      <c r="D429" s="6" t="str">
        <f>VLOOKUP(B429,Sheet3!$B$2:$E$311,3,)</f>
        <v>#N/A</v>
      </c>
      <c r="E429" s="6" t="str">
        <f>VLOOKUP(B429,Sheet3!$B$2:$E$311,4,)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VLOOKUP(B430,Sheet3!$B$2:$E$311,2,FALSE)</f>
        <v>#N/A</v>
      </c>
      <c r="D430" s="6" t="str">
        <f>VLOOKUP(B430,Sheet3!$B$2:$E$311,3,)</f>
        <v>#N/A</v>
      </c>
      <c r="E430" s="6" t="str">
        <f>VLOOKUP(B430,Sheet3!$B$2:$E$311,4,)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VLOOKUP(B431,Sheet3!$B$2:$E$311,2,FALSE)</f>
        <v>#N/A</v>
      </c>
      <c r="D431" s="6" t="str">
        <f>VLOOKUP(B431,Sheet3!$B$2:$E$311,3,)</f>
        <v>#N/A</v>
      </c>
      <c r="E431" s="6" t="str">
        <f>VLOOKUP(B431,Sheet3!$B$2:$E$311,4,)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VLOOKUP(B432,Sheet3!$B$2:$E$311,2,FALSE)</f>
        <v>#N/A</v>
      </c>
      <c r="D432" s="6" t="str">
        <f>VLOOKUP(B432,Sheet3!$B$2:$E$311,3,)</f>
        <v>#N/A</v>
      </c>
      <c r="E432" s="6" t="str">
        <f>VLOOKUP(B432,Sheet3!$B$2:$E$311,4,)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VLOOKUP(B433,Sheet3!$B$2:$E$311,2,FALSE)</f>
        <v>#N/A</v>
      </c>
      <c r="D433" s="6" t="str">
        <f>VLOOKUP(B433,Sheet3!$B$2:$E$311,3,)</f>
        <v>#N/A</v>
      </c>
      <c r="E433" s="6" t="str">
        <f>VLOOKUP(B433,Sheet3!$B$2:$E$311,4,)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VLOOKUP(B434,Sheet3!$B$2:$E$311,2,FALSE)</f>
        <v>#N/A</v>
      </c>
      <c r="D434" s="6" t="str">
        <f>VLOOKUP(B434,Sheet3!$B$2:$E$311,3,)</f>
        <v>#N/A</v>
      </c>
      <c r="E434" s="6" t="str">
        <f>VLOOKUP(B434,Sheet3!$B$2:$E$311,4,)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VLOOKUP(B435,Sheet3!$B$2:$E$311,2,FALSE)</f>
        <v>#N/A</v>
      </c>
      <c r="D435" s="6" t="str">
        <f>VLOOKUP(B435,Sheet3!$B$2:$E$311,3,)</f>
        <v>#N/A</v>
      </c>
      <c r="E435" s="6" t="str">
        <f>VLOOKUP(B435,Sheet3!$B$2:$E$311,4,)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VLOOKUP(B436,Sheet3!$B$2:$E$311,2,FALSE)</f>
        <v>#N/A</v>
      </c>
      <c r="D436" s="6" t="str">
        <f>VLOOKUP(B436,Sheet3!$B$2:$E$311,3,)</f>
        <v>#N/A</v>
      </c>
      <c r="E436" s="6" t="str">
        <f>VLOOKUP(B436,Sheet3!$B$2:$E$311,4,)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VLOOKUP(B437,Sheet3!$B$2:$E$311,2,FALSE)</f>
        <v>#N/A</v>
      </c>
      <c r="D437" s="6" t="str">
        <f>VLOOKUP(B437,Sheet3!$B$2:$E$311,3,)</f>
        <v>#N/A</v>
      </c>
      <c r="E437" s="6" t="str">
        <f>VLOOKUP(B437,Sheet3!$B$2:$E$311,4,)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VLOOKUP(B438,Sheet3!$B$2:$E$311,2,FALSE)</f>
        <v>#N/A</v>
      </c>
      <c r="D438" s="6" t="str">
        <f>VLOOKUP(B438,Sheet3!$B$2:$E$311,3,)</f>
        <v>#N/A</v>
      </c>
      <c r="E438" s="6" t="str">
        <f>VLOOKUP(B438,Sheet3!$B$2:$E$311,4,)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VLOOKUP(B439,Sheet3!$B$2:$E$311,2,FALSE)</f>
        <v>#N/A</v>
      </c>
      <c r="D439" s="6" t="str">
        <f>VLOOKUP(B439,Sheet3!$B$2:$E$311,3,)</f>
        <v>#N/A</v>
      </c>
      <c r="E439" s="6" t="str">
        <f>VLOOKUP(B439,Sheet3!$B$2:$E$311,4,)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VLOOKUP(B440,Sheet3!$B$2:$E$311,2,FALSE)</f>
        <v>#N/A</v>
      </c>
      <c r="D440" s="6" t="str">
        <f>VLOOKUP(B440,Sheet3!$B$2:$E$311,3,)</f>
        <v>#N/A</v>
      </c>
      <c r="E440" s="6" t="str">
        <f>VLOOKUP(B440,Sheet3!$B$2:$E$311,4,)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VLOOKUP(B441,Sheet3!$B$2:$E$311,2,FALSE)</f>
        <v>#N/A</v>
      </c>
      <c r="D441" s="6" t="str">
        <f>VLOOKUP(B441,Sheet3!$B$2:$E$311,3,)</f>
        <v>#N/A</v>
      </c>
      <c r="E441" s="6" t="str">
        <f>VLOOKUP(B441,Sheet3!$B$2:$E$311,4,)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VLOOKUP(B442,Sheet3!$B$2:$E$311,2,FALSE)</f>
        <v>#N/A</v>
      </c>
      <c r="D442" s="6" t="str">
        <f>VLOOKUP(B442,Sheet3!$B$2:$E$311,3,)</f>
        <v>#N/A</v>
      </c>
      <c r="E442" s="6" t="str">
        <f>VLOOKUP(B442,Sheet3!$B$2:$E$311,4,)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VLOOKUP(B443,Sheet3!$B$2:$E$311,2,FALSE)</f>
        <v>#N/A</v>
      </c>
      <c r="D443" s="6" t="str">
        <f>VLOOKUP(B443,Sheet3!$B$2:$E$311,3,)</f>
        <v>#N/A</v>
      </c>
      <c r="E443" s="6" t="str">
        <f>VLOOKUP(B443,Sheet3!$B$2:$E$311,4,)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VLOOKUP(B444,Sheet3!$B$2:$E$311,2,FALSE)</f>
        <v>#N/A</v>
      </c>
      <c r="D444" s="6" t="str">
        <f>VLOOKUP(B444,Sheet3!$B$2:$E$311,3,)</f>
        <v>#N/A</v>
      </c>
      <c r="E444" s="6" t="str">
        <f>VLOOKUP(B444,Sheet3!$B$2:$E$311,4,)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VLOOKUP(B445,Sheet3!$B$2:$E$311,2,FALSE)</f>
        <v>#N/A</v>
      </c>
      <c r="D445" s="6" t="str">
        <f>VLOOKUP(B445,Sheet3!$B$2:$E$311,3,)</f>
        <v>#N/A</v>
      </c>
      <c r="E445" s="6" t="str">
        <f>VLOOKUP(B445,Sheet3!$B$2:$E$311,4,)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VLOOKUP(B446,Sheet3!$B$2:$E$311,2,FALSE)</f>
        <v>#N/A</v>
      </c>
      <c r="D446" s="6" t="str">
        <f>VLOOKUP(B446,Sheet3!$B$2:$E$311,3,)</f>
        <v>#N/A</v>
      </c>
      <c r="E446" s="6" t="str">
        <f>VLOOKUP(B446,Sheet3!$B$2:$E$311,4,)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VLOOKUP(B447,Sheet3!$B$2:$E$311,2,FALSE)</f>
        <v>#N/A</v>
      </c>
      <c r="D447" s="6" t="str">
        <f>VLOOKUP(B447,Sheet3!$B$2:$E$311,3,)</f>
        <v>#N/A</v>
      </c>
      <c r="E447" s="6" t="str">
        <f>VLOOKUP(B447,Sheet3!$B$2:$E$311,4,)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VLOOKUP(B448,Sheet3!$B$2:$E$311,2,FALSE)</f>
        <v>#N/A</v>
      </c>
      <c r="D448" s="6" t="str">
        <f>VLOOKUP(B448,Sheet3!$B$2:$E$311,3,)</f>
        <v>#N/A</v>
      </c>
      <c r="E448" s="6" t="str">
        <f>VLOOKUP(B448,Sheet3!$B$2:$E$311,4,)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VLOOKUP(B449,Sheet3!$B$2:$E$311,2,FALSE)</f>
        <v>#N/A</v>
      </c>
      <c r="D449" s="6" t="str">
        <f>VLOOKUP(B449,Sheet3!$B$2:$E$311,3,)</f>
        <v>#N/A</v>
      </c>
      <c r="E449" s="6" t="str">
        <f>VLOOKUP(B449,Sheet3!$B$2:$E$311,4,)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VLOOKUP(B450,Sheet3!$B$2:$E$311,2,FALSE)</f>
        <v>#N/A</v>
      </c>
      <c r="D450" s="6" t="str">
        <f>VLOOKUP(B450,Sheet3!$B$2:$E$311,3,)</f>
        <v>#N/A</v>
      </c>
      <c r="E450" s="6" t="str">
        <f>VLOOKUP(B450,Sheet3!$B$2:$E$311,4,)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VLOOKUP(B451,Sheet3!$B$2:$E$311,2,FALSE)</f>
        <v>#N/A</v>
      </c>
      <c r="D451" s="6" t="str">
        <f>VLOOKUP(B451,Sheet3!$B$2:$E$311,3,)</f>
        <v>#N/A</v>
      </c>
      <c r="E451" s="6" t="str">
        <f>VLOOKUP(B451,Sheet3!$B$2:$E$311,4,)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VLOOKUP(B452,Sheet3!$B$2:$E$311,2,FALSE)</f>
        <v>#N/A</v>
      </c>
      <c r="D452" s="6" t="str">
        <f>VLOOKUP(B452,Sheet3!$B$2:$E$311,3,)</f>
        <v>#N/A</v>
      </c>
      <c r="E452" s="6" t="str">
        <f>VLOOKUP(B452,Sheet3!$B$2:$E$311,4,)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VLOOKUP(B453,Sheet3!$B$2:$E$311,2,FALSE)</f>
        <v>#N/A</v>
      </c>
      <c r="D453" s="6" t="str">
        <f>VLOOKUP(B453,Sheet3!$B$2:$E$311,3,)</f>
        <v>#N/A</v>
      </c>
      <c r="E453" s="6" t="str">
        <f>VLOOKUP(B453,Sheet3!$B$2:$E$311,4,)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VLOOKUP(B454,Sheet3!$B$2:$E$311,2,FALSE)</f>
        <v>#N/A</v>
      </c>
      <c r="D454" s="6" t="str">
        <f>VLOOKUP(B454,Sheet3!$B$2:$E$311,3,)</f>
        <v>#N/A</v>
      </c>
      <c r="E454" s="6" t="str">
        <f>VLOOKUP(B454,Sheet3!$B$2:$E$311,4,)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VLOOKUP(B455,Sheet3!$B$2:$E$311,2,FALSE)</f>
        <v>#N/A</v>
      </c>
      <c r="D455" s="6" t="str">
        <f>VLOOKUP(B455,Sheet3!$B$2:$E$311,3,)</f>
        <v>#N/A</v>
      </c>
      <c r="E455" s="6" t="str">
        <f>VLOOKUP(B455,Sheet3!$B$2:$E$311,4,)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VLOOKUP(B456,Sheet3!$B$2:$E$311,2,FALSE)</f>
        <v>#N/A</v>
      </c>
      <c r="D456" s="6" t="str">
        <f>VLOOKUP(B456,Sheet3!$B$2:$E$311,3,)</f>
        <v>#N/A</v>
      </c>
      <c r="E456" s="6" t="str">
        <f>VLOOKUP(B456,Sheet3!$B$2:$E$311,4,)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VLOOKUP(B457,Sheet3!$B$2:$E$311,2,FALSE)</f>
        <v>#N/A</v>
      </c>
      <c r="D457" s="6" t="str">
        <f>VLOOKUP(B457,Sheet3!$B$2:$E$311,3,)</f>
        <v>#N/A</v>
      </c>
      <c r="E457" s="6" t="str">
        <f>VLOOKUP(B457,Sheet3!$B$2:$E$311,4,)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VLOOKUP(B458,Sheet3!$B$2:$E$311,2,FALSE)</f>
        <v>#N/A</v>
      </c>
      <c r="D458" s="6" t="str">
        <f>VLOOKUP(B458,Sheet3!$B$2:$E$311,3,)</f>
        <v>#N/A</v>
      </c>
      <c r="E458" s="6" t="str">
        <f>VLOOKUP(B458,Sheet3!$B$2:$E$311,4,)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VLOOKUP(B459,Sheet3!$B$2:$E$311,2,FALSE)</f>
        <v>#N/A</v>
      </c>
      <c r="D459" s="6" t="str">
        <f>VLOOKUP(B459,Sheet3!$B$2:$E$311,3,)</f>
        <v>#N/A</v>
      </c>
      <c r="E459" s="6" t="str">
        <f>VLOOKUP(B459,Sheet3!$B$2:$E$311,4,)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VLOOKUP(B460,Sheet3!$B$2:$E$311,2,FALSE)</f>
        <v>#N/A</v>
      </c>
      <c r="D460" s="6" t="str">
        <f>VLOOKUP(B460,Sheet3!$B$2:$E$311,3,)</f>
        <v>#N/A</v>
      </c>
      <c r="E460" s="6" t="str">
        <f>VLOOKUP(B460,Sheet3!$B$2:$E$311,4,)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VLOOKUP(B461,Sheet3!$B$2:$E$311,2,FALSE)</f>
        <v>#N/A</v>
      </c>
      <c r="D461" s="6" t="str">
        <f>VLOOKUP(B461,Sheet3!$B$2:$E$311,3,)</f>
        <v>#N/A</v>
      </c>
      <c r="E461" s="6" t="str">
        <f>VLOOKUP(B461,Sheet3!$B$2:$E$311,4,)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VLOOKUP(B462,Sheet3!$B$2:$E$311,2,FALSE)</f>
        <v>#N/A</v>
      </c>
      <c r="D462" s="6" t="str">
        <f>VLOOKUP(B462,Sheet3!$B$2:$E$311,3,)</f>
        <v>#N/A</v>
      </c>
      <c r="E462" s="6" t="str">
        <f>VLOOKUP(B462,Sheet3!$B$2:$E$311,4,)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VLOOKUP(B463,Sheet3!$B$2:$E$311,2,FALSE)</f>
        <v>#N/A</v>
      </c>
      <c r="D463" s="6" t="str">
        <f>VLOOKUP(B463,Sheet3!$B$2:$E$311,3,)</f>
        <v>#N/A</v>
      </c>
      <c r="E463" s="6" t="str">
        <f>VLOOKUP(B463,Sheet3!$B$2:$E$311,4,)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VLOOKUP(B464,Sheet3!$B$2:$E$311,2,FALSE)</f>
        <v>#N/A</v>
      </c>
      <c r="D464" s="6" t="str">
        <f>VLOOKUP(B464,Sheet3!$B$2:$E$311,3,)</f>
        <v>#N/A</v>
      </c>
      <c r="E464" s="6" t="str">
        <f>VLOOKUP(B464,Sheet3!$B$2:$E$311,4,)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VLOOKUP(B465,Sheet3!$B$2:$E$311,2,FALSE)</f>
        <v>#N/A</v>
      </c>
      <c r="D465" s="6" t="str">
        <f>VLOOKUP(B465,Sheet3!$B$2:$E$311,3,)</f>
        <v>#N/A</v>
      </c>
      <c r="E465" s="6" t="str">
        <f>VLOOKUP(B465,Sheet3!$B$2:$E$311,4,)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VLOOKUP(B466,Sheet3!$B$2:$E$311,2,FALSE)</f>
        <v>#N/A</v>
      </c>
      <c r="D466" s="6" t="str">
        <f>VLOOKUP(B466,Sheet3!$B$2:$E$311,3,)</f>
        <v>#N/A</v>
      </c>
      <c r="E466" s="6" t="str">
        <f>VLOOKUP(B466,Sheet3!$B$2:$E$311,4,)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VLOOKUP(B467,Sheet3!$B$2:$E$311,2,FALSE)</f>
        <v>#N/A</v>
      </c>
      <c r="D467" s="6" t="str">
        <f>VLOOKUP(B467,Sheet3!$B$2:$E$311,3,)</f>
        <v>#N/A</v>
      </c>
      <c r="E467" s="6" t="str">
        <f>VLOOKUP(B467,Sheet3!$B$2:$E$311,4,)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VLOOKUP(B468,Sheet3!$B$2:$E$311,2,FALSE)</f>
        <v>#N/A</v>
      </c>
      <c r="D468" s="6" t="str">
        <f>VLOOKUP(B468,Sheet3!$B$2:$E$311,3,)</f>
        <v>#N/A</v>
      </c>
      <c r="E468" s="6" t="str">
        <f>VLOOKUP(B468,Sheet3!$B$2:$E$311,4,)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VLOOKUP(B469,Sheet3!$B$2:$E$311,2,FALSE)</f>
        <v>#N/A</v>
      </c>
      <c r="D469" s="6" t="str">
        <f>VLOOKUP(B469,Sheet3!$B$2:$E$311,3,)</f>
        <v>#N/A</v>
      </c>
      <c r="E469" s="6" t="str">
        <f>VLOOKUP(B469,Sheet3!$B$2:$E$311,4,)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VLOOKUP(B470,Sheet3!$B$2:$E$311,2,FALSE)</f>
        <v>#N/A</v>
      </c>
      <c r="D470" s="6" t="str">
        <f>VLOOKUP(B470,Sheet3!$B$2:$E$311,3,)</f>
        <v>#N/A</v>
      </c>
      <c r="E470" s="6" t="str">
        <f>VLOOKUP(B470,Sheet3!$B$2:$E$311,4,)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VLOOKUP(B471,Sheet3!$B$2:$E$311,2,FALSE)</f>
        <v>#N/A</v>
      </c>
      <c r="D471" s="6" t="str">
        <f>VLOOKUP(B471,Sheet3!$B$2:$E$311,3,)</f>
        <v>#N/A</v>
      </c>
      <c r="E471" s="6" t="str">
        <f>VLOOKUP(B471,Sheet3!$B$2:$E$311,4,)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VLOOKUP(B472,Sheet3!$B$2:$E$311,2,FALSE)</f>
        <v>#N/A</v>
      </c>
      <c r="D472" s="6" t="str">
        <f>VLOOKUP(B472,Sheet3!$B$2:$E$311,3,)</f>
        <v>#N/A</v>
      </c>
      <c r="E472" s="6" t="str">
        <f>VLOOKUP(B472,Sheet3!$B$2:$E$311,4,)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VLOOKUP(B473,Sheet3!$B$2:$E$311,2,FALSE)</f>
        <v>#N/A</v>
      </c>
      <c r="D473" s="6" t="str">
        <f>VLOOKUP(B473,Sheet3!$B$2:$E$311,3,)</f>
        <v>#N/A</v>
      </c>
      <c r="E473" s="6" t="str">
        <f>VLOOKUP(B473,Sheet3!$B$2:$E$311,4,)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VLOOKUP(B474,Sheet3!$B$2:$E$311,2,FALSE)</f>
        <v>#N/A</v>
      </c>
      <c r="D474" s="6" t="str">
        <f>VLOOKUP(B474,Sheet3!$B$2:$E$311,3,)</f>
        <v>#N/A</v>
      </c>
      <c r="E474" s="6" t="str">
        <f>VLOOKUP(B474,Sheet3!$B$2:$E$311,4,)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VLOOKUP(B475,Sheet3!$B$2:$E$311,2,FALSE)</f>
        <v>#N/A</v>
      </c>
      <c r="D475" s="6" t="str">
        <f>VLOOKUP(B475,Sheet3!$B$2:$E$311,3,)</f>
        <v>#N/A</v>
      </c>
      <c r="E475" s="6" t="str">
        <f>VLOOKUP(B475,Sheet3!$B$2:$E$311,4,)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VLOOKUP(B476,Sheet3!$B$2:$E$311,2,FALSE)</f>
        <v>#N/A</v>
      </c>
      <c r="D476" s="6" t="str">
        <f>VLOOKUP(B476,Sheet3!$B$2:$E$311,3,)</f>
        <v>#N/A</v>
      </c>
      <c r="E476" s="6" t="str">
        <f>VLOOKUP(B476,Sheet3!$B$2:$E$311,4,)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VLOOKUP(B477,Sheet3!$B$2:$E$311,2,FALSE)</f>
        <v>#N/A</v>
      </c>
      <c r="D477" s="6" t="str">
        <f>VLOOKUP(B477,Sheet3!$B$2:$E$311,3,)</f>
        <v>#N/A</v>
      </c>
      <c r="E477" s="6" t="str">
        <f>VLOOKUP(B477,Sheet3!$B$2:$E$311,4,)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VLOOKUP(B478,Sheet3!$B$2:$E$311,2,FALSE)</f>
        <v>#N/A</v>
      </c>
      <c r="D478" s="6" t="str">
        <f>VLOOKUP(B478,Sheet3!$B$2:$E$311,3,)</f>
        <v>#N/A</v>
      </c>
      <c r="E478" s="6" t="str">
        <f>VLOOKUP(B478,Sheet3!$B$2:$E$311,4,)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VLOOKUP(B479,Sheet3!$B$2:$E$311,2,FALSE)</f>
        <v>#N/A</v>
      </c>
      <c r="D479" s="6" t="str">
        <f>VLOOKUP(B479,Sheet3!$B$2:$E$311,3,)</f>
        <v>#N/A</v>
      </c>
      <c r="E479" s="6" t="str">
        <f>VLOOKUP(B479,Sheet3!$B$2:$E$311,4,)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VLOOKUP(B480,Sheet3!$B$2:$E$311,2,FALSE)</f>
        <v>#N/A</v>
      </c>
      <c r="D480" s="6" t="str">
        <f>VLOOKUP(B480,Sheet3!$B$2:$E$311,3,)</f>
        <v>#N/A</v>
      </c>
      <c r="E480" s="6" t="str">
        <f>VLOOKUP(B480,Sheet3!$B$2:$E$311,4,)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VLOOKUP(B481,Sheet3!$B$2:$E$311,2,FALSE)</f>
        <v>#N/A</v>
      </c>
      <c r="D481" s="6" t="str">
        <f>VLOOKUP(B481,Sheet3!$B$2:$E$311,3,)</f>
        <v>#N/A</v>
      </c>
      <c r="E481" s="6" t="str">
        <f>VLOOKUP(B481,Sheet3!$B$2:$E$311,4,)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VLOOKUP(B482,Sheet3!$B$2:$E$311,2,FALSE)</f>
        <v>#N/A</v>
      </c>
      <c r="D482" s="6" t="str">
        <f>VLOOKUP(B482,Sheet3!$B$2:$E$311,3,)</f>
        <v>#N/A</v>
      </c>
      <c r="E482" s="6" t="str">
        <f>VLOOKUP(B482,Sheet3!$B$2:$E$311,4,)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VLOOKUP(B483,Sheet3!$B$2:$E$311,2,FALSE)</f>
        <v>#N/A</v>
      </c>
      <c r="D483" s="6" t="str">
        <f>VLOOKUP(B483,Sheet3!$B$2:$E$311,3,)</f>
        <v>#N/A</v>
      </c>
      <c r="E483" s="6" t="str">
        <f>VLOOKUP(B483,Sheet3!$B$2:$E$311,4,)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VLOOKUP(B484,Sheet3!$B$2:$E$311,2,FALSE)</f>
        <v>#N/A</v>
      </c>
      <c r="D484" s="6" t="str">
        <f>VLOOKUP(B484,Sheet3!$B$2:$E$311,3,)</f>
        <v>#N/A</v>
      </c>
      <c r="E484" s="6" t="str">
        <f>VLOOKUP(B484,Sheet3!$B$2:$E$311,4,)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VLOOKUP(B485,Sheet3!$B$2:$E$311,2,FALSE)</f>
        <v>#N/A</v>
      </c>
      <c r="D485" s="6" t="str">
        <f>VLOOKUP(B485,Sheet3!$B$2:$E$311,3,)</f>
        <v>#N/A</v>
      </c>
      <c r="E485" s="6" t="str">
        <f>VLOOKUP(B485,Sheet3!$B$2:$E$311,4,)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VLOOKUP(B486,Sheet3!$B$2:$E$311,2,FALSE)</f>
        <v>#N/A</v>
      </c>
      <c r="D486" s="6" t="str">
        <f>VLOOKUP(B486,Sheet3!$B$2:$E$311,3,)</f>
        <v>#N/A</v>
      </c>
      <c r="E486" s="6" t="str">
        <f>VLOOKUP(B486,Sheet3!$B$2:$E$311,4,)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VLOOKUP(B487,Sheet3!$B$2:$E$311,2,FALSE)</f>
        <v>#N/A</v>
      </c>
      <c r="D487" s="6" t="str">
        <f>VLOOKUP(B487,Sheet3!$B$2:$E$311,3,)</f>
        <v>#N/A</v>
      </c>
      <c r="E487" s="6" t="str">
        <f>VLOOKUP(B487,Sheet3!$B$2:$E$311,4,)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VLOOKUP(B488,Sheet3!$B$2:$E$311,2,FALSE)</f>
        <v>#N/A</v>
      </c>
      <c r="D488" s="6" t="str">
        <f>VLOOKUP(B488,Sheet3!$B$2:$E$311,3,)</f>
        <v>#N/A</v>
      </c>
      <c r="E488" s="6" t="str">
        <f>VLOOKUP(B488,Sheet3!$B$2:$E$311,4,)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VLOOKUP(B489,Sheet3!$B$2:$E$311,2,FALSE)</f>
        <v>#N/A</v>
      </c>
      <c r="D489" s="6" t="str">
        <f>VLOOKUP(B489,Sheet3!$B$2:$E$311,3,)</f>
        <v>#N/A</v>
      </c>
      <c r="E489" s="6" t="str">
        <f>VLOOKUP(B489,Sheet3!$B$2:$E$311,4,)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VLOOKUP(B490,Sheet3!$B$2:$E$311,2,FALSE)</f>
        <v>#N/A</v>
      </c>
      <c r="D490" s="6" t="str">
        <f>VLOOKUP(B490,Sheet3!$B$2:$E$311,3,)</f>
        <v>#N/A</v>
      </c>
      <c r="E490" s="6" t="str">
        <f>VLOOKUP(B490,Sheet3!$B$2:$E$311,4,)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VLOOKUP(B491,Sheet3!$B$2:$E$311,2,FALSE)</f>
        <v>#N/A</v>
      </c>
      <c r="D491" s="6" t="str">
        <f>VLOOKUP(B491,Sheet3!$B$2:$E$311,3,)</f>
        <v>#N/A</v>
      </c>
      <c r="E491" s="6" t="str">
        <f>VLOOKUP(B491,Sheet3!$B$2:$E$311,4,)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VLOOKUP(B492,Sheet3!$B$2:$E$311,2,FALSE)</f>
        <v>#N/A</v>
      </c>
      <c r="D492" s="6" t="str">
        <f>VLOOKUP(B492,Sheet3!$B$2:$E$311,3,)</f>
        <v>#N/A</v>
      </c>
      <c r="E492" s="6" t="str">
        <f>VLOOKUP(B492,Sheet3!$B$2:$E$311,4,)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VLOOKUP(B493,Sheet3!$B$2:$E$311,2,FALSE)</f>
        <v>#N/A</v>
      </c>
      <c r="D493" s="6" t="str">
        <f>VLOOKUP(B493,Sheet3!$B$2:$E$311,3,)</f>
        <v>#N/A</v>
      </c>
      <c r="E493" s="6" t="str">
        <f>VLOOKUP(B493,Sheet3!$B$2:$E$311,4,)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VLOOKUP(B494,Sheet3!$B$2:$E$311,2,FALSE)</f>
        <v>#N/A</v>
      </c>
      <c r="D494" s="6" t="str">
        <f>VLOOKUP(B494,Sheet3!$B$2:$E$311,3,)</f>
        <v>#N/A</v>
      </c>
      <c r="E494" s="6" t="str">
        <f>VLOOKUP(B494,Sheet3!$B$2:$E$311,4,)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VLOOKUP(B495,Sheet3!$B$2:$E$311,2,FALSE)</f>
        <v>#N/A</v>
      </c>
      <c r="D495" s="6" t="str">
        <f>VLOOKUP(B495,Sheet3!$B$2:$E$311,3,)</f>
        <v>#N/A</v>
      </c>
      <c r="E495" s="6" t="str">
        <f>VLOOKUP(B495,Sheet3!$B$2:$E$311,4,)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VLOOKUP(B496,Sheet3!$B$2:$E$311,2,FALSE)</f>
        <v>#N/A</v>
      </c>
      <c r="D496" s="6" t="str">
        <f>VLOOKUP(B496,Sheet3!$B$2:$E$311,3,)</f>
        <v>#N/A</v>
      </c>
      <c r="E496" s="6" t="str">
        <f>VLOOKUP(B496,Sheet3!$B$2:$E$311,4,)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VLOOKUP(B497,Sheet3!$B$2:$E$311,2,FALSE)</f>
        <v>#N/A</v>
      </c>
      <c r="D497" s="6" t="str">
        <f>VLOOKUP(B497,Sheet3!$B$2:$E$311,3,)</f>
        <v>#N/A</v>
      </c>
      <c r="E497" s="6" t="str">
        <f>VLOOKUP(B497,Sheet3!$B$2:$E$311,4,)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VLOOKUP(B498,Sheet3!$B$2:$E$311,2,FALSE)</f>
        <v>#N/A</v>
      </c>
      <c r="D498" s="6" t="str">
        <f>VLOOKUP(B498,Sheet3!$B$2:$E$311,3,)</f>
        <v>#N/A</v>
      </c>
      <c r="E498" s="6" t="str">
        <f>VLOOKUP(B498,Sheet3!$B$2:$E$311,4,)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VLOOKUP(B499,Sheet3!$B$2:$E$311,2,FALSE)</f>
        <v>#N/A</v>
      </c>
      <c r="D499" s="6" t="str">
        <f>VLOOKUP(B499,Sheet3!$B$2:$E$311,3,)</f>
        <v>#N/A</v>
      </c>
      <c r="E499" s="6" t="str">
        <f>VLOOKUP(B499,Sheet3!$B$2:$E$311,4,)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VLOOKUP(B500,Sheet3!$B$2:$E$311,2,FALSE)</f>
        <v>#N/A</v>
      </c>
      <c r="D500" s="6" t="str">
        <f>VLOOKUP(B500,Sheet3!$B$2:$E$311,3,)</f>
        <v>#N/A</v>
      </c>
      <c r="E500" s="6" t="str">
        <f>VLOOKUP(B500,Sheet3!$B$2:$E$311,4,)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VLOOKUP(B501,Sheet3!$B$2:$E$311,2,FALSE)</f>
        <v>#N/A</v>
      </c>
      <c r="D501" s="6" t="str">
        <f>VLOOKUP(B501,Sheet3!$B$2:$E$311,3,)</f>
        <v>#N/A</v>
      </c>
      <c r="E501" s="6" t="str">
        <f>VLOOKUP(B501,Sheet3!$B$2:$E$311,4,)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VLOOKUP(B502,Sheet3!$B$2:$E$311,2,FALSE)</f>
        <v>#N/A</v>
      </c>
      <c r="D502" s="6" t="str">
        <f>VLOOKUP(B502,Sheet3!$B$2:$E$311,3,)</f>
        <v>#N/A</v>
      </c>
      <c r="E502" s="6" t="str">
        <f>VLOOKUP(B502,Sheet3!$B$2:$E$311,4,)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VLOOKUP(B503,Sheet3!$B$2:$E$311,2,FALSE)</f>
        <v>#N/A</v>
      </c>
      <c r="D503" s="6" t="str">
        <f>VLOOKUP(B503,Sheet3!$B$2:$E$311,3,)</f>
        <v>#N/A</v>
      </c>
      <c r="E503" s="6" t="str">
        <f>VLOOKUP(B503,Sheet3!$B$2:$E$311,4,)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VLOOKUP(B504,Sheet3!$B$2:$E$311,2,FALSE)</f>
        <v>#N/A</v>
      </c>
      <c r="D504" s="6" t="str">
        <f>VLOOKUP(B504,Sheet3!$B$2:$E$311,3,)</f>
        <v>#N/A</v>
      </c>
      <c r="E504" s="6" t="str">
        <f>VLOOKUP(B504,Sheet3!$B$2:$E$311,4,)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VLOOKUP(B505,Sheet3!$B$2:$E$311,2,FALSE)</f>
        <v>#N/A</v>
      </c>
      <c r="D505" s="6" t="str">
        <f>VLOOKUP(B505,Sheet3!$B$2:$E$311,3,)</f>
        <v>#N/A</v>
      </c>
      <c r="E505" s="6" t="str">
        <f>VLOOKUP(B505,Sheet3!$B$2:$E$311,4,)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VLOOKUP(B506,Sheet3!$B$2:$E$311,2,FALSE)</f>
        <v>#N/A</v>
      </c>
      <c r="D506" s="6" t="str">
        <f>VLOOKUP(B506,Sheet3!$B$2:$E$311,3,)</f>
        <v>#N/A</v>
      </c>
      <c r="E506" s="6" t="str">
        <f>VLOOKUP(B506,Sheet3!$B$2:$E$311,4,)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VLOOKUP(B507,Sheet3!$B$2:$E$311,2,FALSE)</f>
        <v>#N/A</v>
      </c>
      <c r="D507" s="6" t="str">
        <f>VLOOKUP(B507,Sheet3!$B$2:$E$311,3,)</f>
        <v>#N/A</v>
      </c>
      <c r="E507" s="6" t="str">
        <f>VLOOKUP(B507,Sheet3!$B$2:$E$311,4,)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VLOOKUP(B508,Sheet3!$B$2:$E$311,2,FALSE)</f>
        <v>#N/A</v>
      </c>
      <c r="D508" s="6" t="str">
        <f>VLOOKUP(B508,Sheet3!$B$2:$E$311,3,)</f>
        <v>#N/A</v>
      </c>
      <c r="E508" s="6" t="str">
        <f>VLOOKUP(B508,Sheet3!$B$2:$E$311,4,)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VLOOKUP(B509,Sheet3!$B$2:$E$311,2,FALSE)</f>
        <v>#N/A</v>
      </c>
      <c r="D509" s="6" t="str">
        <f>VLOOKUP(B509,Sheet3!$B$2:$E$311,3,)</f>
        <v>#N/A</v>
      </c>
      <c r="E509" s="6" t="str">
        <f>VLOOKUP(B509,Sheet3!$B$2:$E$311,4,)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VLOOKUP(B510,Sheet3!$B$2:$E$311,2,FALSE)</f>
        <v>#N/A</v>
      </c>
      <c r="D510" s="6" t="str">
        <f>VLOOKUP(B510,Sheet3!$B$2:$E$311,3,)</f>
        <v>#N/A</v>
      </c>
      <c r="E510" s="6" t="str">
        <f>VLOOKUP(B510,Sheet3!$B$2:$E$311,4,)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VLOOKUP(B511,Sheet3!$B$2:$E$311,2,FALSE)</f>
        <v>#N/A</v>
      </c>
      <c r="D511" s="6" t="str">
        <f>VLOOKUP(B511,Sheet3!$B$2:$E$311,3,)</f>
        <v>#N/A</v>
      </c>
      <c r="E511" s="6" t="str">
        <f>VLOOKUP(B511,Sheet3!$B$2:$E$311,4,)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VLOOKUP(B512,Sheet3!$B$2:$E$311,2,FALSE)</f>
        <v>#N/A</v>
      </c>
      <c r="D512" s="6" t="str">
        <f>VLOOKUP(B512,Sheet3!$B$2:$E$311,3,)</f>
        <v>#N/A</v>
      </c>
      <c r="E512" s="6" t="str">
        <f>VLOOKUP(B512,Sheet3!$B$2:$E$311,4,)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VLOOKUP(B513,Sheet3!$B$2:$E$311,2,FALSE)</f>
        <v>#N/A</v>
      </c>
      <c r="D513" s="6" t="str">
        <f>VLOOKUP(B513,Sheet3!$B$2:$E$311,3,)</f>
        <v>#N/A</v>
      </c>
      <c r="E513" s="6" t="str">
        <f>VLOOKUP(B513,Sheet3!$B$2:$E$311,4,)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VLOOKUP(B514,Sheet3!$B$2:$E$311,2,FALSE)</f>
        <v>#N/A</v>
      </c>
      <c r="D514" s="6" t="str">
        <f>VLOOKUP(B514,Sheet3!$B$2:$E$311,3,)</f>
        <v>#N/A</v>
      </c>
      <c r="E514" s="6" t="str">
        <f>VLOOKUP(B514,Sheet3!$B$2:$E$311,4,)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VLOOKUP(B515,Sheet3!$B$2:$E$311,2,FALSE)</f>
        <v>#N/A</v>
      </c>
      <c r="D515" s="6" t="str">
        <f>VLOOKUP(B515,Sheet3!$B$2:$E$311,3,)</f>
        <v>#N/A</v>
      </c>
      <c r="E515" s="6" t="str">
        <f>VLOOKUP(B515,Sheet3!$B$2:$E$311,4,)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VLOOKUP(B516,Sheet3!$B$2:$E$311,2,FALSE)</f>
        <v>#N/A</v>
      </c>
      <c r="D516" s="6" t="str">
        <f>VLOOKUP(B516,Sheet3!$B$2:$E$311,3,)</f>
        <v>#N/A</v>
      </c>
      <c r="E516" s="6" t="str">
        <f>VLOOKUP(B516,Sheet3!$B$2:$E$311,4,)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VLOOKUP(B517,Sheet3!$B$2:$E$311,2,FALSE)</f>
        <v>#N/A</v>
      </c>
      <c r="D517" s="6" t="str">
        <f>VLOOKUP(B517,Sheet3!$B$2:$E$311,3,)</f>
        <v>#N/A</v>
      </c>
      <c r="E517" s="6" t="str">
        <f>VLOOKUP(B517,Sheet3!$B$2:$E$311,4,)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VLOOKUP(B518,Sheet3!$B$2:$E$311,2,FALSE)</f>
        <v>#N/A</v>
      </c>
      <c r="D518" s="6" t="str">
        <f>VLOOKUP(B518,Sheet3!$B$2:$E$311,3,)</f>
        <v>#N/A</v>
      </c>
      <c r="E518" s="6" t="str">
        <f>VLOOKUP(B518,Sheet3!$B$2:$E$311,4,)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VLOOKUP(B519,Sheet3!$B$2:$E$311,2,FALSE)</f>
        <v>#N/A</v>
      </c>
      <c r="D519" s="6" t="str">
        <f>VLOOKUP(B519,Sheet3!$B$2:$E$311,3,)</f>
        <v>#N/A</v>
      </c>
      <c r="E519" s="6" t="str">
        <f>VLOOKUP(B519,Sheet3!$B$2:$E$311,4,)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VLOOKUP(B520,Sheet3!$B$2:$E$311,2,FALSE)</f>
        <v>#N/A</v>
      </c>
      <c r="D520" s="6" t="str">
        <f>VLOOKUP(B520,Sheet3!$B$2:$E$311,3,)</f>
        <v>#N/A</v>
      </c>
      <c r="E520" s="6" t="str">
        <f>VLOOKUP(B520,Sheet3!$B$2:$E$311,4,)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VLOOKUP(B521,Sheet3!$B$2:$E$311,2,FALSE)</f>
        <v>#N/A</v>
      </c>
      <c r="D521" s="6" t="str">
        <f>VLOOKUP(B521,Sheet3!$B$2:$E$311,3,)</f>
        <v>#N/A</v>
      </c>
      <c r="E521" s="6" t="str">
        <f>VLOOKUP(B521,Sheet3!$B$2:$E$311,4,)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VLOOKUP(B522,Sheet3!$B$2:$E$311,2,FALSE)</f>
        <v>#N/A</v>
      </c>
      <c r="D522" s="6" t="str">
        <f>VLOOKUP(B522,Sheet3!$B$2:$E$311,3,)</f>
        <v>#N/A</v>
      </c>
      <c r="E522" s="6" t="str">
        <f>VLOOKUP(B522,Sheet3!$B$2:$E$311,4,)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VLOOKUP(B523,Sheet3!$B$2:$E$311,2,FALSE)</f>
        <v>#N/A</v>
      </c>
      <c r="D523" s="6" t="str">
        <f>VLOOKUP(B523,Sheet3!$B$2:$E$311,3,)</f>
        <v>#N/A</v>
      </c>
      <c r="E523" s="6" t="str">
        <f>VLOOKUP(B523,Sheet3!$B$2:$E$311,4,)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VLOOKUP(B524,Sheet3!$B$2:$E$311,2,FALSE)</f>
        <v>#N/A</v>
      </c>
      <c r="D524" s="6" t="str">
        <f>VLOOKUP(B524,Sheet3!$B$2:$E$311,3,)</f>
        <v>#N/A</v>
      </c>
      <c r="E524" s="6" t="str">
        <f>VLOOKUP(B524,Sheet3!$B$2:$E$311,4,)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VLOOKUP(B525,Sheet3!$B$2:$E$311,2,FALSE)</f>
        <v>#N/A</v>
      </c>
      <c r="D525" s="6" t="str">
        <f>VLOOKUP(B525,Sheet3!$B$2:$E$311,3,)</f>
        <v>#N/A</v>
      </c>
      <c r="E525" s="6" t="str">
        <f>VLOOKUP(B525,Sheet3!$B$2:$E$311,4,)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VLOOKUP(B526,Sheet3!$B$2:$E$311,2,FALSE)</f>
        <v>#N/A</v>
      </c>
      <c r="D526" s="6" t="str">
        <f>VLOOKUP(B526,Sheet3!$B$2:$E$311,3,)</f>
        <v>#N/A</v>
      </c>
      <c r="E526" s="6" t="str">
        <f>VLOOKUP(B526,Sheet3!$B$2:$E$311,4,)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VLOOKUP(B527,Sheet3!$B$2:$E$311,2,FALSE)</f>
        <v>#N/A</v>
      </c>
      <c r="D527" s="6" t="str">
        <f>VLOOKUP(B527,Sheet3!$B$2:$E$311,3,)</f>
        <v>#N/A</v>
      </c>
      <c r="E527" s="6" t="str">
        <f>VLOOKUP(B527,Sheet3!$B$2:$E$311,4,)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VLOOKUP(B528,Sheet3!$B$2:$E$311,2,FALSE)</f>
        <v>#N/A</v>
      </c>
      <c r="D528" s="6" t="str">
        <f>VLOOKUP(B528,Sheet3!$B$2:$E$311,3,)</f>
        <v>#N/A</v>
      </c>
      <c r="E528" s="6" t="str">
        <f>VLOOKUP(B528,Sheet3!$B$2:$E$311,4,)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VLOOKUP(B529,Sheet3!$B$2:$E$311,2,FALSE)</f>
        <v>#N/A</v>
      </c>
      <c r="D529" s="6" t="str">
        <f>VLOOKUP(B529,Sheet3!$B$2:$E$311,3,)</f>
        <v>#N/A</v>
      </c>
      <c r="E529" s="6" t="str">
        <f>VLOOKUP(B529,Sheet3!$B$2:$E$311,4,)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VLOOKUP(B530,Sheet3!$B$2:$E$311,2,FALSE)</f>
        <v>#N/A</v>
      </c>
      <c r="D530" s="6" t="str">
        <f>VLOOKUP(B530,Sheet3!$B$2:$E$311,3,)</f>
        <v>#N/A</v>
      </c>
      <c r="E530" s="6" t="str">
        <f>VLOOKUP(B530,Sheet3!$B$2:$E$311,4,)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VLOOKUP(B531,Sheet3!$B$2:$E$311,2,FALSE)</f>
        <v>#N/A</v>
      </c>
      <c r="D531" s="6" t="str">
        <f>VLOOKUP(B531,Sheet3!$B$2:$E$311,3,)</f>
        <v>#N/A</v>
      </c>
      <c r="E531" s="6" t="str">
        <f>VLOOKUP(B531,Sheet3!$B$2:$E$311,4,)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VLOOKUP(B532,Sheet3!$B$2:$E$311,2,FALSE)</f>
        <v>#N/A</v>
      </c>
      <c r="D532" s="6" t="str">
        <f>VLOOKUP(B532,Sheet3!$B$2:$E$311,3,)</f>
        <v>#N/A</v>
      </c>
      <c r="E532" s="6" t="str">
        <f>VLOOKUP(B532,Sheet3!$B$2:$E$311,4,)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VLOOKUP(B533,Sheet3!$B$2:$E$311,2,FALSE)</f>
        <v>#N/A</v>
      </c>
      <c r="D533" s="6" t="str">
        <f>VLOOKUP(B533,Sheet3!$B$2:$E$311,3,)</f>
        <v>#N/A</v>
      </c>
      <c r="E533" s="6" t="str">
        <f>VLOOKUP(B533,Sheet3!$B$2:$E$311,4,)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VLOOKUP(B534,Sheet3!$B$2:$E$311,2,FALSE)</f>
        <v>#N/A</v>
      </c>
      <c r="D534" s="6" t="str">
        <f>VLOOKUP(B534,Sheet3!$B$2:$E$311,3,)</f>
        <v>#N/A</v>
      </c>
      <c r="E534" s="6" t="str">
        <f>VLOOKUP(B534,Sheet3!$B$2:$E$311,4,)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VLOOKUP(B535,Sheet3!$B$2:$E$311,2,FALSE)</f>
        <v>#N/A</v>
      </c>
      <c r="D535" s="6" t="str">
        <f>VLOOKUP(B535,Sheet3!$B$2:$E$311,3,)</f>
        <v>#N/A</v>
      </c>
      <c r="E535" s="6" t="str">
        <f>VLOOKUP(B535,Sheet3!$B$2:$E$311,4,)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VLOOKUP(B536,Sheet3!$B$2:$E$311,2,FALSE)</f>
        <v>#N/A</v>
      </c>
      <c r="D536" s="6" t="str">
        <f>VLOOKUP(B536,Sheet3!$B$2:$E$311,3,)</f>
        <v>#N/A</v>
      </c>
      <c r="E536" s="6" t="str">
        <f>VLOOKUP(B536,Sheet3!$B$2:$E$311,4,)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VLOOKUP(B537,Sheet3!$B$2:$E$311,2,FALSE)</f>
        <v>#N/A</v>
      </c>
      <c r="D537" s="6" t="str">
        <f>VLOOKUP(B537,Sheet3!$B$2:$E$311,3,)</f>
        <v>#N/A</v>
      </c>
      <c r="E537" s="6" t="str">
        <f>VLOOKUP(B537,Sheet3!$B$2:$E$311,4,)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VLOOKUP(B538,Sheet3!$B$2:$E$311,2,FALSE)</f>
        <v>#N/A</v>
      </c>
      <c r="D538" s="6" t="str">
        <f>VLOOKUP(B538,Sheet3!$B$2:$E$311,3,)</f>
        <v>#N/A</v>
      </c>
      <c r="E538" s="6" t="str">
        <f>VLOOKUP(B538,Sheet3!$B$2:$E$311,4,)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VLOOKUP(B539,Sheet3!$B$2:$E$311,2,FALSE)</f>
        <v>#N/A</v>
      </c>
      <c r="D539" s="6" t="str">
        <f>VLOOKUP(B539,Sheet3!$B$2:$E$311,3,)</f>
        <v>#N/A</v>
      </c>
      <c r="E539" s="6" t="str">
        <f>VLOOKUP(B539,Sheet3!$B$2:$E$311,4,)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VLOOKUP(B540,Sheet3!$B$2:$E$311,2,FALSE)</f>
        <v>#N/A</v>
      </c>
      <c r="D540" s="6" t="str">
        <f>VLOOKUP(B540,Sheet3!$B$2:$E$311,3,)</f>
        <v>#N/A</v>
      </c>
      <c r="E540" s="6" t="str">
        <f>VLOOKUP(B540,Sheet3!$B$2:$E$311,4,)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VLOOKUP(B541,Sheet3!$B$2:$E$311,2,FALSE)</f>
        <v>#N/A</v>
      </c>
      <c r="D541" s="6" t="str">
        <f>VLOOKUP(B541,Sheet3!$B$2:$E$311,3,)</f>
        <v>#N/A</v>
      </c>
      <c r="E541" s="6" t="str">
        <f>VLOOKUP(B541,Sheet3!$B$2:$E$311,4,)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VLOOKUP(B542,Sheet3!$B$2:$E$311,2,FALSE)</f>
        <v>#N/A</v>
      </c>
      <c r="D542" s="6" t="str">
        <f>VLOOKUP(B542,Sheet3!$B$2:$E$311,3,)</f>
        <v>#N/A</v>
      </c>
      <c r="E542" s="6" t="str">
        <f>VLOOKUP(B542,Sheet3!$B$2:$E$311,4,)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VLOOKUP(B543,Sheet3!$B$2:$E$311,2,FALSE)</f>
        <v>#N/A</v>
      </c>
      <c r="D543" s="6" t="str">
        <f>VLOOKUP(B543,Sheet3!$B$2:$E$311,3,)</f>
        <v>#N/A</v>
      </c>
      <c r="E543" s="6" t="str">
        <f>VLOOKUP(B543,Sheet3!$B$2:$E$311,4,)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VLOOKUP(B544,Sheet3!$B$2:$E$311,2,FALSE)</f>
        <v>#N/A</v>
      </c>
      <c r="D544" s="6" t="str">
        <f>VLOOKUP(B544,Sheet3!$B$2:$E$311,3,)</f>
        <v>#N/A</v>
      </c>
      <c r="E544" s="6" t="str">
        <f>VLOOKUP(B544,Sheet3!$B$2:$E$311,4,)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VLOOKUP(B545,Sheet3!$B$2:$E$311,2,FALSE)</f>
        <v>#N/A</v>
      </c>
      <c r="D545" s="6" t="str">
        <f>VLOOKUP(B545,Sheet3!$B$2:$E$311,3,)</f>
        <v>#N/A</v>
      </c>
      <c r="E545" s="6" t="str">
        <f>VLOOKUP(B545,Sheet3!$B$2:$E$311,4,)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VLOOKUP(B546,Sheet3!$B$2:$E$311,2,FALSE)</f>
        <v>#N/A</v>
      </c>
      <c r="D546" s="6" t="str">
        <f>VLOOKUP(B546,Sheet3!$B$2:$E$311,3,)</f>
        <v>#N/A</v>
      </c>
      <c r="E546" s="6" t="str">
        <f>VLOOKUP(B546,Sheet3!$B$2:$E$311,4,)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VLOOKUP(B547,Sheet3!$B$2:$E$311,2,FALSE)</f>
        <v>#N/A</v>
      </c>
      <c r="D547" s="6" t="str">
        <f>VLOOKUP(B547,Sheet3!$B$2:$E$311,3,)</f>
        <v>#N/A</v>
      </c>
      <c r="E547" s="6" t="str">
        <f>VLOOKUP(B547,Sheet3!$B$2:$E$311,4,)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VLOOKUP(B548,Sheet3!$B$2:$E$311,2,FALSE)</f>
        <v>#N/A</v>
      </c>
      <c r="D548" s="6" t="str">
        <f>VLOOKUP(B548,Sheet3!$B$2:$E$311,3,)</f>
        <v>#N/A</v>
      </c>
      <c r="E548" s="6" t="str">
        <f>VLOOKUP(B548,Sheet3!$B$2:$E$311,4,)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VLOOKUP(B549,Sheet3!$B$2:$E$311,2,FALSE)</f>
        <v>#N/A</v>
      </c>
      <c r="D549" s="6" t="str">
        <f>VLOOKUP(B549,Sheet3!$B$2:$E$311,3,)</f>
        <v>#N/A</v>
      </c>
      <c r="E549" s="6" t="str">
        <f>VLOOKUP(B549,Sheet3!$B$2:$E$311,4,)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VLOOKUP(B550,Sheet3!$B$2:$E$311,2,FALSE)</f>
        <v>#N/A</v>
      </c>
      <c r="D550" s="6" t="str">
        <f>VLOOKUP(B550,Sheet3!$B$2:$E$311,3,)</f>
        <v>#N/A</v>
      </c>
      <c r="E550" s="6" t="str">
        <f>VLOOKUP(B550,Sheet3!$B$2:$E$311,4,)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VLOOKUP(B551,Sheet3!$B$2:$E$311,2,FALSE)</f>
        <v>#N/A</v>
      </c>
      <c r="D551" s="6" t="str">
        <f>VLOOKUP(B551,Sheet3!$B$2:$E$311,3,)</f>
        <v>#N/A</v>
      </c>
      <c r="E551" s="6" t="str">
        <f>VLOOKUP(B551,Sheet3!$B$2:$E$311,4,)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VLOOKUP(B552,Sheet3!$B$2:$E$311,2,FALSE)</f>
        <v>#N/A</v>
      </c>
      <c r="D552" s="6" t="str">
        <f>VLOOKUP(B552,Sheet3!$B$2:$E$311,3,)</f>
        <v>#N/A</v>
      </c>
      <c r="E552" s="6" t="str">
        <f>VLOOKUP(B552,Sheet3!$B$2:$E$311,4,)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VLOOKUP(B553,Sheet3!$B$2:$E$311,2,FALSE)</f>
        <v>#N/A</v>
      </c>
      <c r="D553" s="6" t="str">
        <f>VLOOKUP(B553,Sheet3!$B$2:$E$311,3,)</f>
        <v>#N/A</v>
      </c>
      <c r="E553" s="6" t="str">
        <f>VLOOKUP(B553,Sheet3!$B$2:$E$311,4,)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VLOOKUP(B554,Sheet3!$B$2:$E$311,2,FALSE)</f>
        <v>#N/A</v>
      </c>
      <c r="D554" s="6" t="str">
        <f>VLOOKUP(B554,Sheet3!$B$2:$E$311,3,)</f>
        <v>#N/A</v>
      </c>
      <c r="E554" s="6" t="str">
        <f>VLOOKUP(B554,Sheet3!$B$2:$E$311,4,)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VLOOKUP(B555,Sheet3!$B$2:$E$311,2,FALSE)</f>
        <v>#N/A</v>
      </c>
      <c r="D555" s="6" t="str">
        <f>VLOOKUP(B555,Sheet3!$B$2:$E$311,3,)</f>
        <v>#N/A</v>
      </c>
      <c r="E555" s="6" t="str">
        <f>VLOOKUP(B555,Sheet3!$B$2:$E$311,4,)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VLOOKUP(B556,Sheet3!$B$2:$E$311,2,FALSE)</f>
        <v>#N/A</v>
      </c>
      <c r="D556" s="6" t="str">
        <f>VLOOKUP(B556,Sheet3!$B$2:$E$311,3,)</f>
        <v>#N/A</v>
      </c>
      <c r="E556" s="6" t="str">
        <f>VLOOKUP(B556,Sheet3!$B$2:$E$311,4,)</f>
        <v>#N/A</v>
      </c>
      <c r="F556" s="6"/>
      <c r="G556" s="6"/>
      <c r="H556" s="6"/>
    </row>
    <row r="557" ht="15.75" customHeight="1">
      <c r="B557" s="21"/>
      <c r="C557" s="21" t="str">
        <f>VLOOKUP(B557,Sheet3!$B$2:$E$311,2,FALSE)</f>
        <v>#N/A</v>
      </c>
      <c r="D557" s="21" t="str">
        <f>VLOOKUP(B557,Sheet3!$B$2:$E$311,3,)</f>
        <v>#N/A</v>
      </c>
      <c r="E557" s="21" t="str">
        <f>VLOOKUP(B557,Sheet3!$B$2:$E$311,4,)</f>
        <v>#N/A</v>
      </c>
    </row>
    <row r="558" ht="15.75" customHeight="1">
      <c r="B558" s="21"/>
      <c r="C558" s="21" t="str">
        <f>VLOOKUP(B558,Sheet3!$B$2:$E$311,2,FALSE)</f>
        <v>#N/A</v>
      </c>
      <c r="D558" s="21" t="str">
        <f>VLOOKUP(B558,Sheet3!$B$2:$E$311,3,)</f>
        <v>#N/A</v>
      </c>
      <c r="E558" s="21" t="str">
        <f>VLOOKUP(B558,Sheet3!$B$2:$E$311,4,)</f>
        <v>#N/A</v>
      </c>
    </row>
    <row r="559" ht="15.75" customHeight="1">
      <c r="B559" s="21"/>
      <c r="C559" s="21" t="str">
        <f>VLOOKUP(B559,Sheet3!$B$2:$E$311,2,FALSE)</f>
        <v>#N/A</v>
      </c>
      <c r="D559" s="21" t="str">
        <f>VLOOKUP(B559,Sheet3!$B$2:$E$311,3,)</f>
        <v>#N/A</v>
      </c>
      <c r="E559" s="21" t="str">
        <f>VLOOKUP(B559,Sheet3!$B$2:$E$311,4,)</f>
        <v>#N/A</v>
      </c>
    </row>
    <row r="560" ht="15.75" customHeight="1">
      <c r="B560" s="21"/>
      <c r="C560" s="21" t="str">
        <f>VLOOKUP(B560,Sheet3!$B$2:$E$311,2,FALSE)</f>
        <v>#N/A</v>
      </c>
      <c r="D560" s="21" t="str">
        <f>VLOOKUP(B560,Sheet3!$B$2:$E$311,3,)</f>
        <v>#N/A</v>
      </c>
      <c r="E560" s="21" t="str">
        <f>VLOOKUP(B560,Sheet3!$B$2:$E$311,4,)</f>
        <v>#N/A</v>
      </c>
    </row>
    <row r="561" ht="15.75" customHeight="1">
      <c r="B561" s="21"/>
      <c r="C561" s="21" t="str">
        <f>VLOOKUP(B561,Sheet3!$B$2:$E$311,2,FALSE)</f>
        <v>#N/A</v>
      </c>
      <c r="D561" s="21" t="str">
        <f>VLOOKUP(B561,Sheet3!$B$2:$E$311,3,)</f>
        <v>#N/A</v>
      </c>
      <c r="E561" s="21" t="str">
        <f>VLOOKUP(B561,Sheet3!$B$2:$E$311,4,)</f>
        <v>#N/A</v>
      </c>
    </row>
    <row r="562" ht="15.75" customHeight="1">
      <c r="B562" s="21"/>
      <c r="C562" s="21" t="str">
        <f>VLOOKUP(B562,Sheet3!$B$2:$E$311,2,FALSE)</f>
        <v>#N/A</v>
      </c>
      <c r="D562" s="21" t="str">
        <f>VLOOKUP(B562,Sheet3!$B$2:$E$311,3,)</f>
        <v>#N/A</v>
      </c>
      <c r="E562" s="21" t="str">
        <f>VLOOKUP(B562,Sheet3!$B$2:$E$311,4,)</f>
        <v>#N/A</v>
      </c>
    </row>
    <row r="563" ht="15.75" customHeight="1">
      <c r="B563" s="21"/>
      <c r="C563" s="21" t="str">
        <f>VLOOKUP(B563,Sheet3!$B$2:$E$311,2,FALSE)</f>
        <v>#N/A</v>
      </c>
      <c r="D563" s="21" t="str">
        <f>VLOOKUP(B563,Sheet3!$B$2:$E$311,3,)</f>
        <v>#N/A</v>
      </c>
      <c r="E563" s="21" t="str">
        <f>VLOOKUP(B563,Sheet3!$B$2:$E$311,4,)</f>
        <v>#N/A</v>
      </c>
    </row>
    <row r="564" ht="15.75" customHeight="1">
      <c r="B564" s="21"/>
      <c r="C564" s="21" t="str">
        <f>VLOOKUP(B564,Sheet3!$B$2:$E$311,2,FALSE)</f>
        <v>#N/A</v>
      </c>
      <c r="D564" s="21" t="str">
        <f>VLOOKUP(B564,Sheet3!$B$2:$E$311,3,)</f>
        <v>#N/A</v>
      </c>
      <c r="E564" s="21" t="str">
        <f>VLOOKUP(B564,Sheet3!$B$2:$E$311,4,)</f>
        <v>#N/A</v>
      </c>
    </row>
    <row r="565" ht="15.75" customHeight="1">
      <c r="B565" s="21"/>
      <c r="C565" s="21" t="str">
        <f>VLOOKUP(B565,Sheet3!$B$2:$E$311,2,FALSE)</f>
        <v>#N/A</v>
      </c>
      <c r="D565" s="21" t="str">
        <f>VLOOKUP(B565,Sheet3!$B$2:$E$311,3,)</f>
        <v>#N/A</v>
      </c>
      <c r="E565" s="21" t="str">
        <f>VLOOKUP(B565,Sheet3!$B$2:$E$311,4,)</f>
        <v>#N/A</v>
      </c>
    </row>
    <row r="566" ht="15.75" customHeight="1">
      <c r="B566" s="21"/>
      <c r="C566" s="21" t="str">
        <f>VLOOKUP(B566,Sheet3!$B$2:$E$311,2,FALSE)</f>
        <v>#N/A</v>
      </c>
      <c r="D566" s="21" t="str">
        <f>VLOOKUP(B566,Sheet3!$B$2:$E$311,3,)</f>
        <v>#N/A</v>
      </c>
      <c r="E566" s="21" t="str">
        <f>VLOOKUP(B566,Sheet3!$B$2:$E$311,4,)</f>
        <v>#N/A</v>
      </c>
    </row>
    <row r="567" ht="15.75" customHeight="1">
      <c r="B567" s="21"/>
      <c r="C567" s="21" t="str">
        <f>VLOOKUP(B567,Sheet3!$B$2:$E$311,2,FALSE)</f>
        <v>#N/A</v>
      </c>
      <c r="D567" s="21" t="str">
        <f>VLOOKUP(B567,Sheet3!$B$2:$E$311,3,)</f>
        <v>#N/A</v>
      </c>
      <c r="E567" s="21" t="str">
        <f>VLOOKUP(B567,Sheet3!$B$2:$E$311,4,)</f>
        <v>#N/A</v>
      </c>
    </row>
    <row r="568" ht="15.75" customHeight="1">
      <c r="B568" s="21"/>
      <c r="C568" s="21" t="str">
        <f>VLOOKUP(B568,Sheet3!$B$2:$E$311,2,FALSE)</f>
        <v>#N/A</v>
      </c>
      <c r="D568" s="21" t="str">
        <f>VLOOKUP(B568,Sheet3!$B$2:$E$311,3,)</f>
        <v>#N/A</v>
      </c>
      <c r="E568" s="21" t="str">
        <f>VLOOKUP(B568,Sheet3!$B$2:$E$311,4,)</f>
        <v>#N/A</v>
      </c>
    </row>
    <row r="569" ht="15.75" customHeight="1">
      <c r="B569" s="21"/>
      <c r="C569" s="21" t="str">
        <f>VLOOKUP(B569,Sheet3!$B$2:$E$311,2,FALSE)</f>
        <v>#N/A</v>
      </c>
      <c r="D569" s="21" t="str">
        <f>VLOOKUP(B569,Sheet3!$B$2:$E$311,3,)</f>
        <v>#N/A</v>
      </c>
      <c r="E569" s="21" t="str">
        <f>VLOOKUP(B569,Sheet3!$B$2:$E$311,4,)</f>
        <v>#N/A</v>
      </c>
    </row>
    <row r="570" ht="15.75" customHeight="1">
      <c r="B570" s="21"/>
      <c r="C570" s="21" t="str">
        <f>VLOOKUP(B570,Sheet3!$B$2:$E$311,2,FALSE)</f>
        <v>#N/A</v>
      </c>
      <c r="D570" s="21" t="str">
        <f>VLOOKUP(B570,Sheet3!$B$2:$E$311,3,)</f>
        <v>#N/A</v>
      </c>
      <c r="E570" s="21" t="str">
        <f>VLOOKUP(B570,Sheet3!$B$2:$E$311,4,)</f>
        <v>#N/A</v>
      </c>
    </row>
    <row r="571" ht="15.75" customHeight="1">
      <c r="B571" s="21"/>
      <c r="C571" s="21" t="str">
        <f>VLOOKUP(B571,Sheet3!$B$2:$E$311,2,FALSE)</f>
        <v>#N/A</v>
      </c>
      <c r="D571" s="21" t="str">
        <f>VLOOKUP(B571,Sheet3!$B$2:$E$311,3,)</f>
        <v>#N/A</v>
      </c>
      <c r="E571" s="21" t="str">
        <f>VLOOKUP(B571,Sheet3!$B$2:$E$311,4,)</f>
        <v>#N/A</v>
      </c>
    </row>
    <row r="572" ht="15.75" customHeight="1">
      <c r="B572" s="21"/>
      <c r="C572" s="21" t="str">
        <f>VLOOKUP(B572,Sheet3!$B$2:$E$311,2,FALSE)</f>
        <v>#N/A</v>
      </c>
      <c r="D572" s="21" t="str">
        <f>VLOOKUP(B572,Sheet3!$B$2:$E$311,3,)</f>
        <v>#N/A</v>
      </c>
      <c r="E572" s="21" t="str">
        <f>VLOOKUP(B572,Sheet3!$B$2:$E$311,4,)</f>
        <v>#N/A</v>
      </c>
    </row>
    <row r="573" ht="15.75" customHeight="1">
      <c r="B573" s="21"/>
      <c r="C573" s="21" t="str">
        <f>VLOOKUP(B573,Sheet3!$B$2:$E$311,2,FALSE)</f>
        <v>#N/A</v>
      </c>
      <c r="D573" s="21" t="str">
        <f>VLOOKUP(B573,Sheet3!$B$2:$E$311,3,)</f>
        <v>#N/A</v>
      </c>
      <c r="E573" s="21" t="str">
        <f>VLOOKUP(B573,Sheet3!$B$2:$E$311,4,)</f>
        <v>#N/A</v>
      </c>
    </row>
    <row r="574" ht="15.75" customHeight="1">
      <c r="B574" s="21"/>
      <c r="C574" s="21" t="str">
        <f>VLOOKUP(B574,Sheet3!$B$2:$E$311,2,FALSE)</f>
        <v>#N/A</v>
      </c>
      <c r="D574" s="21" t="str">
        <f>VLOOKUP(B574,Sheet3!$B$2:$E$311,3,)</f>
        <v>#N/A</v>
      </c>
      <c r="E574" s="21" t="str">
        <f>VLOOKUP(B574,Sheet3!$B$2:$E$311,4,)</f>
        <v>#N/A</v>
      </c>
    </row>
    <row r="575" ht="15.75" customHeight="1">
      <c r="B575" s="21"/>
      <c r="C575" s="21" t="str">
        <f>VLOOKUP(B575,Sheet3!$B$2:$E$311,2,FALSE)</f>
        <v>#N/A</v>
      </c>
      <c r="D575" s="21" t="str">
        <f>VLOOKUP(B575,Sheet3!$B$2:$E$311,3,)</f>
        <v>#N/A</v>
      </c>
      <c r="E575" s="21" t="str">
        <f>VLOOKUP(B575,Sheet3!$B$2:$E$311,4,)</f>
        <v>#N/A</v>
      </c>
    </row>
    <row r="576" ht="15.75" customHeight="1">
      <c r="B576" s="21"/>
      <c r="C576" s="21" t="str">
        <f>VLOOKUP(B576,Sheet3!$B$2:$E$311,2,FALSE)</f>
        <v>#N/A</v>
      </c>
      <c r="D576" s="21" t="str">
        <f>VLOOKUP(B576,Sheet3!$B$2:$E$311,3,)</f>
        <v>#N/A</v>
      </c>
      <c r="E576" s="21" t="str">
        <f>VLOOKUP(B576,Sheet3!$B$2:$E$311,4,)</f>
        <v>#N/A</v>
      </c>
    </row>
    <row r="577" ht="15.75" customHeight="1">
      <c r="B577" s="21"/>
      <c r="C577" s="21" t="str">
        <f>VLOOKUP(B577,Sheet3!$B$2:$E$311,2,FALSE)</f>
        <v>#N/A</v>
      </c>
      <c r="D577" s="21" t="str">
        <f>VLOOKUP(B577,Sheet3!$B$2:$E$311,3,)</f>
        <v>#N/A</v>
      </c>
      <c r="E577" s="21" t="str">
        <f>VLOOKUP(B577,Sheet3!$B$2:$E$311,4,)</f>
        <v>#N/A</v>
      </c>
    </row>
    <row r="578" ht="15.75" customHeight="1">
      <c r="B578" s="21"/>
      <c r="C578" s="21" t="str">
        <f>VLOOKUP(B578,Sheet3!$B$2:$E$311,2,FALSE)</f>
        <v>#N/A</v>
      </c>
      <c r="D578" s="21" t="str">
        <f>VLOOKUP(B578,Sheet3!$B$2:$E$311,3,)</f>
        <v>#N/A</v>
      </c>
      <c r="E578" s="21" t="str">
        <f>VLOOKUP(B578,Sheet3!$B$2:$E$311,4,)</f>
        <v>#N/A</v>
      </c>
    </row>
    <row r="579" ht="15.75" customHeight="1">
      <c r="B579" s="21"/>
      <c r="C579" s="21" t="str">
        <f>VLOOKUP(B579,Sheet3!$B$2:$E$311,2,FALSE)</f>
        <v>#N/A</v>
      </c>
      <c r="D579" s="21" t="str">
        <f>VLOOKUP(B579,Sheet3!$B$2:$E$311,3,)</f>
        <v>#N/A</v>
      </c>
      <c r="E579" s="21" t="str">
        <f>VLOOKUP(B579,Sheet3!$B$2:$E$311,4,)</f>
        <v>#N/A</v>
      </c>
    </row>
    <row r="580" ht="15.75" customHeight="1">
      <c r="B580" s="21"/>
      <c r="C580" s="21" t="str">
        <f>VLOOKUP(B580,Sheet3!$B$2:$E$311,2,FALSE)</f>
        <v>#N/A</v>
      </c>
      <c r="D580" s="21" t="str">
        <f>VLOOKUP(B580,Sheet3!$B$2:$E$311,3,)</f>
        <v>#N/A</v>
      </c>
      <c r="E580" s="21" t="str">
        <f>VLOOKUP(B580,Sheet3!$B$2:$E$311,4,)</f>
        <v>#N/A</v>
      </c>
    </row>
    <row r="581" ht="15.75" customHeight="1">
      <c r="B581" s="21"/>
      <c r="C581" s="21" t="str">
        <f>VLOOKUP(B581,Sheet3!$B$2:$E$311,2,FALSE)</f>
        <v>#N/A</v>
      </c>
      <c r="D581" s="21" t="str">
        <f>VLOOKUP(B581,Sheet3!$B$2:$E$311,3,)</f>
        <v>#N/A</v>
      </c>
      <c r="E581" s="21" t="str">
        <f>VLOOKUP(B581,Sheet3!$B$2:$E$311,4,)</f>
        <v>#N/A</v>
      </c>
    </row>
    <row r="582" ht="15.75" customHeight="1">
      <c r="B582" s="21"/>
      <c r="C582" s="21" t="str">
        <f>VLOOKUP(B582,Sheet3!$B$2:$E$311,2,FALSE)</f>
        <v>#N/A</v>
      </c>
      <c r="D582" s="21" t="str">
        <f>VLOOKUP(B582,Sheet3!$B$2:$E$311,3,)</f>
        <v>#N/A</v>
      </c>
      <c r="E582" s="21" t="str">
        <f>VLOOKUP(B582,Sheet3!$B$2:$E$311,4,)</f>
        <v>#N/A</v>
      </c>
    </row>
    <row r="583" ht="15.75" customHeight="1">
      <c r="B583" s="21"/>
      <c r="C583" s="21" t="str">
        <f>VLOOKUP(B583,Sheet3!$B$2:$E$311,2,FALSE)</f>
        <v>#N/A</v>
      </c>
      <c r="D583" s="21" t="str">
        <f>VLOOKUP(B583,Sheet3!$B$2:$E$311,3,)</f>
        <v>#N/A</v>
      </c>
      <c r="E583" s="21" t="str">
        <f>VLOOKUP(B583,Sheet3!$B$2:$E$311,4,)</f>
        <v>#N/A</v>
      </c>
    </row>
    <row r="584" ht="15.75" customHeight="1">
      <c r="B584" s="21"/>
      <c r="C584" s="21" t="str">
        <f>VLOOKUP(B584,Sheet3!$B$2:$E$311,2,FALSE)</f>
        <v>#N/A</v>
      </c>
      <c r="D584" s="21" t="str">
        <f>VLOOKUP(B584,Sheet3!$B$2:$E$311,3,)</f>
        <v>#N/A</v>
      </c>
      <c r="E584" s="21" t="str">
        <f>VLOOKUP(B584,Sheet3!$B$2:$E$311,4,)</f>
        <v>#N/A</v>
      </c>
    </row>
    <row r="585" ht="15.75" customHeight="1">
      <c r="B585" s="21"/>
      <c r="C585" s="21" t="str">
        <f>VLOOKUP(B585,Sheet3!$B$2:$E$311,2,FALSE)</f>
        <v>#N/A</v>
      </c>
      <c r="D585" s="21" t="str">
        <f>VLOOKUP(B585,Sheet3!$B$2:$E$311,3,)</f>
        <v>#N/A</v>
      </c>
      <c r="E585" s="21" t="str">
        <f>VLOOKUP(B585,Sheet3!$B$2:$E$311,4,)</f>
        <v>#N/A</v>
      </c>
    </row>
    <row r="586" ht="15.75" customHeight="1">
      <c r="B586" s="21"/>
      <c r="C586" s="21" t="str">
        <f>VLOOKUP(B586,Sheet3!$B$2:$E$311,2,FALSE)</f>
        <v>#N/A</v>
      </c>
      <c r="D586" s="21" t="str">
        <f>VLOOKUP(B586,Sheet3!$B$2:$E$311,3,)</f>
        <v>#N/A</v>
      </c>
      <c r="E586" s="21" t="str">
        <f>VLOOKUP(B586,Sheet3!$B$2:$E$311,4,)</f>
        <v>#N/A</v>
      </c>
    </row>
    <row r="587" ht="15.75" customHeight="1">
      <c r="B587" s="21"/>
      <c r="C587" s="21" t="str">
        <f>VLOOKUP(B587,Sheet3!$B$2:$E$311,2,FALSE)</f>
        <v>#N/A</v>
      </c>
      <c r="D587" s="21" t="str">
        <f>VLOOKUP(B587,Sheet3!$B$2:$E$311,3,)</f>
        <v>#N/A</v>
      </c>
      <c r="E587" s="21" t="str">
        <f>VLOOKUP(B587,Sheet3!$B$2:$E$311,4,)</f>
        <v>#N/A</v>
      </c>
    </row>
    <row r="588" ht="15.75" customHeight="1">
      <c r="B588" s="21"/>
      <c r="C588" s="21" t="str">
        <f>VLOOKUP(B588,Sheet3!$B$2:$E$311,2,FALSE)</f>
        <v>#N/A</v>
      </c>
      <c r="D588" s="21" t="str">
        <f>VLOOKUP(B588,Sheet3!$B$2:$E$311,3,)</f>
        <v>#N/A</v>
      </c>
      <c r="E588" s="21" t="str">
        <f>VLOOKUP(B588,Sheet3!$B$2:$E$311,4,)</f>
        <v>#N/A</v>
      </c>
    </row>
    <row r="589" ht="15.75" customHeight="1">
      <c r="B589" s="21"/>
      <c r="C589" s="21" t="str">
        <f>VLOOKUP(B589,Sheet3!$B$2:$E$311,2,FALSE)</f>
        <v>#N/A</v>
      </c>
      <c r="D589" s="21" t="str">
        <f>VLOOKUP(B589,Sheet3!$B$2:$E$311,3,)</f>
        <v>#N/A</v>
      </c>
      <c r="E589" s="21" t="str">
        <f>VLOOKUP(B589,Sheet3!$B$2:$E$311,4,)</f>
        <v>#N/A</v>
      </c>
    </row>
    <row r="590" ht="15.75" customHeight="1">
      <c r="B590" s="21"/>
      <c r="C590" s="21" t="str">
        <f>VLOOKUP(B590,Sheet3!$B$2:$E$311,2,FALSE)</f>
        <v>#N/A</v>
      </c>
      <c r="D590" s="21" t="str">
        <f>VLOOKUP(B590,Sheet3!$B$2:$E$311,3,)</f>
        <v>#N/A</v>
      </c>
      <c r="E590" s="21" t="str">
        <f>VLOOKUP(B590,Sheet3!$B$2:$E$311,4,)</f>
        <v>#N/A</v>
      </c>
    </row>
    <row r="591" ht="15.75" customHeight="1">
      <c r="B591" s="21"/>
      <c r="C591" s="21" t="str">
        <f>VLOOKUP(B591,Sheet3!$B$2:$E$311,2,FALSE)</f>
        <v>#N/A</v>
      </c>
      <c r="D591" s="21" t="str">
        <f>VLOOKUP(B591,Sheet3!$B$2:$E$311,3,)</f>
        <v>#N/A</v>
      </c>
      <c r="E591" s="21" t="str">
        <f>VLOOKUP(B591,Sheet3!$B$2:$E$311,4,)</f>
        <v>#N/A</v>
      </c>
    </row>
    <row r="592" ht="15.75" customHeight="1">
      <c r="B592" s="21"/>
      <c r="C592" s="21" t="str">
        <f>VLOOKUP(B592,Sheet3!$B$2:$E$311,2,FALSE)</f>
        <v>#N/A</v>
      </c>
      <c r="D592" s="21" t="str">
        <f>VLOOKUP(B592,Sheet3!$B$2:$E$311,3,)</f>
        <v>#N/A</v>
      </c>
      <c r="E592" s="21" t="str">
        <f>VLOOKUP(B592,Sheet3!$B$2:$E$311,4,)</f>
        <v>#N/A</v>
      </c>
    </row>
    <row r="593" ht="15.75" customHeight="1">
      <c r="B593" s="21"/>
      <c r="C593" s="21" t="str">
        <f>VLOOKUP(B593,Sheet3!$B$2:$E$311,2,FALSE)</f>
        <v>#N/A</v>
      </c>
      <c r="D593" s="21" t="str">
        <f>VLOOKUP(B593,Sheet3!$B$2:$E$311,3,)</f>
        <v>#N/A</v>
      </c>
      <c r="E593" s="21" t="str">
        <f>VLOOKUP(B593,Sheet3!$B$2:$E$311,4,)</f>
        <v>#N/A</v>
      </c>
    </row>
    <row r="594" ht="15.75" customHeight="1">
      <c r="B594" s="21"/>
      <c r="C594" s="21" t="str">
        <f>VLOOKUP(B594,Sheet3!$B$2:$E$311,2,FALSE)</f>
        <v>#N/A</v>
      </c>
      <c r="D594" s="21" t="str">
        <f>VLOOKUP(B594,Sheet3!$B$2:$E$311,3,)</f>
        <v>#N/A</v>
      </c>
      <c r="E594" s="21" t="str">
        <f>VLOOKUP(B594,Sheet3!$B$2:$E$311,4,)</f>
        <v>#N/A</v>
      </c>
    </row>
    <row r="595" ht="15.75" customHeight="1">
      <c r="B595" s="21"/>
      <c r="C595" s="21" t="str">
        <f>VLOOKUP(B595,Sheet3!$B$2:$E$311,2,FALSE)</f>
        <v>#N/A</v>
      </c>
      <c r="D595" s="21" t="str">
        <f>VLOOKUP(B595,Sheet3!$B$2:$E$311,3,)</f>
        <v>#N/A</v>
      </c>
      <c r="E595" s="21" t="str">
        <f>VLOOKUP(B595,Sheet3!$B$2:$E$311,4,)</f>
        <v>#N/A</v>
      </c>
    </row>
    <row r="596" ht="15.75" customHeight="1">
      <c r="B596" s="21"/>
      <c r="C596" s="21" t="str">
        <f>VLOOKUP(B596,Sheet3!$B$2:$E$311,2,FALSE)</f>
        <v>#N/A</v>
      </c>
      <c r="D596" s="21" t="str">
        <f>VLOOKUP(B596,Sheet3!$B$2:$E$311,3,)</f>
        <v>#N/A</v>
      </c>
      <c r="E596" s="21" t="str">
        <f>VLOOKUP(B596,Sheet3!$B$2:$E$311,4,)</f>
        <v>#N/A</v>
      </c>
    </row>
    <row r="597" ht="15.75" customHeight="1">
      <c r="B597" s="21"/>
      <c r="C597" s="21" t="str">
        <f>VLOOKUP(B597,Sheet3!$B$2:$E$311,2,FALSE)</f>
        <v>#N/A</v>
      </c>
      <c r="D597" s="21" t="str">
        <f>VLOOKUP(B597,Sheet3!$B$2:$E$311,3,)</f>
        <v>#N/A</v>
      </c>
      <c r="E597" s="21" t="str">
        <f>VLOOKUP(B597,Sheet3!$B$2:$E$311,4,)</f>
        <v>#N/A</v>
      </c>
    </row>
    <row r="598" ht="15.75" customHeight="1">
      <c r="B598" s="21"/>
      <c r="C598" s="21" t="str">
        <f>VLOOKUP(B598,Sheet3!$B$2:$E$311,2,FALSE)</f>
        <v>#N/A</v>
      </c>
      <c r="D598" s="21" t="str">
        <f>VLOOKUP(B598,Sheet3!$B$2:$E$311,3,)</f>
        <v>#N/A</v>
      </c>
      <c r="E598" s="21" t="str">
        <f>VLOOKUP(B598,Sheet3!$B$2:$E$311,4,)</f>
        <v>#N/A</v>
      </c>
    </row>
    <row r="599" ht="15.75" customHeight="1">
      <c r="B599" s="21"/>
      <c r="C599" s="21" t="str">
        <f>VLOOKUP(B599,Sheet3!$B$2:$E$311,2,FALSE)</f>
        <v>#N/A</v>
      </c>
      <c r="D599" s="21" t="str">
        <f>VLOOKUP(B599,Sheet3!$B$2:$E$311,3,)</f>
        <v>#N/A</v>
      </c>
      <c r="E599" s="21" t="str">
        <f>VLOOKUP(B599,Sheet3!$B$2:$E$311,4,)</f>
        <v>#N/A</v>
      </c>
    </row>
    <row r="600" ht="15.75" customHeight="1">
      <c r="B600" s="21"/>
      <c r="C600" s="21" t="str">
        <f>VLOOKUP(B600,Sheet3!$B$2:$E$311,2,FALSE)</f>
        <v>#N/A</v>
      </c>
      <c r="D600" s="21" t="str">
        <f>VLOOKUP(B600,Sheet3!$B$2:$E$311,3,)</f>
        <v>#N/A</v>
      </c>
      <c r="E600" s="21" t="str">
        <f>VLOOKUP(B600,Sheet3!$B$2:$E$311,4,)</f>
        <v>#N/A</v>
      </c>
    </row>
    <row r="601" ht="15.75" customHeight="1">
      <c r="B601" s="21"/>
      <c r="C601" s="21" t="str">
        <f>VLOOKUP(B601,Sheet3!$B$2:$E$311,2,FALSE)</f>
        <v>#N/A</v>
      </c>
      <c r="D601" s="21" t="str">
        <f>VLOOKUP(B601,Sheet3!$B$2:$E$311,3,)</f>
        <v>#N/A</v>
      </c>
      <c r="E601" s="21" t="str">
        <f>VLOOKUP(B601,Sheet3!$B$2:$E$311,4,)</f>
        <v>#N/A</v>
      </c>
    </row>
    <row r="602" ht="15.75" customHeight="1">
      <c r="B602" s="21"/>
      <c r="C602" s="21" t="str">
        <f>VLOOKUP(B602,Sheet3!$B$2:$E$311,2,FALSE)</f>
        <v>#N/A</v>
      </c>
      <c r="D602" s="21" t="str">
        <f>VLOOKUP(B602,Sheet3!$B$2:$E$311,3,)</f>
        <v>#N/A</v>
      </c>
      <c r="E602" s="21" t="str">
        <f>VLOOKUP(B602,Sheet3!$B$2:$E$311,4,)</f>
        <v>#N/A</v>
      </c>
    </row>
    <row r="603" ht="15.75" customHeight="1">
      <c r="B603" s="21"/>
      <c r="C603" s="21" t="str">
        <f>VLOOKUP(B603,Sheet3!$B$2:$E$311,2,FALSE)</f>
        <v>#N/A</v>
      </c>
      <c r="D603" s="21" t="str">
        <f>VLOOKUP(B603,Sheet3!$B$2:$E$311,3,)</f>
        <v>#N/A</v>
      </c>
      <c r="E603" s="21" t="str">
        <f>VLOOKUP(B603,Sheet3!$B$2:$E$311,4,)</f>
        <v>#N/A</v>
      </c>
    </row>
    <row r="604" ht="15.75" customHeight="1">
      <c r="B604" s="21"/>
      <c r="C604" s="21" t="str">
        <f>VLOOKUP(B604,Sheet3!$B$2:$E$311,2,FALSE)</f>
        <v>#N/A</v>
      </c>
      <c r="D604" s="21" t="str">
        <f>VLOOKUP(B604,Sheet3!$B$2:$E$311,3,)</f>
        <v>#N/A</v>
      </c>
      <c r="E604" s="21" t="str">
        <f>VLOOKUP(B604,Sheet3!$B$2:$E$311,4,)</f>
        <v>#N/A</v>
      </c>
    </row>
    <row r="605" ht="15.75" customHeight="1">
      <c r="B605" s="21"/>
      <c r="C605" s="21" t="str">
        <f>VLOOKUP(B605,Sheet3!$B$2:$E$311,2,FALSE)</f>
        <v>#N/A</v>
      </c>
      <c r="D605" s="21" t="str">
        <f>VLOOKUP(B605,Sheet3!$B$2:$E$311,3,)</f>
        <v>#N/A</v>
      </c>
      <c r="E605" s="21" t="str">
        <f>VLOOKUP(B605,Sheet3!$B$2:$E$311,4,)</f>
        <v>#N/A</v>
      </c>
    </row>
    <row r="606" ht="15.75" customHeight="1">
      <c r="B606" s="21"/>
      <c r="C606" s="21" t="str">
        <f>VLOOKUP(B606,Sheet3!$B$2:$E$311,2,FALSE)</f>
        <v>#N/A</v>
      </c>
      <c r="D606" s="21" t="str">
        <f>VLOOKUP(B606,Sheet3!$B$2:$E$311,3,)</f>
        <v>#N/A</v>
      </c>
      <c r="E606" s="21" t="str">
        <f>VLOOKUP(B606,Sheet3!$B$2:$E$311,4,)</f>
        <v>#N/A</v>
      </c>
    </row>
    <row r="607" ht="15.75" customHeight="1">
      <c r="B607" s="21"/>
      <c r="C607" s="21" t="str">
        <f>VLOOKUP(B607,Sheet3!$B$2:$E$311,2,FALSE)</f>
        <v>#N/A</v>
      </c>
      <c r="D607" s="21" t="str">
        <f>VLOOKUP(B607,Sheet3!$B$2:$E$311,3,)</f>
        <v>#N/A</v>
      </c>
      <c r="E607" s="21" t="str">
        <f>VLOOKUP(B607,Sheet3!$B$2:$E$311,4,)</f>
        <v>#N/A</v>
      </c>
    </row>
    <row r="608" ht="15.75" customHeight="1">
      <c r="B608" s="21"/>
      <c r="C608" s="21" t="str">
        <f>VLOOKUP(B608,Sheet3!$B$2:$E$311,2,FALSE)</f>
        <v>#N/A</v>
      </c>
      <c r="D608" s="21" t="str">
        <f>VLOOKUP(B608,Sheet3!$B$2:$E$311,3,)</f>
        <v>#N/A</v>
      </c>
      <c r="E608" s="21" t="str">
        <f>VLOOKUP(B608,Sheet3!$B$2:$E$311,4,)</f>
        <v>#N/A</v>
      </c>
    </row>
    <row r="609" ht="15.75" customHeight="1">
      <c r="B609" s="21"/>
      <c r="C609" s="21" t="str">
        <f>VLOOKUP(B609,Sheet3!$B$2:$E$311,2,FALSE)</f>
        <v>#N/A</v>
      </c>
      <c r="D609" s="21" t="str">
        <f>VLOOKUP(B609,Sheet3!$B$2:$E$311,3,)</f>
        <v>#N/A</v>
      </c>
      <c r="E609" s="21" t="str">
        <f>VLOOKUP(B609,Sheet3!$B$2:$E$311,4,)</f>
        <v>#N/A</v>
      </c>
    </row>
    <row r="610" ht="15.75" customHeight="1">
      <c r="B610" s="21"/>
      <c r="C610" s="21" t="str">
        <f>VLOOKUP(B610,Sheet3!$B$2:$E$311,2,FALSE)</f>
        <v>#N/A</v>
      </c>
      <c r="D610" s="21" t="str">
        <f>VLOOKUP(B610,Sheet3!$B$2:$E$311,3,)</f>
        <v>#N/A</v>
      </c>
      <c r="E610" s="21" t="str">
        <f>VLOOKUP(B610,Sheet3!$B$2:$E$311,4,)</f>
        <v>#N/A</v>
      </c>
    </row>
    <row r="611" ht="15.75" customHeight="1">
      <c r="B611" s="21"/>
      <c r="C611" s="21" t="str">
        <f>VLOOKUP(B611,Sheet3!$B$2:$E$311,2,FALSE)</f>
        <v>#N/A</v>
      </c>
      <c r="D611" s="21" t="str">
        <f>VLOOKUP(B611,Sheet3!$B$2:$E$311,3,)</f>
        <v>#N/A</v>
      </c>
      <c r="E611" s="21" t="str">
        <f>VLOOKUP(B611,Sheet3!$B$2:$E$311,4,)</f>
        <v>#N/A</v>
      </c>
    </row>
    <row r="612" ht="15.75" customHeight="1">
      <c r="B612" s="21"/>
      <c r="C612" s="21" t="str">
        <f>VLOOKUP(B612,Sheet3!$B$2:$E$311,2,FALSE)</f>
        <v>#N/A</v>
      </c>
      <c r="D612" s="21" t="str">
        <f>VLOOKUP(B612,Sheet3!$B$2:$E$311,3,)</f>
        <v>#N/A</v>
      </c>
      <c r="E612" s="21" t="str">
        <f>VLOOKUP(B612,Sheet3!$B$2:$E$311,4,)</f>
        <v>#N/A</v>
      </c>
    </row>
    <row r="613" ht="15.75" customHeight="1">
      <c r="B613" s="21"/>
      <c r="C613" s="21" t="str">
        <f>VLOOKUP(B613,Sheet3!$B$2:$E$311,2,FALSE)</f>
        <v>#N/A</v>
      </c>
      <c r="D613" s="21" t="str">
        <f>VLOOKUP(B613,Sheet3!$B$2:$E$311,3,)</f>
        <v>#N/A</v>
      </c>
      <c r="E613" s="21" t="str">
        <f>VLOOKUP(B613,Sheet3!$B$2:$E$311,4,)</f>
        <v>#N/A</v>
      </c>
    </row>
    <row r="614" ht="15.75" customHeight="1">
      <c r="B614" s="21"/>
      <c r="C614" s="21" t="str">
        <f>VLOOKUP(B614,Sheet3!$B$2:$E$311,2,FALSE)</f>
        <v>#N/A</v>
      </c>
      <c r="D614" s="21" t="str">
        <f>VLOOKUP(B614,Sheet3!$B$2:$E$311,3,)</f>
        <v>#N/A</v>
      </c>
      <c r="E614" s="21" t="str">
        <f>VLOOKUP(B614,Sheet3!$B$2:$E$311,4,)</f>
        <v>#N/A</v>
      </c>
    </row>
    <row r="615" ht="15.75" customHeight="1">
      <c r="B615" s="21"/>
      <c r="C615" s="21" t="str">
        <f>VLOOKUP(B615,Sheet3!$B$2:$E$311,2,FALSE)</f>
        <v>#N/A</v>
      </c>
      <c r="D615" s="21" t="str">
        <f>VLOOKUP(B615,Sheet3!$B$2:$E$311,3,)</f>
        <v>#N/A</v>
      </c>
      <c r="E615" s="21" t="str">
        <f>VLOOKUP(B615,Sheet3!$B$2:$E$311,4,)</f>
        <v>#N/A</v>
      </c>
    </row>
    <row r="616" ht="15.75" customHeight="1">
      <c r="B616" s="21"/>
      <c r="C616" s="21" t="str">
        <f>VLOOKUP(B616,Sheet3!$B$2:$E$311,2,FALSE)</f>
        <v>#N/A</v>
      </c>
      <c r="D616" s="21" t="str">
        <f>VLOOKUP(B616,Sheet3!$B$2:$E$311,3,)</f>
        <v>#N/A</v>
      </c>
      <c r="E616" s="21" t="str">
        <f>VLOOKUP(B616,Sheet3!$B$2:$E$311,4,)</f>
        <v>#N/A</v>
      </c>
    </row>
    <row r="617" ht="15.75" customHeight="1">
      <c r="B617" s="21"/>
      <c r="C617" s="21" t="str">
        <f>VLOOKUP(B617,Sheet3!$B$2:$E$311,2,FALSE)</f>
        <v>#N/A</v>
      </c>
      <c r="D617" s="21" t="str">
        <f>VLOOKUP(B617,Sheet3!$B$2:$E$311,3,)</f>
        <v>#N/A</v>
      </c>
      <c r="E617" s="21" t="str">
        <f>VLOOKUP(B617,Sheet3!$B$2:$E$311,4,)</f>
        <v>#N/A</v>
      </c>
    </row>
    <row r="618" ht="15.75" customHeight="1">
      <c r="B618" s="21"/>
      <c r="C618" s="21" t="str">
        <f>VLOOKUP(B618,Sheet3!$B$2:$E$311,2,FALSE)</f>
        <v>#N/A</v>
      </c>
      <c r="D618" s="21" t="str">
        <f>VLOOKUP(B618,Sheet3!$B$2:$E$311,3,)</f>
        <v>#N/A</v>
      </c>
      <c r="E618" s="21" t="str">
        <f>VLOOKUP(B618,Sheet3!$B$2:$E$311,4,)</f>
        <v>#N/A</v>
      </c>
    </row>
    <row r="619" ht="15.75" customHeight="1">
      <c r="B619" s="21"/>
      <c r="C619" s="21" t="str">
        <f>VLOOKUP(B619,Sheet3!$B$2:$E$311,2,FALSE)</f>
        <v>#N/A</v>
      </c>
      <c r="D619" s="21" t="str">
        <f>VLOOKUP(B619,Sheet3!$B$2:$E$311,3,)</f>
        <v>#N/A</v>
      </c>
      <c r="E619" s="21" t="str">
        <f>VLOOKUP(B619,Sheet3!$B$2:$E$311,4,)</f>
        <v>#N/A</v>
      </c>
    </row>
    <row r="620" ht="15.75" customHeight="1">
      <c r="B620" s="21"/>
      <c r="C620" s="21" t="str">
        <f>VLOOKUP(B620,Sheet3!$B$2:$E$311,2,FALSE)</f>
        <v>#N/A</v>
      </c>
      <c r="D620" s="21" t="str">
        <f>VLOOKUP(B620,Sheet3!$B$2:$E$311,3,)</f>
        <v>#N/A</v>
      </c>
      <c r="E620" s="21" t="str">
        <f>VLOOKUP(B620,Sheet3!$B$2:$E$311,4,)</f>
        <v>#N/A</v>
      </c>
    </row>
    <row r="621" ht="15.75" customHeight="1">
      <c r="B621" s="21"/>
      <c r="C621" s="21" t="str">
        <f>VLOOKUP(B621,Sheet3!$B$2:$E$311,2,FALSE)</f>
        <v>#N/A</v>
      </c>
      <c r="D621" s="21" t="str">
        <f>VLOOKUP(B621,Sheet3!$B$2:$E$311,3,)</f>
        <v>#N/A</v>
      </c>
      <c r="E621" s="21" t="str">
        <f>VLOOKUP(B621,Sheet3!$B$2:$E$311,4,)</f>
        <v>#N/A</v>
      </c>
    </row>
    <row r="622" ht="15.75" customHeight="1">
      <c r="B622" s="21"/>
      <c r="C622" s="21" t="str">
        <f>VLOOKUP(B622,Sheet3!$B$2:$E$311,2,FALSE)</f>
        <v>#N/A</v>
      </c>
      <c r="D622" s="21" t="str">
        <f>VLOOKUP(B622,Sheet3!$B$2:$E$311,3,)</f>
        <v>#N/A</v>
      </c>
      <c r="E622" s="21" t="str">
        <f>VLOOKUP(B622,Sheet3!$B$2:$E$311,4,)</f>
        <v>#N/A</v>
      </c>
    </row>
    <row r="623" ht="15.75" customHeight="1">
      <c r="B623" s="21"/>
      <c r="C623" s="21" t="str">
        <f>VLOOKUP(B623,Sheet3!$B$2:$E$311,2,FALSE)</f>
        <v>#N/A</v>
      </c>
      <c r="D623" s="21" t="str">
        <f>VLOOKUP(B623,Sheet3!$B$2:$E$311,3,)</f>
        <v>#N/A</v>
      </c>
      <c r="E623" s="21" t="str">
        <f>VLOOKUP(B623,Sheet3!$B$2:$E$311,4,)</f>
        <v>#N/A</v>
      </c>
    </row>
    <row r="624" ht="15.75" customHeight="1">
      <c r="B624" s="21"/>
      <c r="C624" s="21" t="str">
        <f>VLOOKUP(B624,Sheet3!$B$2:$E$311,2,FALSE)</f>
        <v>#N/A</v>
      </c>
      <c r="D624" s="21" t="str">
        <f>VLOOKUP(B624,Sheet3!$B$2:$E$311,3,)</f>
        <v>#N/A</v>
      </c>
      <c r="E624" s="21" t="str">
        <f>VLOOKUP(B624,Sheet3!$B$2:$E$311,4,)</f>
        <v>#N/A</v>
      </c>
    </row>
    <row r="625" ht="15.75" customHeight="1">
      <c r="B625" s="21"/>
      <c r="C625" s="21" t="str">
        <f>VLOOKUP(B625,Sheet3!$B$2:$E$311,2,FALSE)</f>
        <v>#N/A</v>
      </c>
      <c r="D625" s="21" t="str">
        <f>VLOOKUP(B625,Sheet3!$B$2:$E$311,3,)</f>
        <v>#N/A</v>
      </c>
      <c r="E625" s="21" t="str">
        <f>VLOOKUP(B625,Sheet3!$B$2:$E$311,4,)</f>
        <v>#N/A</v>
      </c>
    </row>
    <row r="626" ht="15.75" customHeight="1">
      <c r="B626" s="21"/>
      <c r="C626" s="21" t="str">
        <f>VLOOKUP(B626,Sheet3!$B$2:$E$311,2,FALSE)</f>
        <v>#N/A</v>
      </c>
      <c r="D626" s="21" t="str">
        <f>VLOOKUP(B626,Sheet3!$B$2:$E$311,3,)</f>
        <v>#N/A</v>
      </c>
      <c r="E626" s="21" t="str">
        <f>VLOOKUP(B626,Sheet3!$B$2:$E$311,4,)</f>
        <v>#N/A</v>
      </c>
    </row>
    <row r="627" ht="15.75" customHeight="1">
      <c r="B627" s="21"/>
      <c r="C627" s="21" t="str">
        <f>VLOOKUP(B627,Sheet3!$B$2:$E$311,2,FALSE)</f>
        <v>#N/A</v>
      </c>
      <c r="D627" s="21" t="str">
        <f>VLOOKUP(B627,Sheet3!$B$2:$E$311,3,)</f>
        <v>#N/A</v>
      </c>
      <c r="E627" s="21" t="str">
        <f>VLOOKUP(B627,Sheet3!$B$2:$E$311,4,)</f>
        <v>#N/A</v>
      </c>
    </row>
    <row r="628" ht="15.75" customHeight="1">
      <c r="B628" s="21"/>
      <c r="C628" s="21" t="str">
        <f>VLOOKUP(B628,Sheet3!$B$2:$E$311,2,FALSE)</f>
        <v>#N/A</v>
      </c>
      <c r="D628" s="21" t="str">
        <f>VLOOKUP(B628,Sheet3!$B$2:$E$311,3,)</f>
        <v>#N/A</v>
      </c>
      <c r="E628" s="21" t="str">
        <f>VLOOKUP(B628,Sheet3!$B$2:$E$311,4,)</f>
        <v>#N/A</v>
      </c>
    </row>
    <row r="629" ht="15.75" customHeight="1">
      <c r="B629" s="21"/>
      <c r="C629" s="21" t="str">
        <f>VLOOKUP(B629,Sheet3!$B$2:$E$311,2,FALSE)</f>
        <v>#N/A</v>
      </c>
      <c r="D629" s="21" t="str">
        <f>VLOOKUP(B629,Sheet3!$B$2:$E$311,3,)</f>
        <v>#N/A</v>
      </c>
      <c r="E629" s="21" t="str">
        <f>VLOOKUP(B629,Sheet3!$B$2:$E$311,4,)</f>
        <v>#N/A</v>
      </c>
    </row>
    <row r="630" ht="15.75" customHeight="1">
      <c r="B630" s="21"/>
      <c r="C630" s="21" t="str">
        <f>VLOOKUP(B630,Sheet3!$B$2:$E$311,2,FALSE)</f>
        <v>#N/A</v>
      </c>
      <c r="D630" s="21" t="str">
        <f>VLOOKUP(B630,Sheet3!$B$2:$E$311,3,)</f>
        <v>#N/A</v>
      </c>
      <c r="E630" s="21" t="str">
        <f>VLOOKUP(B630,Sheet3!$B$2:$E$311,4,)</f>
        <v>#N/A</v>
      </c>
    </row>
    <row r="631" ht="15.75" customHeight="1">
      <c r="B631" s="21"/>
      <c r="C631" s="21" t="str">
        <f>VLOOKUP(B631,Sheet3!$B$2:$E$311,2,FALSE)</f>
        <v>#N/A</v>
      </c>
      <c r="D631" s="21" t="str">
        <f>VLOOKUP(B631,Sheet3!$B$2:$E$311,3,)</f>
        <v>#N/A</v>
      </c>
      <c r="E631" s="21" t="str">
        <f>VLOOKUP(B631,Sheet3!$B$2:$E$311,4,)</f>
        <v>#N/A</v>
      </c>
    </row>
    <row r="632" ht="15.75" customHeight="1">
      <c r="B632" s="21"/>
      <c r="C632" s="21" t="str">
        <f>VLOOKUP(B632,Sheet3!$B$2:$E$311,2,FALSE)</f>
        <v>#N/A</v>
      </c>
      <c r="D632" s="21" t="str">
        <f>VLOOKUP(B632,Sheet3!$B$2:$E$311,3,)</f>
        <v>#N/A</v>
      </c>
      <c r="E632" s="21" t="str">
        <f>VLOOKUP(B632,Sheet3!$B$2:$E$311,4,)</f>
        <v>#N/A</v>
      </c>
    </row>
    <row r="633" ht="15.75" customHeight="1">
      <c r="B633" s="21"/>
      <c r="C633" s="21" t="str">
        <f>VLOOKUP(B633,Sheet3!$B$2:$E$311,2,FALSE)</f>
        <v>#N/A</v>
      </c>
      <c r="D633" s="21" t="str">
        <f>VLOOKUP(B633,Sheet3!$B$2:$E$311,3,)</f>
        <v>#N/A</v>
      </c>
      <c r="E633" s="21" t="str">
        <f>VLOOKUP(B633,Sheet3!$B$2:$E$311,4,)</f>
        <v>#N/A</v>
      </c>
    </row>
    <row r="634" ht="15.75" customHeight="1">
      <c r="B634" s="21"/>
      <c r="C634" s="21" t="str">
        <f>VLOOKUP(B634,Sheet3!$B$2:$E$311,2,FALSE)</f>
        <v>#N/A</v>
      </c>
      <c r="D634" s="21" t="str">
        <f>VLOOKUP(B634,Sheet3!$B$2:$E$311,3,)</f>
        <v>#N/A</v>
      </c>
      <c r="E634" s="21" t="str">
        <f>VLOOKUP(B634,Sheet3!$B$2:$E$311,4,)</f>
        <v>#N/A</v>
      </c>
    </row>
    <row r="635" ht="15.75" customHeight="1">
      <c r="B635" s="21"/>
      <c r="C635" s="21" t="str">
        <f>VLOOKUP(B635,Sheet3!$B$2:$E$311,2,FALSE)</f>
        <v>#N/A</v>
      </c>
      <c r="D635" s="21" t="str">
        <f>VLOOKUP(B635,Sheet3!$B$2:$E$311,3,)</f>
        <v>#N/A</v>
      </c>
      <c r="E635" s="21" t="str">
        <f>VLOOKUP(B635,Sheet3!$B$2:$E$311,4,)</f>
        <v>#N/A</v>
      </c>
    </row>
    <row r="636" ht="15.75" customHeight="1">
      <c r="B636" s="21"/>
      <c r="C636" s="21" t="str">
        <f>VLOOKUP(B636,Sheet3!$B$2:$E$311,2,FALSE)</f>
        <v>#N/A</v>
      </c>
      <c r="D636" s="21" t="str">
        <f>VLOOKUP(B636,Sheet3!$B$2:$E$311,3,)</f>
        <v>#N/A</v>
      </c>
      <c r="E636" s="21" t="str">
        <f>VLOOKUP(B636,Sheet3!$B$2:$E$311,4,)</f>
        <v>#N/A</v>
      </c>
    </row>
    <row r="637" ht="15.75" customHeight="1">
      <c r="B637" s="21"/>
      <c r="C637" s="21" t="str">
        <f>VLOOKUP(B637,Sheet3!$B$2:$E$311,2,FALSE)</f>
        <v>#N/A</v>
      </c>
      <c r="D637" s="21" t="str">
        <f>VLOOKUP(B637,Sheet3!$B$2:$E$311,3,)</f>
        <v>#N/A</v>
      </c>
      <c r="E637" s="21" t="str">
        <f>VLOOKUP(B637,Sheet3!$B$2:$E$311,4,)</f>
        <v>#N/A</v>
      </c>
    </row>
    <row r="638" ht="15.75" customHeight="1">
      <c r="B638" s="21"/>
      <c r="C638" s="21" t="str">
        <f>VLOOKUP(B638,Sheet3!$B$2:$E$311,2,FALSE)</f>
        <v>#N/A</v>
      </c>
      <c r="D638" s="21" t="str">
        <f>VLOOKUP(B638,Sheet3!$B$2:$E$311,3,)</f>
        <v>#N/A</v>
      </c>
      <c r="E638" s="21" t="str">
        <f>VLOOKUP(B638,Sheet3!$B$2:$E$311,4,)</f>
        <v>#N/A</v>
      </c>
    </row>
    <row r="639" ht="15.75" customHeight="1">
      <c r="B639" s="21"/>
      <c r="C639" s="21" t="str">
        <f>VLOOKUP(B639,Sheet3!$B$2:$E$311,2,FALSE)</f>
        <v>#N/A</v>
      </c>
      <c r="D639" s="21" t="str">
        <f>VLOOKUP(B639,Sheet3!$B$2:$E$311,3,)</f>
        <v>#N/A</v>
      </c>
      <c r="E639" s="21" t="str">
        <f>VLOOKUP(B639,Sheet3!$B$2:$E$311,4,)</f>
        <v>#N/A</v>
      </c>
    </row>
    <row r="640" ht="15.75" customHeight="1">
      <c r="B640" s="21"/>
      <c r="C640" s="21" t="str">
        <f>VLOOKUP(B640,Sheet3!$B$2:$E$311,2,FALSE)</f>
        <v>#N/A</v>
      </c>
      <c r="D640" s="21" t="str">
        <f>VLOOKUP(B640,Sheet3!$B$2:$E$311,3,)</f>
        <v>#N/A</v>
      </c>
      <c r="E640" s="21" t="str">
        <f>VLOOKUP(B640,Sheet3!$B$2:$E$311,4,)</f>
        <v>#N/A</v>
      </c>
    </row>
    <row r="641" ht="15.75" customHeight="1">
      <c r="B641" s="21"/>
      <c r="C641" s="21" t="str">
        <f>VLOOKUP(B641,Sheet3!$B$2:$E$311,2,FALSE)</f>
        <v>#N/A</v>
      </c>
      <c r="D641" s="21" t="str">
        <f>VLOOKUP(B641,Sheet3!$B$2:$E$311,3,)</f>
        <v>#N/A</v>
      </c>
      <c r="E641" s="21" t="str">
        <f>VLOOKUP(B641,Sheet3!$B$2:$E$311,4,)</f>
        <v>#N/A</v>
      </c>
    </row>
    <row r="642" ht="15.75" customHeight="1">
      <c r="B642" s="21"/>
      <c r="C642" s="21" t="str">
        <f>VLOOKUP(B642,Sheet3!$B$2:$E$311,2,FALSE)</f>
        <v>#N/A</v>
      </c>
      <c r="D642" s="21" t="str">
        <f>VLOOKUP(B642,Sheet3!$B$2:$E$311,3,)</f>
        <v>#N/A</v>
      </c>
      <c r="E642" s="21" t="str">
        <f>VLOOKUP(B642,Sheet3!$B$2:$E$311,4,)</f>
        <v>#N/A</v>
      </c>
    </row>
    <row r="643" ht="15.75" customHeight="1">
      <c r="B643" s="21"/>
      <c r="C643" s="21" t="str">
        <f>VLOOKUP(B643,Sheet3!$B$2:$E$311,2,FALSE)</f>
        <v>#N/A</v>
      </c>
      <c r="D643" s="21" t="str">
        <f>VLOOKUP(B643,Sheet3!$B$2:$E$311,3,)</f>
        <v>#N/A</v>
      </c>
      <c r="E643" s="21" t="str">
        <f>VLOOKUP(B643,Sheet3!$B$2:$E$311,4,)</f>
        <v>#N/A</v>
      </c>
    </row>
    <row r="644" ht="15.75" customHeight="1">
      <c r="B644" s="21"/>
      <c r="C644" s="21" t="str">
        <f>VLOOKUP(B644,Sheet3!$B$2:$E$311,2,FALSE)</f>
        <v>#N/A</v>
      </c>
      <c r="D644" s="21" t="str">
        <f>VLOOKUP(B644,Sheet3!$B$2:$E$311,3,)</f>
        <v>#N/A</v>
      </c>
      <c r="E644" s="21" t="str">
        <f>VLOOKUP(B644,Sheet3!$B$2:$E$311,4,)</f>
        <v>#N/A</v>
      </c>
    </row>
    <row r="645" ht="15.75" customHeight="1">
      <c r="B645" s="21"/>
      <c r="C645" s="21" t="str">
        <f>VLOOKUP(B645,Sheet3!$B$2:$E$311,2,FALSE)</f>
        <v>#N/A</v>
      </c>
      <c r="D645" s="21" t="str">
        <f>VLOOKUP(B645,Sheet3!$B$2:$E$311,3,)</f>
        <v>#N/A</v>
      </c>
      <c r="E645" s="21" t="str">
        <f>VLOOKUP(B645,Sheet3!$B$2:$E$311,4,)</f>
        <v>#N/A</v>
      </c>
    </row>
    <row r="646" ht="15.75" customHeight="1">
      <c r="B646" s="21"/>
      <c r="C646" s="21" t="str">
        <f>VLOOKUP(B646,Sheet3!$B$2:$E$311,2,FALSE)</f>
        <v>#N/A</v>
      </c>
      <c r="D646" s="21" t="str">
        <f>VLOOKUP(B646,Sheet3!$B$2:$E$311,3,)</f>
        <v>#N/A</v>
      </c>
      <c r="E646" s="21" t="str">
        <f>VLOOKUP(B646,Sheet3!$B$2:$E$311,4,)</f>
        <v>#N/A</v>
      </c>
    </row>
    <row r="647" ht="15.75" customHeight="1">
      <c r="B647" s="21"/>
      <c r="C647" s="21" t="str">
        <f>VLOOKUP(B647,Sheet3!$B$2:$E$311,2,FALSE)</f>
        <v>#N/A</v>
      </c>
      <c r="D647" s="21" t="str">
        <f>VLOOKUP(B647,Sheet3!$B$2:$E$311,3,)</f>
        <v>#N/A</v>
      </c>
      <c r="E647" s="21" t="str">
        <f>VLOOKUP(B647,Sheet3!$B$2:$E$311,4,)</f>
        <v>#N/A</v>
      </c>
    </row>
    <row r="648" ht="15.75" customHeight="1">
      <c r="B648" s="21"/>
      <c r="C648" s="21" t="str">
        <f>VLOOKUP(B648,Sheet3!$B$2:$E$311,2,FALSE)</f>
        <v>#N/A</v>
      </c>
      <c r="D648" s="21" t="str">
        <f>VLOOKUP(B648,Sheet3!$B$2:$E$311,3,)</f>
        <v>#N/A</v>
      </c>
      <c r="E648" s="21" t="str">
        <f>VLOOKUP(B648,Sheet3!$B$2:$E$311,4,)</f>
        <v>#N/A</v>
      </c>
    </row>
    <row r="649" ht="15.75" customHeight="1">
      <c r="B649" s="21"/>
      <c r="C649" s="21" t="str">
        <f>VLOOKUP(B649,Sheet3!$B$2:$E$311,2,FALSE)</f>
        <v>#N/A</v>
      </c>
      <c r="D649" s="21" t="str">
        <f>VLOOKUP(B649,Sheet3!$B$2:$E$311,3,)</f>
        <v>#N/A</v>
      </c>
      <c r="E649" s="21" t="str">
        <f>VLOOKUP(B649,Sheet3!$B$2:$E$311,4,)</f>
        <v>#N/A</v>
      </c>
    </row>
    <row r="650" ht="15.75" customHeight="1">
      <c r="B650" s="21"/>
      <c r="C650" s="21" t="str">
        <f>VLOOKUP(B650,Sheet3!$B$2:$E$311,2,FALSE)</f>
        <v>#N/A</v>
      </c>
      <c r="D650" s="21" t="str">
        <f>VLOOKUP(B650,Sheet3!$B$2:$E$311,3,)</f>
        <v>#N/A</v>
      </c>
      <c r="E650" s="21" t="str">
        <f>VLOOKUP(B650,Sheet3!$B$2:$E$311,4,)</f>
        <v>#N/A</v>
      </c>
    </row>
    <row r="651" ht="15.75" customHeight="1">
      <c r="B651" s="21"/>
      <c r="C651" s="21" t="str">
        <f>VLOOKUP(B651,Sheet3!$B$2:$E$311,2,FALSE)</f>
        <v>#N/A</v>
      </c>
      <c r="D651" s="21" t="str">
        <f>VLOOKUP(B651,Sheet3!$B$2:$E$311,3,)</f>
        <v>#N/A</v>
      </c>
      <c r="E651" s="21" t="str">
        <f>VLOOKUP(B651,Sheet3!$B$2:$E$311,4,)</f>
        <v>#N/A</v>
      </c>
    </row>
    <row r="652" ht="15.75" customHeight="1">
      <c r="B652" s="21"/>
      <c r="C652" s="21" t="str">
        <f>VLOOKUP(B652,Sheet3!$B$2:$E$311,2,FALSE)</f>
        <v>#N/A</v>
      </c>
      <c r="D652" s="21" t="str">
        <f>VLOOKUP(B652,Sheet3!$B$2:$E$311,3,)</f>
        <v>#N/A</v>
      </c>
      <c r="E652" s="21" t="str">
        <f>VLOOKUP(B652,Sheet3!$B$2:$E$311,4,)</f>
        <v>#N/A</v>
      </c>
    </row>
    <row r="653" ht="15.75" customHeight="1">
      <c r="B653" s="21"/>
      <c r="C653" s="21" t="str">
        <f>VLOOKUP(B653,Sheet3!$B$2:$E$311,2,FALSE)</f>
        <v>#N/A</v>
      </c>
      <c r="D653" s="21" t="str">
        <f>VLOOKUP(B653,Sheet3!$B$2:$E$311,3,)</f>
        <v>#N/A</v>
      </c>
      <c r="E653" s="21" t="str">
        <f>VLOOKUP(B653,Sheet3!$B$2:$E$311,4,)</f>
        <v>#N/A</v>
      </c>
    </row>
    <row r="654" ht="15.75" customHeight="1">
      <c r="B654" s="21"/>
      <c r="C654" s="21" t="str">
        <f>VLOOKUP(B654,Sheet3!$B$2:$E$311,2,FALSE)</f>
        <v>#N/A</v>
      </c>
      <c r="D654" s="21" t="str">
        <f>VLOOKUP(B654,Sheet3!$B$2:$E$311,3,)</f>
        <v>#N/A</v>
      </c>
      <c r="E654" s="21" t="str">
        <f>VLOOKUP(B654,Sheet3!$B$2:$E$311,4,)</f>
        <v>#N/A</v>
      </c>
    </row>
    <row r="655" ht="15.75" customHeight="1">
      <c r="B655" s="21"/>
      <c r="C655" s="21" t="str">
        <f>VLOOKUP(B655,Sheet3!$B$2:$E$311,2,FALSE)</f>
        <v>#N/A</v>
      </c>
      <c r="D655" s="21" t="str">
        <f>VLOOKUP(B655,Sheet3!$B$2:$E$311,3,)</f>
        <v>#N/A</v>
      </c>
      <c r="E655" s="21" t="str">
        <f>VLOOKUP(B655,Sheet3!$B$2:$E$311,4,)</f>
        <v>#N/A</v>
      </c>
    </row>
    <row r="656" ht="15.75" customHeight="1">
      <c r="B656" s="21"/>
      <c r="C656" s="21" t="str">
        <f>VLOOKUP(B656,Sheet3!$B$2:$E$311,2,FALSE)</f>
        <v>#N/A</v>
      </c>
      <c r="D656" s="21" t="str">
        <f>VLOOKUP(B656,Sheet3!$B$2:$E$311,3,)</f>
        <v>#N/A</v>
      </c>
      <c r="E656" s="21" t="str">
        <f>VLOOKUP(B656,Sheet3!$B$2:$E$311,4,)</f>
        <v>#N/A</v>
      </c>
    </row>
    <row r="657" ht="15.75" customHeight="1">
      <c r="B657" s="21"/>
      <c r="C657" s="21" t="str">
        <f>VLOOKUP(B657,Sheet3!$B$2:$E$311,2,FALSE)</f>
        <v>#N/A</v>
      </c>
      <c r="D657" s="21" t="str">
        <f>VLOOKUP(B657,Sheet3!$B$2:$E$311,3,)</f>
        <v>#N/A</v>
      </c>
      <c r="E657" s="21" t="str">
        <f>VLOOKUP(B657,Sheet3!$B$2:$E$311,4,)</f>
        <v>#N/A</v>
      </c>
    </row>
    <row r="658" ht="15.75" customHeight="1">
      <c r="B658" s="21"/>
      <c r="C658" s="21" t="str">
        <f>VLOOKUP(B658,Sheet3!$B$2:$E$311,2,FALSE)</f>
        <v>#N/A</v>
      </c>
      <c r="D658" s="21" t="str">
        <f>VLOOKUP(B658,Sheet3!$B$2:$E$311,3,)</f>
        <v>#N/A</v>
      </c>
      <c r="E658" s="21" t="str">
        <f>VLOOKUP(B658,Sheet3!$B$2:$E$311,4,)</f>
        <v>#N/A</v>
      </c>
    </row>
    <row r="659" ht="15.75" customHeight="1">
      <c r="B659" s="21"/>
      <c r="C659" s="21" t="str">
        <f>VLOOKUP(B659,Sheet3!$B$2:$E$311,2,FALSE)</f>
        <v>#N/A</v>
      </c>
      <c r="D659" s="21" t="str">
        <f>VLOOKUP(B659,Sheet3!$B$2:$E$311,3,)</f>
        <v>#N/A</v>
      </c>
      <c r="E659" s="21" t="str">
        <f>VLOOKUP(B659,Sheet3!$B$2:$E$311,4,)</f>
        <v>#N/A</v>
      </c>
    </row>
    <row r="660" ht="15.75" customHeight="1">
      <c r="B660" s="21"/>
      <c r="C660" s="21" t="str">
        <f>VLOOKUP(B660,Sheet3!$B$2:$E$311,2,FALSE)</f>
        <v>#N/A</v>
      </c>
      <c r="D660" s="21" t="str">
        <f>VLOOKUP(B660,Sheet3!$B$2:$E$311,3,)</f>
        <v>#N/A</v>
      </c>
      <c r="E660" s="21" t="str">
        <f>VLOOKUP(B660,Sheet3!$B$2:$E$311,4,)</f>
        <v>#N/A</v>
      </c>
    </row>
    <row r="661" ht="15.75" customHeight="1">
      <c r="B661" s="21"/>
      <c r="C661" s="21" t="str">
        <f>VLOOKUP(B661,Sheet3!$B$2:$E$311,2,FALSE)</f>
        <v>#N/A</v>
      </c>
      <c r="D661" s="21" t="str">
        <f>VLOOKUP(B661,Sheet3!$B$2:$E$311,3,)</f>
        <v>#N/A</v>
      </c>
      <c r="E661" s="21" t="str">
        <f>VLOOKUP(B661,Sheet3!$B$2:$E$311,4,)</f>
        <v>#N/A</v>
      </c>
    </row>
    <row r="662" ht="15.75" customHeight="1">
      <c r="B662" s="21"/>
      <c r="C662" s="21" t="str">
        <f>VLOOKUP(B662,Sheet3!$B$2:$E$311,2,FALSE)</f>
        <v>#N/A</v>
      </c>
      <c r="D662" s="21" t="str">
        <f>VLOOKUP(B662,Sheet3!$B$2:$E$311,3,)</f>
        <v>#N/A</v>
      </c>
      <c r="E662" s="21" t="str">
        <f>VLOOKUP(B662,Sheet3!$B$2:$E$311,4,)</f>
        <v>#N/A</v>
      </c>
    </row>
    <row r="663" ht="15.75" customHeight="1">
      <c r="B663" s="21"/>
      <c r="C663" s="21" t="str">
        <f>VLOOKUP(B663,Sheet3!$B$2:$E$311,2,FALSE)</f>
        <v>#N/A</v>
      </c>
      <c r="D663" s="21" t="str">
        <f>VLOOKUP(B663,Sheet3!$B$2:$E$311,3,)</f>
        <v>#N/A</v>
      </c>
      <c r="E663" s="21" t="str">
        <f>VLOOKUP(B663,Sheet3!$B$2:$E$311,4,)</f>
        <v>#N/A</v>
      </c>
    </row>
    <row r="664" ht="15.75" customHeight="1">
      <c r="B664" s="21"/>
      <c r="C664" s="21" t="str">
        <f>VLOOKUP(B664,Sheet3!$B$2:$E$311,2,FALSE)</f>
        <v>#N/A</v>
      </c>
      <c r="D664" s="21" t="str">
        <f>VLOOKUP(B664,Sheet3!$B$2:$E$311,3,)</f>
        <v>#N/A</v>
      </c>
      <c r="E664" s="21" t="str">
        <f>VLOOKUP(B664,Sheet3!$B$2:$E$311,4,)</f>
        <v>#N/A</v>
      </c>
    </row>
    <row r="665" ht="15.75" customHeight="1">
      <c r="B665" s="21"/>
      <c r="C665" s="21" t="str">
        <f>VLOOKUP(B665,Sheet3!$B$2:$E$311,2,FALSE)</f>
        <v>#N/A</v>
      </c>
      <c r="D665" s="21" t="str">
        <f>VLOOKUP(B665,Sheet3!$B$2:$E$311,3,)</f>
        <v>#N/A</v>
      </c>
      <c r="E665" s="21" t="str">
        <f>VLOOKUP(B665,Sheet3!$B$2:$E$311,4,)</f>
        <v>#N/A</v>
      </c>
    </row>
    <row r="666" ht="15.75" customHeight="1">
      <c r="B666" s="21"/>
      <c r="C666" s="21" t="str">
        <f>VLOOKUP(B666,Sheet3!$B$2:$E$311,2,FALSE)</f>
        <v>#N/A</v>
      </c>
      <c r="D666" s="21" t="str">
        <f>VLOOKUP(B666,Sheet3!$B$2:$E$311,3,)</f>
        <v>#N/A</v>
      </c>
      <c r="E666" s="21" t="str">
        <f>VLOOKUP(B666,Sheet3!$B$2:$E$311,4,)</f>
        <v>#N/A</v>
      </c>
    </row>
    <row r="667" ht="15.75" customHeight="1">
      <c r="B667" s="21"/>
      <c r="C667" s="21" t="str">
        <f>VLOOKUP(B667,Sheet3!$B$2:$E$311,2,FALSE)</f>
        <v>#N/A</v>
      </c>
      <c r="D667" s="21" t="str">
        <f>VLOOKUP(B667,Sheet3!$B$2:$E$311,3,)</f>
        <v>#N/A</v>
      </c>
      <c r="E667" s="21" t="str">
        <f>VLOOKUP(B667,Sheet3!$B$2:$E$311,4,)</f>
        <v>#N/A</v>
      </c>
    </row>
    <row r="668" ht="15.75" customHeight="1">
      <c r="B668" s="21"/>
      <c r="C668" s="21" t="str">
        <f>VLOOKUP(B668,Sheet3!$B$2:$E$311,2,FALSE)</f>
        <v>#N/A</v>
      </c>
      <c r="D668" s="21" t="str">
        <f>VLOOKUP(B668,Sheet3!$B$2:$E$311,3,)</f>
        <v>#N/A</v>
      </c>
      <c r="E668" s="21" t="str">
        <f>VLOOKUP(B668,Sheet3!$B$2:$E$311,4,)</f>
        <v>#N/A</v>
      </c>
    </row>
    <row r="669" ht="15.75" customHeight="1">
      <c r="B669" s="21"/>
      <c r="C669" s="21" t="str">
        <f>VLOOKUP(B669,Sheet3!$B$2:$E$311,2,FALSE)</f>
        <v>#N/A</v>
      </c>
      <c r="D669" s="21" t="str">
        <f>VLOOKUP(B669,Sheet3!$B$2:$E$311,3,)</f>
        <v>#N/A</v>
      </c>
      <c r="E669" s="21" t="str">
        <f>VLOOKUP(B669,Sheet3!$B$2:$E$311,4,)</f>
        <v>#N/A</v>
      </c>
    </row>
    <row r="670" ht="15.75" customHeight="1">
      <c r="B670" s="21"/>
      <c r="C670" s="21" t="str">
        <f>VLOOKUP(B670,Sheet3!$B$2:$E$311,2,FALSE)</f>
        <v>#N/A</v>
      </c>
      <c r="D670" s="21" t="str">
        <f>VLOOKUP(B670,Sheet3!$B$2:$E$311,3,)</f>
        <v>#N/A</v>
      </c>
      <c r="E670" s="21" t="str">
        <f>VLOOKUP(B670,Sheet3!$B$2:$E$311,4,)</f>
        <v>#N/A</v>
      </c>
    </row>
    <row r="671" ht="15.75" customHeight="1">
      <c r="B671" s="21"/>
      <c r="C671" s="21" t="str">
        <f>VLOOKUP(B671,Sheet3!$B$2:$E$311,2,FALSE)</f>
        <v>#N/A</v>
      </c>
      <c r="D671" s="21" t="str">
        <f>VLOOKUP(B671,Sheet3!$B$2:$E$311,3,)</f>
        <v>#N/A</v>
      </c>
      <c r="E671" s="21" t="str">
        <f>VLOOKUP(B671,Sheet3!$B$2:$E$311,4,)</f>
        <v>#N/A</v>
      </c>
    </row>
    <row r="672" ht="15.75" customHeight="1">
      <c r="B672" s="21"/>
      <c r="C672" s="21" t="str">
        <f>VLOOKUP(B672,Sheet3!$B$2:$E$311,2,FALSE)</f>
        <v>#N/A</v>
      </c>
      <c r="D672" s="21" t="str">
        <f>VLOOKUP(B672,Sheet3!$B$2:$E$311,3,)</f>
        <v>#N/A</v>
      </c>
      <c r="E672" s="21" t="str">
        <f>VLOOKUP(B672,Sheet3!$B$2:$E$311,4,)</f>
        <v>#N/A</v>
      </c>
    </row>
    <row r="673" ht="15.75" customHeight="1">
      <c r="B673" s="21"/>
      <c r="C673" s="21" t="str">
        <f>VLOOKUP(B673,Sheet3!$B$2:$E$311,2,FALSE)</f>
        <v>#N/A</v>
      </c>
      <c r="D673" s="21" t="str">
        <f>VLOOKUP(B673,Sheet3!$B$2:$E$311,3,)</f>
        <v>#N/A</v>
      </c>
      <c r="E673" s="21" t="str">
        <f>VLOOKUP(B673,Sheet3!$B$2:$E$311,4,)</f>
        <v>#N/A</v>
      </c>
    </row>
    <row r="674" ht="15.75" customHeight="1">
      <c r="B674" s="21"/>
      <c r="C674" s="21" t="str">
        <f>VLOOKUP(B674,Sheet3!$B$2:$E$311,2,FALSE)</f>
        <v>#N/A</v>
      </c>
      <c r="D674" s="21" t="str">
        <f>VLOOKUP(B674,Sheet3!$B$2:$E$311,3,)</f>
        <v>#N/A</v>
      </c>
      <c r="E674" s="21" t="str">
        <f>VLOOKUP(B674,Sheet3!$B$2:$E$311,4,)</f>
        <v>#N/A</v>
      </c>
    </row>
    <row r="675" ht="15.75" customHeight="1">
      <c r="B675" s="21"/>
      <c r="C675" s="21" t="str">
        <f>VLOOKUP(B675,Sheet3!$B$2:$E$311,2,FALSE)</f>
        <v>#N/A</v>
      </c>
      <c r="D675" s="21" t="str">
        <f>VLOOKUP(B675,Sheet3!$B$2:$E$311,3,)</f>
        <v>#N/A</v>
      </c>
      <c r="E675" s="21" t="str">
        <f>VLOOKUP(B675,Sheet3!$B$2:$E$311,4,)</f>
        <v>#N/A</v>
      </c>
    </row>
    <row r="676" ht="15.75" customHeight="1">
      <c r="B676" s="21"/>
      <c r="C676" s="21" t="str">
        <f>VLOOKUP(B676,Sheet3!$B$2:$E$311,2,FALSE)</f>
        <v>#N/A</v>
      </c>
      <c r="D676" s="21" t="str">
        <f>VLOOKUP(B676,Sheet3!$B$2:$E$311,3,)</f>
        <v>#N/A</v>
      </c>
      <c r="E676" s="21" t="str">
        <f>VLOOKUP(B676,Sheet3!$B$2:$E$311,4,)</f>
        <v>#N/A</v>
      </c>
    </row>
    <row r="677" ht="15.75" customHeight="1">
      <c r="B677" s="21"/>
      <c r="C677" s="21" t="str">
        <f>VLOOKUP(B677,Sheet3!$B$2:$E$311,2,FALSE)</f>
        <v>#N/A</v>
      </c>
      <c r="D677" s="21" t="str">
        <f>VLOOKUP(B677,Sheet3!$B$2:$E$311,3,)</f>
        <v>#N/A</v>
      </c>
      <c r="E677" s="21" t="str">
        <f>VLOOKUP(B677,Sheet3!$B$2:$E$311,4,)</f>
        <v>#N/A</v>
      </c>
    </row>
    <row r="678" ht="15.75" customHeight="1">
      <c r="B678" s="21"/>
      <c r="C678" s="21" t="str">
        <f>VLOOKUP(B678,Sheet3!$B$2:$E$311,2,FALSE)</f>
        <v>#N/A</v>
      </c>
      <c r="D678" s="21" t="str">
        <f>VLOOKUP(B678,Sheet3!$B$2:$E$311,3,)</f>
        <v>#N/A</v>
      </c>
      <c r="E678" s="21" t="str">
        <f>VLOOKUP(B678,Sheet3!$B$2:$E$311,4,)</f>
        <v>#N/A</v>
      </c>
    </row>
    <row r="679" ht="15.75" customHeight="1">
      <c r="B679" s="21"/>
      <c r="C679" s="21" t="str">
        <f>VLOOKUP(B679,Sheet3!$B$2:$E$311,2,FALSE)</f>
        <v>#N/A</v>
      </c>
      <c r="D679" s="21" t="str">
        <f>VLOOKUP(B679,Sheet3!$B$2:$E$311,3,)</f>
        <v>#N/A</v>
      </c>
      <c r="E679" s="21" t="str">
        <f>VLOOKUP(B679,Sheet3!$B$2:$E$311,4,)</f>
        <v>#N/A</v>
      </c>
    </row>
    <row r="680" ht="15.75" customHeight="1">
      <c r="B680" s="21"/>
      <c r="C680" s="21" t="str">
        <f>VLOOKUP(B680,Sheet3!$B$2:$E$311,2,FALSE)</f>
        <v>#N/A</v>
      </c>
      <c r="D680" s="21" t="str">
        <f>VLOOKUP(B680,Sheet3!$B$2:$E$311,3,)</f>
        <v>#N/A</v>
      </c>
      <c r="E680" s="21" t="str">
        <f>VLOOKUP(B680,Sheet3!$B$2:$E$311,4,)</f>
        <v>#N/A</v>
      </c>
    </row>
    <row r="681" ht="15.75" customHeight="1">
      <c r="B681" s="21"/>
      <c r="C681" s="21" t="str">
        <f>VLOOKUP(B681,Sheet3!$B$2:$E$311,2,FALSE)</f>
        <v>#N/A</v>
      </c>
      <c r="D681" s="21" t="str">
        <f>VLOOKUP(B681,Sheet3!$B$2:$E$311,3,)</f>
        <v>#N/A</v>
      </c>
      <c r="E681" s="21" t="str">
        <f>VLOOKUP(B681,Sheet3!$B$2:$E$311,4,)</f>
        <v>#N/A</v>
      </c>
    </row>
    <row r="682" ht="15.75" customHeight="1">
      <c r="B682" s="21"/>
      <c r="C682" s="21" t="str">
        <f>VLOOKUP(B682,Sheet3!$B$2:$E$311,2,FALSE)</f>
        <v>#N/A</v>
      </c>
      <c r="D682" s="21" t="str">
        <f>VLOOKUP(B682,Sheet3!$B$2:$E$311,3,)</f>
        <v>#N/A</v>
      </c>
      <c r="E682" s="21" t="str">
        <f>VLOOKUP(B682,Sheet3!$B$2:$E$311,4,)</f>
        <v>#N/A</v>
      </c>
    </row>
    <row r="683" ht="15.75" customHeight="1">
      <c r="B683" s="21"/>
      <c r="C683" s="21" t="str">
        <f>VLOOKUP(B683,Sheet3!$B$2:$E$311,2,FALSE)</f>
        <v>#N/A</v>
      </c>
      <c r="D683" s="21" t="str">
        <f>VLOOKUP(B683,Sheet3!$B$2:$E$311,3,)</f>
        <v>#N/A</v>
      </c>
      <c r="E683" s="21" t="str">
        <f>VLOOKUP(B683,Sheet3!$B$2:$E$311,4,)</f>
        <v>#N/A</v>
      </c>
    </row>
    <row r="684" ht="15.75" customHeight="1">
      <c r="B684" s="21"/>
      <c r="C684" s="21" t="str">
        <f>VLOOKUP(B684,Sheet3!$B$2:$E$311,2,FALSE)</f>
        <v>#N/A</v>
      </c>
      <c r="D684" s="21" t="str">
        <f>VLOOKUP(B684,Sheet3!$B$2:$E$311,3,)</f>
        <v>#N/A</v>
      </c>
      <c r="E684" s="21" t="str">
        <f>VLOOKUP(B684,Sheet3!$B$2:$E$311,4,)</f>
        <v>#N/A</v>
      </c>
    </row>
    <row r="685" ht="15.75" customHeight="1">
      <c r="B685" s="21"/>
      <c r="C685" s="21" t="str">
        <f>VLOOKUP(B685,Sheet3!$B$2:$E$311,2,FALSE)</f>
        <v>#N/A</v>
      </c>
      <c r="D685" s="21" t="str">
        <f>VLOOKUP(B685,Sheet3!$B$2:$E$311,3,)</f>
        <v>#N/A</v>
      </c>
      <c r="E685" s="21" t="str">
        <f>VLOOKUP(B685,Sheet3!$B$2:$E$311,4,)</f>
        <v>#N/A</v>
      </c>
    </row>
    <row r="686" ht="15.75" customHeight="1">
      <c r="B686" s="21"/>
      <c r="C686" s="21" t="str">
        <f>VLOOKUP(B686,Sheet3!$B$2:$E$311,2,FALSE)</f>
        <v>#N/A</v>
      </c>
      <c r="D686" s="21" t="str">
        <f>VLOOKUP(B686,Sheet3!$B$2:$E$311,3,)</f>
        <v>#N/A</v>
      </c>
      <c r="E686" s="21" t="str">
        <f>VLOOKUP(B686,Sheet3!$B$2:$E$311,4,)</f>
        <v>#N/A</v>
      </c>
    </row>
    <row r="687" ht="15.75" customHeight="1">
      <c r="B687" s="21"/>
      <c r="C687" s="21" t="str">
        <f>VLOOKUP(B687,Sheet3!$B$2:$E$311,2,FALSE)</f>
        <v>#N/A</v>
      </c>
      <c r="D687" s="21" t="str">
        <f>VLOOKUP(B687,Sheet3!$B$2:$E$311,3,)</f>
        <v>#N/A</v>
      </c>
      <c r="E687" s="21" t="str">
        <f>VLOOKUP(B687,Sheet3!$B$2:$E$311,4,)</f>
        <v>#N/A</v>
      </c>
    </row>
    <row r="688" ht="15.75" customHeight="1">
      <c r="B688" s="21"/>
      <c r="C688" s="21" t="str">
        <f>VLOOKUP(B688,Sheet3!$B$2:$E$311,2,FALSE)</f>
        <v>#N/A</v>
      </c>
      <c r="D688" s="21" t="str">
        <f>VLOOKUP(B688,Sheet3!$B$2:$E$311,3,)</f>
        <v>#N/A</v>
      </c>
      <c r="E688" s="21" t="str">
        <f>VLOOKUP(B688,Sheet3!$B$2:$E$311,4,)</f>
        <v>#N/A</v>
      </c>
    </row>
    <row r="689" ht="15.75" customHeight="1">
      <c r="B689" s="21"/>
      <c r="C689" s="21" t="str">
        <f>VLOOKUP(B689,Sheet3!$B$2:$E$311,2,FALSE)</f>
        <v>#N/A</v>
      </c>
      <c r="D689" s="21" t="str">
        <f>VLOOKUP(B689,Sheet3!$B$2:$E$311,3,)</f>
        <v>#N/A</v>
      </c>
      <c r="E689" s="21" t="str">
        <f>VLOOKUP(B689,Sheet3!$B$2:$E$311,4,)</f>
        <v>#N/A</v>
      </c>
    </row>
    <row r="690" ht="15.75" customHeight="1">
      <c r="B690" s="21"/>
      <c r="C690" s="21" t="str">
        <f>VLOOKUP(B690,Sheet3!$B$2:$E$311,2,FALSE)</f>
        <v>#N/A</v>
      </c>
      <c r="D690" s="21" t="str">
        <f>VLOOKUP(B690,Sheet3!$B$2:$E$311,3,)</f>
        <v>#N/A</v>
      </c>
      <c r="E690" s="21" t="str">
        <f>VLOOKUP(B690,Sheet3!$B$2:$E$311,4,)</f>
        <v>#N/A</v>
      </c>
    </row>
    <row r="691" ht="15.75" customHeight="1">
      <c r="B691" s="21"/>
      <c r="C691" s="21" t="str">
        <f>VLOOKUP(B691,Sheet3!$B$2:$E$311,2,FALSE)</f>
        <v>#N/A</v>
      </c>
      <c r="D691" s="21" t="str">
        <f>VLOOKUP(B691,Sheet3!$B$2:$E$311,3,)</f>
        <v>#N/A</v>
      </c>
      <c r="E691" s="21" t="str">
        <f>VLOOKUP(B691,Sheet3!$B$2:$E$311,4,)</f>
        <v>#N/A</v>
      </c>
    </row>
    <row r="692" ht="15.75" customHeight="1">
      <c r="B692" s="21"/>
      <c r="C692" s="21" t="str">
        <f>VLOOKUP(B692,Sheet3!$B$2:$E$311,2,FALSE)</f>
        <v>#N/A</v>
      </c>
      <c r="D692" s="21" t="str">
        <f>VLOOKUP(B692,Sheet3!$B$2:$E$311,3,)</f>
        <v>#N/A</v>
      </c>
      <c r="E692" s="21" t="str">
        <f>VLOOKUP(B692,Sheet3!$B$2:$E$311,4,)</f>
        <v>#N/A</v>
      </c>
    </row>
    <row r="693" ht="15.75" customHeight="1">
      <c r="B693" s="21"/>
      <c r="C693" s="21" t="str">
        <f>VLOOKUP(B693,Sheet3!$B$2:$E$311,2,FALSE)</f>
        <v>#N/A</v>
      </c>
      <c r="D693" s="21" t="str">
        <f>VLOOKUP(B693,Sheet3!$B$2:$E$311,3,)</f>
        <v>#N/A</v>
      </c>
      <c r="E693" s="21" t="str">
        <f>VLOOKUP(B693,Sheet3!$B$2:$E$311,4,)</f>
        <v>#N/A</v>
      </c>
    </row>
    <row r="694" ht="15.75" customHeight="1">
      <c r="B694" s="21"/>
      <c r="C694" s="21" t="str">
        <f>VLOOKUP(B694,Sheet3!$B$2:$E$311,2,FALSE)</f>
        <v>#N/A</v>
      </c>
      <c r="D694" s="21" t="str">
        <f>VLOOKUP(B694,Sheet3!$B$2:$E$311,3,)</f>
        <v>#N/A</v>
      </c>
      <c r="E694" s="21" t="str">
        <f>VLOOKUP(B694,Sheet3!$B$2:$E$311,4,)</f>
        <v>#N/A</v>
      </c>
    </row>
    <row r="695" ht="15.75" customHeight="1">
      <c r="B695" s="21"/>
      <c r="C695" s="21" t="str">
        <f>VLOOKUP(B695,Sheet3!$B$2:$E$311,2,FALSE)</f>
        <v>#N/A</v>
      </c>
      <c r="D695" s="21" t="str">
        <f>VLOOKUP(B695,Sheet3!$B$2:$E$311,3,)</f>
        <v>#N/A</v>
      </c>
      <c r="E695" s="21" t="str">
        <f>VLOOKUP(B695,Sheet3!$B$2:$E$311,4,)</f>
        <v>#N/A</v>
      </c>
    </row>
    <row r="696" ht="15.75" customHeight="1">
      <c r="B696" s="21"/>
      <c r="C696" s="21" t="str">
        <f>VLOOKUP(B696,Sheet3!$B$2:$E$311,2,FALSE)</f>
        <v>#N/A</v>
      </c>
      <c r="D696" s="21" t="str">
        <f>VLOOKUP(B696,Sheet3!$B$2:$E$311,3,)</f>
        <v>#N/A</v>
      </c>
      <c r="E696" s="21" t="str">
        <f>VLOOKUP(B696,Sheet3!$B$2:$E$311,4,)</f>
        <v>#N/A</v>
      </c>
    </row>
    <row r="697" ht="15.75" customHeight="1">
      <c r="B697" s="21"/>
      <c r="C697" s="21" t="str">
        <f>VLOOKUP(B697,Sheet3!$B$2:$E$311,2,FALSE)</f>
        <v>#N/A</v>
      </c>
      <c r="D697" s="21" t="str">
        <f>VLOOKUP(B697,Sheet3!$B$2:$E$311,3,)</f>
        <v>#N/A</v>
      </c>
      <c r="E697" s="21" t="str">
        <f>VLOOKUP(B697,Sheet3!$B$2:$E$311,4,)</f>
        <v>#N/A</v>
      </c>
    </row>
    <row r="698" ht="15.75" customHeight="1">
      <c r="B698" s="21"/>
      <c r="C698" s="21" t="str">
        <f>VLOOKUP(B698,Sheet3!$B$2:$E$311,2,FALSE)</f>
        <v>#N/A</v>
      </c>
      <c r="D698" s="21" t="str">
        <f>VLOOKUP(B698,Sheet3!$B$2:$E$311,3,)</f>
        <v>#N/A</v>
      </c>
      <c r="E698" s="21" t="str">
        <f>VLOOKUP(B698,Sheet3!$B$2:$E$311,4,)</f>
        <v>#N/A</v>
      </c>
    </row>
    <row r="699" ht="15.75" customHeight="1">
      <c r="B699" s="21"/>
      <c r="C699" s="21" t="str">
        <f>VLOOKUP(B699,Sheet3!$B$2:$E$311,2,FALSE)</f>
        <v>#N/A</v>
      </c>
      <c r="D699" s="21" t="str">
        <f>VLOOKUP(B699,Sheet3!$B$2:$E$311,3,)</f>
        <v>#N/A</v>
      </c>
      <c r="E699" s="21" t="str">
        <f>VLOOKUP(B699,Sheet3!$B$2:$E$311,4,)</f>
        <v>#N/A</v>
      </c>
    </row>
    <row r="700" ht="15.75" customHeight="1">
      <c r="B700" s="21"/>
      <c r="C700" s="21" t="str">
        <f>VLOOKUP(B700,Sheet3!$B$2:$E$311,2,FALSE)</f>
        <v>#N/A</v>
      </c>
      <c r="D700" s="21" t="str">
        <f>VLOOKUP(B700,Sheet3!$B$2:$E$311,3,)</f>
        <v>#N/A</v>
      </c>
      <c r="E700" s="21" t="str">
        <f>VLOOKUP(B700,Sheet3!$B$2:$E$311,4,)</f>
        <v>#N/A</v>
      </c>
    </row>
    <row r="701" ht="15.75" customHeight="1">
      <c r="B701" s="21"/>
      <c r="C701" s="21" t="str">
        <f>VLOOKUP(B701,Sheet3!$B$2:$E$311,2,FALSE)</f>
        <v>#N/A</v>
      </c>
      <c r="D701" s="21" t="str">
        <f>VLOOKUP(B701,Sheet3!$B$2:$E$311,3,)</f>
        <v>#N/A</v>
      </c>
      <c r="E701" s="21" t="str">
        <f>VLOOKUP(B701,Sheet3!$B$2:$E$311,4,)</f>
        <v>#N/A</v>
      </c>
    </row>
    <row r="702" ht="15.75" customHeight="1">
      <c r="B702" s="21"/>
      <c r="C702" s="21" t="str">
        <f>VLOOKUP(B702,Sheet3!$B$2:$E$311,2,FALSE)</f>
        <v>#N/A</v>
      </c>
      <c r="D702" s="21" t="str">
        <f>VLOOKUP(B702,Sheet3!$B$2:$E$311,3,)</f>
        <v>#N/A</v>
      </c>
      <c r="E702" s="21" t="str">
        <f>VLOOKUP(B702,Sheet3!$B$2:$E$311,4,)</f>
        <v>#N/A</v>
      </c>
    </row>
    <row r="703" ht="15.75" customHeight="1">
      <c r="B703" s="21"/>
      <c r="C703" s="21" t="str">
        <f>VLOOKUP(B703,Sheet3!$B$2:$E$311,2,FALSE)</f>
        <v>#N/A</v>
      </c>
      <c r="D703" s="21" t="str">
        <f>VLOOKUP(B703,Sheet3!$B$2:$E$311,3,)</f>
        <v>#N/A</v>
      </c>
      <c r="E703" s="21" t="str">
        <f>VLOOKUP(B703,Sheet3!$B$2:$E$311,4,)</f>
        <v>#N/A</v>
      </c>
    </row>
    <row r="704" ht="15.75" customHeight="1">
      <c r="B704" s="21"/>
      <c r="C704" s="21" t="str">
        <f>VLOOKUP(B704,Sheet3!$B$2:$E$311,2,FALSE)</f>
        <v>#N/A</v>
      </c>
      <c r="D704" s="21" t="str">
        <f>VLOOKUP(B704,Sheet3!$B$2:$E$311,3,)</f>
        <v>#N/A</v>
      </c>
      <c r="E704" s="21" t="str">
        <f>VLOOKUP(B704,Sheet3!$B$2:$E$311,4,)</f>
        <v>#N/A</v>
      </c>
    </row>
    <row r="705" ht="15.75" customHeight="1">
      <c r="B705" s="21"/>
      <c r="C705" s="21" t="str">
        <f>VLOOKUP(B705,Sheet3!$B$2:$E$311,2,FALSE)</f>
        <v>#N/A</v>
      </c>
      <c r="D705" s="21" t="str">
        <f>VLOOKUP(B705,Sheet3!$B$2:$E$311,3,)</f>
        <v>#N/A</v>
      </c>
      <c r="E705" s="21" t="str">
        <f>VLOOKUP(B705,Sheet3!$B$2:$E$311,4,)</f>
        <v>#N/A</v>
      </c>
    </row>
    <row r="706" ht="15.75" customHeight="1">
      <c r="B706" s="21"/>
      <c r="C706" s="21" t="str">
        <f>VLOOKUP(B706,Sheet3!$B$2:$E$311,2,FALSE)</f>
        <v>#N/A</v>
      </c>
      <c r="D706" s="21" t="str">
        <f>VLOOKUP(B706,Sheet3!$B$2:$E$311,3,)</f>
        <v>#N/A</v>
      </c>
      <c r="E706" s="21" t="str">
        <f>VLOOKUP(B706,Sheet3!$B$2:$E$311,4,)</f>
        <v>#N/A</v>
      </c>
    </row>
    <row r="707" ht="15.75" customHeight="1">
      <c r="B707" s="21"/>
      <c r="C707" s="21" t="str">
        <f>VLOOKUP(B707,Sheet3!$B$2:$E$311,2,FALSE)</f>
        <v>#N/A</v>
      </c>
      <c r="D707" s="21" t="str">
        <f>VLOOKUP(B707,Sheet3!$B$2:$E$311,3,)</f>
        <v>#N/A</v>
      </c>
      <c r="E707" s="21" t="str">
        <f>VLOOKUP(B707,Sheet3!$B$2:$E$311,4,)</f>
        <v>#N/A</v>
      </c>
    </row>
    <row r="708" ht="15.75" customHeight="1">
      <c r="B708" s="21"/>
      <c r="C708" s="21" t="str">
        <f>VLOOKUP(B708,Sheet3!$B$2:$E$311,2,FALSE)</f>
        <v>#N/A</v>
      </c>
      <c r="D708" s="21" t="str">
        <f>VLOOKUP(B708,Sheet3!$B$2:$E$311,3,)</f>
        <v>#N/A</v>
      </c>
      <c r="E708" s="21" t="str">
        <f>VLOOKUP(B708,Sheet3!$B$2:$E$311,4,)</f>
        <v>#N/A</v>
      </c>
    </row>
    <row r="709" ht="15.75" customHeight="1">
      <c r="B709" s="21"/>
      <c r="C709" s="21" t="str">
        <f>VLOOKUP(B709,Sheet3!$B$2:$E$311,2,FALSE)</f>
        <v>#N/A</v>
      </c>
      <c r="D709" s="21" t="str">
        <f>VLOOKUP(B709,Sheet3!$B$2:$E$311,3,)</f>
        <v>#N/A</v>
      </c>
      <c r="E709" s="21" t="str">
        <f>VLOOKUP(B709,Sheet3!$B$2:$E$311,4,)</f>
        <v>#N/A</v>
      </c>
    </row>
    <row r="710" ht="15.75" customHeight="1">
      <c r="B710" s="21"/>
      <c r="C710" s="21" t="str">
        <f>VLOOKUP(B710,Sheet3!$B$2:$E$311,2,FALSE)</f>
        <v>#N/A</v>
      </c>
      <c r="D710" s="21" t="str">
        <f>VLOOKUP(B710,Sheet3!$B$2:$E$311,3,)</f>
        <v>#N/A</v>
      </c>
      <c r="E710" s="21" t="str">
        <f>VLOOKUP(B710,Sheet3!$B$2:$E$311,4,)</f>
        <v>#N/A</v>
      </c>
    </row>
    <row r="711" ht="15.75" customHeight="1">
      <c r="B711" s="21"/>
      <c r="C711" s="21" t="str">
        <f>VLOOKUP(B711,Sheet3!$B$2:$E$311,2,FALSE)</f>
        <v>#N/A</v>
      </c>
      <c r="D711" s="21" t="str">
        <f>VLOOKUP(B711,Sheet3!$B$2:$E$311,3,)</f>
        <v>#N/A</v>
      </c>
      <c r="E711" s="21" t="str">
        <f>VLOOKUP(B711,Sheet3!$B$2:$E$311,4,)</f>
        <v>#N/A</v>
      </c>
    </row>
    <row r="712" ht="15.75" customHeight="1">
      <c r="B712" s="21"/>
      <c r="C712" s="21" t="str">
        <f>VLOOKUP(B712,Sheet3!$B$2:$E$311,2,FALSE)</f>
        <v>#N/A</v>
      </c>
      <c r="D712" s="21" t="str">
        <f>VLOOKUP(B712,Sheet3!$B$2:$E$311,3,)</f>
        <v>#N/A</v>
      </c>
      <c r="E712" s="21" t="str">
        <f>VLOOKUP(B712,Sheet3!$B$2:$E$311,4,)</f>
        <v>#N/A</v>
      </c>
    </row>
    <row r="713" ht="15.75" customHeight="1">
      <c r="B713" s="21"/>
      <c r="C713" s="21" t="str">
        <f>VLOOKUP(B713,Sheet3!$B$2:$E$311,2,FALSE)</f>
        <v>#N/A</v>
      </c>
      <c r="D713" s="21" t="str">
        <f>VLOOKUP(B713,Sheet3!$B$2:$E$311,3,)</f>
        <v>#N/A</v>
      </c>
      <c r="E713" s="21" t="str">
        <f>VLOOKUP(B713,Sheet3!$B$2:$E$311,4,)</f>
        <v>#N/A</v>
      </c>
    </row>
    <row r="714" ht="15.75" customHeight="1">
      <c r="B714" s="21"/>
      <c r="C714" s="21" t="str">
        <f>VLOOKUP(B714,Sheet3!$B$2:$E$311,2,FALSE)</f>
        <v>#N/A</v>
      </c>
      <c r="D714" s="21" t="str">
        <f>VLOOKUP(B714,Sheet3!$B$2:$E$311,3,)</f>
        <v>#N/A</v>
      </c>
      <c r="E714" s="21" t="str">
        <f>VLOOKUP(B714,Sheet3!$B$2:$E$311,4,)</f>
        <v>#N/A</v>
      </c>
    </row>
    <row r="715" ht="15.75" customHeight="1">
      <c r="B715" s="21"/>
      <c r="C715" s="21" t="str">
        <f>VLOOKUP(B715,Sheet3!$B$2:$E$311,2,FALSE)</f>
        <v>#N/A</v>
      </c>
      <c r="D715" s="21" t="str">
        <f>VLOOKUP(B715,Sheet3!$B$2:$E$311,3,)</f>
        <v>#N/A</v>
      </c>
      <c r="E715" s="21" t="str">
        <f>VLOOKUP(B715,Sheet3!$B$2:$E$311,4,)</f>
        <v>#N/A</v>
      </c>
    </row>
    <row r="716" ht="15.75" customHeight="1">
      <c r="B716" s="21"/>
      <c r="C716" s="21" t="str">
        <f>VLOOKUP(B716,Sheet3!$B$2:$E$311,2,FALSE)</f>
        <v>#N/A</v>
      </c>
      <c r="D716" s="21" t="str">
        <f>VLOOKUP(B716,Sheet3!$B$2:$E$311,3,)</f>
        <v>#N/A</v>
      </c>
      <c r="E716" s="21" t="str">
        <f>VLOOKUP(B716,Sheet3!$B$2:$E$311,4,)</f>
        <v>#N/A</v>
      </c>
    </row>
    <row r="717" ht="15.75" customHeight="1">
      <c r="B717" s="21"/>
      <c r="C717" s="21" t="str">
        <f>VLOOKUP(B717,Sheet3!$B$2:$E$311,2,FALSE)</f>
        <v>#N/A</v>
      </c>
      <c r="D717" s="21" t="str">
        <f>VLOOKUP(B717,Sheet3!$B$2:$E$311,3,)</f>
        <v>#N/A</v>
      </c>
      <c r="E717" s="21" t="str">
        <f>VLOOKUP(B717,Sheet3!$B$2:$E$311,4,)</f>
        <v>#N/A</v>
      </c>
    </row>
    <row r="718" ht="15.75" customHeight="1">
      <c r="B718" s="21"/>
      <c r="C718" s="21" t="str">
        <f>VLOOKUP(B718,Sheet3!$B$2:$E$311,2,FALSE)</f>
        <v>#N/A</v>
      </c>
      <c r="D718" s="21" t="str">
        <f>VLOOKUP(B718,Sheet3!$B$2:$E$311,3,)</f>
        <v>#N/A</v>
      </c>
      <c r="E718" s="21" t="str">
        <f>VLOOKUP(B718,Sheet3!$B$2:$E$311,4,)</f>
        <v>#N/A</v>
      </c>
    </row>
    <row r="719" ht="15.75" customHeight="1">
      <c r="B719" s="21"/>
      <c r="C719" s="21" t="str">
        <f>VLOOKUP(B719,Sheet3!$B$2:$E$311,2,FALSE)</f>
        <v>#N/A</v>
      </c>
      <c r="D719" s="21" t="str">
        <f>VLOOKUP(B719,Sheet3!$B$2:$E$311,3,)</f>
        <v>#N/A</v>
      </c>
      <c r="E719" s="21" t="str">
        <f>VLOOKUP(B719,Sheet3!$B$2:$E$311,4,)</f>
        <v>#N/A</v>
      </c>
    </row>
    <row r="720" ht="15.75" customHeight="1">
      <c r="B720" s="21"/>
      <c r="C720" s="21" t="str">
        <f>VLOOKUP(B720,Sheet3!$B$2:$E$311,2,FALSE)</f>
        <v>#N/A</v>
      </c>
      <c r="D720" s="21" t="str">
        <f>VLOOKUP(B720,Sheet3!$B$2:$E$311,3,)</f>
        <v>#N/A</v>
      </c>
      <c r="E720" s="21" t="str">
        <f>VLOOKUP(B720,Sheet3!$B$2:$E$311,4,)</f>
        <v>#N/A</v>
      </c>
    </row>
    <row r="721" ht="15.75" customHeight="1">
      <c r="B721" s="21"/>
      <c r="C721" s="21" t="str">
        <f>VLOOKUP(B721,Sheet3!$B$2:$E$311,2,FALSE)</f>
        <v>#N/A</v>
      </c>
      <c r="D721" s="21" t="str">
        <f>VLOOKUP(B721,Sheet3!$B$2:$E$311,3,)</f>
        <v>#N/A</v>
      </c>
      <c r="E721" s="21" t="str">
        <f>VLOOKUP(B721,Sheet3!$B$2:$E$311,4,)</f>
        <v>#N/A</v>
      </c>
    </row>
    <row r="722" ht="15.75" customHeight="1">
      <c r="B722" s="21"/>
      <c r="C722" s="21" t="str">
        <f>VLOOKUP(B722,Sheet3!$B$2:$E$311,2,FALSE)</f>
        <v>#N/A</v>
      </c>
      <c r="D722" s="21" t="str">
        <f>VLOOKUP(B722,Sheet3!$B$2:$E$311,3,)</f>
        <v>#N/A</v>
      </c>
      <c r="E722" s="21" t="str">
        <f>VLOOKUP(B722,Sheet3!$B$2:$E$311,4,)</f>
        <v>#N/A</v>
      </c>
    </row>
    <row r="723" ht="15.75" customHeight="1">
      <c r="B723" s="21"/>
      <c r="C723" s="21" t="str">
        <f>VLOOKUP(B723,Sheet3!$B$2:$E$311,2,FALSE)</f>
        <v>#N/A</v>
      </c>
      <c r="D723" s="21" t="str">
        <f>VLOOKUP(B723,Sheet3!$B$2:$E$311,3,)</f>
        <v>#N/A</v>
      </c>
      <c r="E723" s="21" t="str">
        <f>VLOOKUP(B723,Sheet3!$B$2:$E$311,4,)</f>
        <v>#N/A</v>
      </c>
    </row>
    <row r="724" ht="15.75" customHeight="1">
      <c r="B724" s="21"/>
      <c r="C724" s="21" t="str">
        <f>VLOOKUP(B724,Sheet3!$B$2:$E$311,2,FALSE)</f>
        <v>#N/A</v>
      </c>
      <c r="D724" s="21" t="str">
        <f>VLOOKUP(B724,Sheet3!$B$2:$E$311,3,)</f>
        <v>#N/A</v>
      </c>
      <c r="E724" s="21" t="str">
        <f>VLOOKUP(B724,Sheet3!$B$2:$E$311,4,)</f>
        <v>#N/A</v>
      </c>
    </row>
    <row r="725" ht="15.75" customHeight="1">
      <c r="B725" s="21"/>
      <c r="C725" s="21" t="str">
        <f>VLOOKUP(B725,Sheet3!$B$2:$E$311,2,FALSE)</f>
        <v>#N/A</v>
      </c>
      <c r="D725" s="21" t="str">
        <f>VLOOKUP(B725,Sheet3!$B$2:$E$311,3,)</f>
        <v>#N/A</v>
      </c>
      <c r="E725" s="21" t="str">
        <f>VLOOKUP(B725,Sheet3!$B$2:$E$311,4,)</f>
        <v>#N/A</v>
      </c>
    </row>
    <row r="726" ht="15.75" customHeight="1">
      <c r="B726" s="21"/>
      <c r="C726" s="21" t="str">
        <f>VLOOKUP(B726,Sheet3!$B$2:$E$311,2,FALSE)</f>
        <v>#N/A</v>
      </c>
      <c r="D726" s="21" t="str">
        <f>VLOOKUP(B726,Sheet3!$B$2:$E$311,3,)</f>
        <v>#N/A</v>
      </c>
      <c r="E726" s="21" t="str">
        <f>VLOOKUP(B726,Sheet3!$B$2:$E$311,4,)</f>
        <v>#N/A</v>
      </c>
    </row>
    <row r="727" ht="15.75" customHeight="1">
      <c r="B727" s="21"/>
      <c r="C727" s="21" t="str">
        <f>VLOOKUP(B727,Sheet3!$B$2:$E$311,2,FALSE)</f>
        <v>#N/A</v>
      </c>
      <c r="D727" s="21" t="str">
        <f>VLOOKUP(B727,Sheet3!$B$2:$E$311,3,)</f>
        <v>#N/A</v>
      </c>
      <c r="E727" s="21" t="str">
        <f>VLOOKUP(B727,Sheet3!$B$2:$E$311,4,)</f>
        <v>#N/A</v>
      </c>
    </row>
    <row r="728" ht="15.75" customHeight="1">
      <c r="B728" s="21"/>
      <c r="C728" s="21" t="str">
        <f>VLOOKUP(B728,Sheet3!$B$2:$E$311,2,FALSE)</f>
        <v>#N/A</v>
      </c>
      <c r="D728" s="21" t="str">
        <f>VLOOKUP(B728,Sheet3!$B$2:$E$311,3,)</f>
        <v>#N/A</v>
      </c>
      <c r="E728" s="21" t="str">
        <f>VLOOKUP(B728,Sheet3!$B$2:$E$311,4,)</f>
        <v>#N/A</v>
      </c>
    </row>
    <row r="729" ht="15.75" customHeight="1">
      <c r="B729" s="21"/>
      <c r="C729" s="21" t="str">
        <f>VLOOKUP(B729,Sheet3!$B$2:$E$311,2,FALSE)</f>
        <v>#N/A</v>
      </c>
      <c r="D729" s="21" t="str">
        <f>VLOOKUP(B729,Sheet3!$B$2:$E$311,3,)</f>
        <v>#N/A</v>
      </c>
      <c r="E729" s="21" t="str">
        <f>VLOOKUP(B729,Sheet3!$B$2:$E$311,4,)</f>
        <v>#N/A</v>
      </c>
    </row>
    <row r="730" ht="15.75" customHeight="1">
      <c r="B730" s="21"/>
      <c r="C730" s="21" t="str">
        <f>VLOOKUP(B730,Sheet3!$B$2:$E$311,2,FALSE)</f>
        <v>#N/A</v>
      </c>
      <c r="D730" s="21" t="str">
        <f>VLOOKUP(B730,Sheet3!$B$2:$E$311,3,)</f>
        <v>#N/A</v>
      </c>
      <c r="E730" s="21" t="str">
        <f>VLOOKUP(B730,Sheet3!$B$2:$E$311,4,)</f>
        <v>#N/A</v>
      </c>
    </row>
    <row r="731" ht="15.75" customHeight="1">
      <c r="B731" s="21"/>
      <c r="C731" s="21" t="str">
        <f>VLOOKUP(B731,Sheet3!$B$2:$E$311,2,FALSE)</f>
        <v>#N/A</v>
      </c>
      <c r="D731" s="21" t="str">
        <f>VLOOKUP(B731,Sheet3!$B$2:$E$311,3,)</f>
        <v>#N/A</v>
      </c>
      <c r="E731" s="21" t="str">
        <f>VLOOKUP(B731,Sheet3!$B$2:$E$311,4,)</f>
        <v>#N/A</v>
      </c>
    </row>
    <row r="732" ht="15.75" customHeight="1">
      <c r="B732" s="21"/>
      <c r="C732" s="21" t="str">
        <f>VLOOKUP(B732,Sheet3!$B$2:$E$311,2,FALSE)</f>
        <v>#N/A</v>
      </c>
      <c r="D732" s="21" t="str">
        <f>VLOOKUP(B732,Sheet3!$B$2:$E$311,3,)</f>
        <v>#N/A</v>
      </c>
      <c r="E732" s="21" t="str">
        <f>VLOOKUP(B732,Sheet3!$B$2:$E$311,4,)</f>
        <v>#N/A</v>
      </c>
    </row>
    <row r="733" ht="15.75" customHeight="1">
      <c r="B733" s="21"/>
      <c r="C733" s="21" t="str">
        <f>VLOOKUP(B733,Sheet3!$B$2:$E$311,2,FALSE)</f>
        <v>#N/A</v>
      </c>
      <c r="D733" s="21" t="str">
        <f>VLOOKUP(B733,Sheet3!$B$2:$E$311,3,)</f>
        <v>#N/A</v>
      </c>
      <c r="E733" s="21" t="str">
        <f>VLOOKUP(B733,Sheet3!$B$2:$E$311,4,)</f>
        <v>#N/A</v>
      </c>
    </row>
    <row r="734" ht="15.75" customHeight="1">
      <c r="B734" s="21"/>
      <c r="C734" s="21" t="str">
        <f>VLOOKUP(B734,Sheet3!$B$2:$E$311,2,FALSE)</f>
        <v>#N/A</v>
      </c>
      <c r="D734" s="21" t="str">
        <f>VLOOKUP(B734,Sheet3!$B$2:$E$311,3,)</f>
        <v>#N/A</v>
      </c>
      <c r="E734" s="21" t="str">
        <f>VLOOKUP(B734,Sheet3!$B$2:$E$311,4,)</f>
        <v>#N/A</v>
      </c>
    </row>
    <row r="735" ht="15.75" customHeight="1">
      <c r="B735" s="21"/>
      <c r="C735" s="21" t="str">
        <f>VLOOKUP(B735,Sheet3!$B$2:$E$311,2,FALSE)</f>
        <v>#N/A</v>
      </c>
      <c r="D735" s="21" t="str">
        <f>VLOOKUP(B735,Sheet3!$B$2:$E$311,3,)</f>
        <v>#N/A</v>
      </c>
      <c r="E735" s="21" t="str">
        <f>VLOOKUP(B735,Sheet3!$B$2:$E$311,4,)</f>
        <v>#N/A</v>
      </c>
    </row>
    <row r="736" ht="15.75" customHeight="1">
      <c r="B736" s="21"/>
      <c r="C736" s="21" t="str">
        <f>VLOOKUP(B736,Sheet3!$B$2:$E$311,2,FALSE)</f>
        <v>#N/A</v>
      </c>
      <c r="D736" s="21" t="str">
        <f>VLOOKUP(B736,Sheet3!$B$2:$E$311,3,)</f>
        <v>#N/A</v>
      </c>
      <c r="E736" s="21" t="str">
        <f>VLOOKUP(B736,Sheet3!$B$2:$E$311,4,)</f>
        <v>#N/A</v>
      </c>
    </row>
    <row r="737" ht="15.75" customHeight="1">
      <c r="B737" s="21"/>
      <c r="C737" s="21" t="str">
        <f>VLOOKUP(B737,Sheet3!$B$2:$E$311,2,FALSE)</f>
        <v>#N/A</v>
      </c>
      <c r="D737" s="21" t="str">
        <f>VLOOKUP(B737,Sheet3!$B$2:$E$311,3,)</f>
        <v>#N/A</v>
      </c>
      <c r="E737" s="21" t="str">
        <f>VLOOKUP(B737,Sheet3!$B$2:$E$311,4,)</f>
        <v>#N/A</v>
      </c>
    </row>
    <row r="738" ht="15.75" customHeight="1">
      <c r="B738" s="21"/>
      <c r="C738" s="21" t="str">
        <f>VLOOKUP(B738,Sheet3!$B$2:$E$311,2,FALSE)</f>
        <v>#N/A</v>
      </c>
      <c r="D738" s="21" t="str">
        <f>VLOOKUP(B738,Sheet3!$B$2:$E$311,3,)</f>
        <v>#N/A</v>
      </c>
    </row>
    <row r="739" ht="15.75" customHeight="1">
      <c r="B739" s="21"/>
      <c r="C739" s="21" t="str">
        <f>VLOOKUP(B739,Sheet3!$B$2:$E$311,2,FALSE)</f>
        <v>#N/A</v>
      </c>
      <c r="D739" s="21" t="str">
        <f>VLOOKUP(B739,Sheet3!$B$2:$E$311,3,)</f>
        <v>#N/A</v>
      </c>
    </row>
    <row r="740" ht="15.75" customHeight="1">
      <c r="B740" s="21"/>
      <c r="C740" s="21" t="str">
        <f>VLOOKUP(B740,Sheet3!$B$2:$E$311,2,FALSE)</f>
        <v>#N/A</v>
      </c>
      <c r="D740" s="21" t="str">
        <f>VLOOKUP(B740,Sheet3!$B$2:$E$311,3,)</f>
        <v>#N/A</v>
      </c>
    </row>
    <row r="741" ht="15.75" customHeight="1">
      <c r="B741" s="21"/>
      <c r="C741" s="21" t="str">
        <f>VLOOKUP(B741,Sheet3!$B$2:$E$311,2,FALSE)</f>
        <v>#N/A</v>
      </c>
      <c r="D741" s="21" t="str">
        <f>VLOOKUP(B741,Sheet3!$B$2:$E$311,3,)</f>
        <v>#N/A</v>
      </c>
    </row>
    <row r="742" ht="15.75" customHeight="1">
      <c r="B742" s="21"/>
      <c r="C742" s="21" t="str">
        <f>VLOOKUP(B742,Sheet3!$B$2:$E$311,2,FALSE)</f>
        <v>#N/A</v>
      </c>
      <c r="D742" s="21" t="str">
        <f>VLOOKUP(B742,Sheet3!$B$2:$E$311,3,)</f>
        <v>#N/A</v>
      </c>
    </row>
    <row r="743" ht="15.75" customHeight="1">
      <c r="B743" s="21"/>
      <c r="C743" s="21" t="str">
        <f>VLOOKUP(B743,Sheet3!$B$2:$E$311,2,FALSE)</f>
        <v>#N/A</v>
      </c>
      <c r="D743" s="21" t="str">
        <f>VLOOKUP(B743,Sheet3!$B$2:$E$311,3,)</f>
        <v>#N/A</v>
      </c>
    </row>
    <row r="744" ht="15.75" customHeight="1">
      <c r="B744" s="21"/>
      <c r="C744" s="21" t="str">
        <f>VLOOKUP(B744,Sheet3!$B$2:$E$311,2,FALSE)</f>
        <v>#N/A</v>
      </c>
      <c r="D744" s="21" t="str">
        <f>VLOOKUP(B744,Sheet3!$B$2:$E$311,3,)</f>
        <v>#N/A</v>
      </c>
    </row>
    <row r="745" ht="15.75" customHeight="1">
      <c r="B745" s="21"/>
      <c r="C745" s="21" t="str">
        <f>VLOOKUP(B745,Sheet3!$B$2:$E$311,2,FALSE)</f>
        <v>#N/A</v>
      </c>
      <c r="D745" s="21" t="str">
        <f>VLOOKUP(B745,Sheet3!$B$2:$E$311,3,)</f>
        <v>#N/A</v>
      </c>
    </row>
    <row r="746" ht="15.75" customHeight="1">
      <c r="B746" s="21"/>
      <c r="C746" s="21" t="str">
        <f>VLOOKUP(B746,Sheet3!$B$2:$E$311,2,FALSE)</f>
        <v>#N/A</v>
      </c>
    </row>
    <row r="747" ht="15.75" customHeight="1">
      <c r="B747" s="21"/>
      <c r="C747" s="21" t="str">
        <f>VLOOKUP(B747,Sheet3!$B$2:$E$311,2,FALSE)</f>
        <v>#N/A</v>
      </c>
    </row>
    <row r="748" ht="15.75" customHeight="1">
      <c r="B748" s="21"/>
    </row>
    <row r="749" ht="15.75" customHeight="1">
      <c r="B749" s="21"/>
    </row>
    <row r="750" ht="15.75" customHeight="1">
      <c r="B750" s="21"/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33 B135:B138 B140:B214 B216:B233 B235:B753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3.14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4" t="s">
        <v>519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0" t="s">
        <v>520</v>
      </c>
    </row>
    <row r="2">
      <c r="A2" s="26"/>
      <c r="B2" s="27" t="s">
        <v>36</v>
      </c>
      <c r="C2" s="6" t="str">
        <f>VLOOKUP(B2,Sheet3!$B$2:$E$311,2,FALSE)</f>
        <v>B004</v>
      </c>
      <c r="D2" s="19" t="str">
        <f>VLOOKUP(B2,Sheet3!$B$2:$E$311,3,)</f>
        <v>BAHAN BAKU LUUCA</v>
      </c>
      <c r="E2" s="19" t="str">
        <f>VLOOKUP(B2,Sheet3!$B$2:$E$311,4,)</f>
        <v>PCS</v>
      </c>
      <c r="F2" s="28">
        <v>20.0</v>
      </c>
      <c r="G2" s="28" t="s">
        <v>293</v>
      </c>
      <c r="H2" s="28" t="s">
        <v>522</v>
      </c>
    </row>
    <row r="3">
      <c r="A3" s="26"/>
      <c r="B3" s="27" t="s">
        <v>38</v>
      </c>
      <c r="C3" s="6" t="str">
        <f>VLOOKUP(B3,Sheet3!$B$2:$E$311,2,FALSE)</f>
        <v>P005</v>
      </c>
      <c r="D3" s="19" t="str">
        <f>VLOOKUP(B3,Sheet3!$B$2:$E$311,3,)</f>
        <v>PACKAGING LUUCA</v>
      </c>
      <c r="E3" s="19" t="str">
        <f>VLOOKUP(B3,Sheet3!$B$2:$E$311,4,)</f>
        <v>PCS</v>
      </c>
      <c r="F3" s="28">
        <v>20.0</v>
      </c>
      <c r="G3" s="28" t="s">
        <v>293</v>
      </c>
      <c r="H3" s="28" t="s">
        <v>522</v>
      </c>
    </row>
    <row r="4">
      <c r="A4" s="26"/>
      <c r="B4" s="27" t="s">
        <v>27</v>
      </c>
      <c r="C4" s="6" t="str">
        <f>VLOOKUP(B4,Sheet3!$B$2:$E$311,2,FALSE)</f>
        <v>B004</v>
      </c>
      <c r="D4" s="19" t="str">
        <f>VLOOKUP(B4,Sheet3!$B$2:$E$311,3,)</f>
        <v>BAHAN BAKU LUUCA</v>
      </c>
      <c r="E4" s="19" t="str">
        <f>VLOOKUP(B4,Sheet3!$B$2:$E$311,4,)</f>
        <v>GR</v>
      </c>
      <c r="F4" s="28">
        <v>15.0</v>
      </c>
      <c r="G4" s="28" t="s">
        <v>293</v>
      </c>
      <c r="H4" s="6"/>
    </row>
    <row r="5">
      <c r="A5" s="26"/>
      <c r="B5" s="27" t="s">
        <v>27</v>
      </c>
      <c r="C5" s="6" t="str">
        <f>VLOOKUP(B5,Sheet3!$B$2:$E$311,2,FALSE)</f>
        <v>B004</v>
      </c>
      <c r="D5" s="19" t="str">
        <f>VLOOKUP(B5,Sheet3!$B$2:$E$311,3,)</f>
        <v>BAHAN BAKU LUUCA</v>
      </c>
      <c r="E5" s="19" t="str">
        <f>VLOOKUP(B5,Sheet3!$B$2:$E$311,4,)</f>
        <v>GR</v>
      </c>
      <c r="F5" s="28">
        <v>21.0</v>
      </c>
      <c r="G5" s="28" t="s">
        <v>293</v>
      </c>
      <c r="H5" s="6"/>
    </row>
    <row r="6">
      <c r="A6" s="26"/>
      <c r="B6" s="27" t="s">
        <v>152</v>
      </c>
      <c r="C6" s="6" t="str">
        <f>VLOOKUP(B6,Sheet3!$B$2:$E$311,2,FALSE)</f>
        <v>L001</v>
      </c>
      <c r="D6" s="19" t="str">
        <f>VLOOKUP(B6,Sheet3!$B$2:$E$311,3,)</f>
        <v>LUCCA MENU</v>
      </c>
      <c r="E6" s="19" t="str">
        <f>VLOOKUP(B6,Sheet3!$B$2:$E$311,4,)</f>
        <v>PRS</v>
      </c>
      <c r="F6" s="28">
        <v>1.0</v>
      </c>
      <c r="G6" s="28" t="s">
        <v>293</v>
      </c>
      <c r="H6" s="6"/>
    </row>
    <row r="7">
      <c r="A7" s="26"/>
      <c r="B7" s="27" t="s">
        <v>153</v>
      </c>
      <c r="C7" s="6" t="str">
        <f>VLOOKUP(B7,Sheet3!$B$2:$E$311,2,FALSE)</f>
        <v>L001</v>
      </c>
      <c r="D7" s="19" t="str">
        <f>VLOOKUP(B7,Sheet3!$B$2:$E$311,3,)</f>
        <v>LUCCA MENU</v>
      </c>
      <c r="E7" s="19" t="str">
        <f>VLOOKUP(B7,Sheet3!$B$2:$E$311,4,)</f>
        <v>PRS</v>
      </c>
      <c r="F7" s="28">
        <v>1.0</v>
      </c>
      <c r="G7" s="28" t="s">
        <v>293</v>
      </c>
      <c r="H7" s="6"/>
    </row>
    <row r="8">
      <c r="A8" s="26"/>
      <c r="B8" s="27" t="s">
        <v>159</v>
      </c>
      <c r="C8" s="6" t="str">
        <f>VLOOKUP(B8,Sheet3!$B$2:$E$311,2,FALSE)</f>
        <v>L001</v>
      </c>
      <c r="D8" s="19" t="str">
        <f>VLOOKUP(B8,Sheet3!$B$2:$E$311,3,)</f>
        <v>LUCCA MENU</v>
      </c>
      <c r="E8" s="19" t="str">
        <f>VLOOKUP(B8,Sheet3!$B$2:$E$311,4,)</f>
        <v>PRS</v>
      </c>
      <c r="F8" s="28">
        <v>1.0</v>
      </c>
      <c r="G8" s="28" t="s">
        <v>293</v>
      </c>
      <c r="H8" s="6"/>
    </row>
    <row r="9">
      <c r="A9" s="26"/>
      <c r="B9" s="27" t="s">
        <v>158</v>
      </c>
      <c r="C9" s="6" t="str">
        <f>VLOOKUP(B9,Sheet3!$B$2:$E$311,2,FALSE)</f>
        <v>L001</v>
      </c>
      <c r="D9" s="19" t="str">
        <f>VLOOKUP(B9,Sheet3!$B$2:$E$311,3,)</f>
        <v>LUCCA MENU</v>
      </c>
      <c r="E9" s="19" t="str">
        <f>VLOOKUP(B9,Sheet3!$B$2:$E$311,4,)</f>
        <v>PRS</v>
      </c>
      <c r="F9" s="28">
        <v>1.0</v>
      </c>
      <c r="G9" s="28" t="s">
        <v>293</v>
      </c>
      <c r="H9" s="6"/>
    </row>
    <row r="10">
      <c r="A10" s="26"/>
      <c r="B10" s="27" t="s">
        <v>65</v>
      </c>
      <c r="C10" s="6" t="str">
        <f>VLOOKUP(B10,Sheet3!$B$2:$E$311,2,FALSE)</f>
        <v>P005</v>
      </c>
      <c r="D10" s="19" t="str">
        <f>VLOOKUP(B10,Sheet3!$B$2:$E$311,3,)</f>
        <v>PACKAGING LUUCA</v>
      </c>
      <c r="E10" s="19" t="str">
        <f>VLOOKUP(B10,Sheet3!$B$2:$E$311,4,)</f>
        <v>PCS</v>
      </c>
      <c r="F10" s="28">
        <v>1.0</v>
      </c>
      <c r="G10" s="28" t="s">
        <v>293</v>
      </c>
      <c r="H10" s="6"/>
    </row>
    <row r="11">
      <c r="A11" s="26">
        <v>46092.0</v>
      </c>
      <c r="B11" s="27" t="s">
        <v>160</v>
      </c>
      <c r="C11" s="6" t="str">
        <f>VLOOKUP(B11,Sheet3!$B$2:$E$311,2,FALSE)</f>
        <v>L001</v>
      </c>
      <c r="D11" s="19" t="str">
        <f>VLOOKUP(B11,Sheet3!$B$2:$E$311,3,)</f>
        <v>LUCCA MENU</v>
      </c>
      <c r="E11" s="19" t="str">
        <f>VLOOKUP(B11,Sheet3!$B$2:$E$311,4,)</f>
        <v>PRS</v>
      </c>
      <c r="F11" s="28">
        <v>1.0</v>
      </c>
      <c r="G11" s="28" t="s">
        <v>293</v>
      </c>
      <c r="H11" s="6"/>
    </row>
    <row r="12">
      <c r="A12" s="26">
        <v>46093.0</v>
      </c>
      <c r="B12" s="27" t="s">
        <v>108</v>
      </c>
      <c r="C12" s="6"/>
      <c r="D12" s="19" t="str">
        <f>VLOOKUP(B12,Sheet3!$B$2:$E$311,3,)</f>
        <v>BAHAN BAKU LUUCA</v>
      </c>
      <c r="E12" s="19" t="str">
        <f>VLOOKUP(B12,Sheet3!$B$2:$E$311,4,)</f>
        <v>GR</v>
      </c>
      <c r="F12" s="28" t="s">
        <v>524</v>
      </c>
      <c r="G12" s="28" t="s">
        <v>525</v>
      </c>
      <c r="H12" s="6"/>
    </row>
    <row r="13">
      <c r="A13" s="27"/>
      <c r="B13" s="27" t="s">
        <v>108</v>
      </c>
      <c r="C13" s="6"/>
      <c r="D13" s="19" t="str">
        <f>VLOOKUP(B13,Sheet3!$B$2:$E$311,3,)</f>
        <v>BAHAN BAKU LUUCA</v>
      </c>
      <c r="E13" s="19" t="str">
        <f>VLOOKUP(B13,Sheet3!$B$2:$E$311,4,)</f>
        <v>GR</v>
      </c>
      <c r="F13" s="28">
        <v>11.0</v>
      </c>
      <c r="G13" s="28" t="s">
        <v>496</v>
      </c>
      <c r="H13" s="6"/>
    </row>
    <row r="14">
      <c r="A14" s="26"/>
      <c r="B14" s="27" t="s">
        <v>30</v>
      </c>
      <c r="C14" s="6"/>
      <c r="D14" s="19" t="str">
        <f>VLOOKUP(B14,Sheet3!$B$2:$E$311,3,)</f>
        <v>BAHAN BAKU LUUCA</v>
      </c>
      <c r="E14" s="28" t="s">
        <v>37</v>
      </c>
      <c r="F14" s="28">
        <v>1.0</v>
      </c>
      <c r="G14" s="28" t="s">
        <v>528</v>
      </c>
      <c r="H14" s="6"/>
    </row>
    <row r="15">
      <c r="A15" s="26">
        <v>46094.0</v>
      </c>
      <c r="B15" s="27" t="s">
        <v>166</v>
      </c>
      <c r="C15" s="6" t="str">
        <f>VLOOKUP(B15,Sheet3!$B$2:$E$311,2,FALSE)</f>
        <v>L001</v>
      </c>
      <c r="D15" s="19" t="str">
        <f>VLOOKUP(B15,Sheet3!$B$2:$E$311,3,)</f>
        <v>LUCCA MENU</v>
      </c>
      <c r="E15" s="19" t="str">
        <f>VLOOKUP(B15,Sheet3!$B$2:$E$311,4,)</f>
        <v>PRS</v>
      </c>
      <c r="F15" s="28">
        <v>1.0</v>
      </c>
      <c r="G15" s="28" t="s">
        <v>529</v>
      </c>
      <c r="H15" s="6"/>
    </row>
    <row r="16">
      <c r="A16" s="26"/>
      <c r="B16" s="27" t="s">
        <v>36</v>
      </c>
      <c r="C16" s="6" t="str">
        <f>VLOOKUP(B16,Sheet3!$B$2:$E$311,2,FALSE)</f>
        <v>B004</v>
      </c>
      <c r="D16" s="19" t="str">
        <f>VLOOKUP(B16,Sheet3!$B$2:$E$311,3,)</f>
        <v>BAHAN BAKU LUUCA</v>
      </c>
      <c r="E16" s="19" t="str">
        <f>VLOOKUP(B16,Sheet3!$B$2:$E$311,4,)</f>
        <v>PCS</v>
      </c>
      <c r="F16" s="28">
        <v>1.0</v>
      </c>
      <c r="G16" s="28" t="s">
        <v>532</v>
      </c>
      <c r="H16" s="6"/>
    </row>
    <row r="17">
      <c r="A17" s="27"/>
      <c r="B17" s="27" t="s">
        <v>69</v>
      </c>
      <c r="C17" s="6" t="str">
        <f>VLOOKUP(B17,Sheet3!$B$2:$E$311,2,FALSE)</f>
        <v>B004</v>
      </c>
      <c r="D17" s="19" t="str">
        <f>VLOOKUP(B17,Sheet3!$B$2:$E$311,3,)</f>
        <v>BAHAN BAKU LUUCA</v>
      </c>
      <c r="E17" s="28" t="s">
        <v>37</v>
      </c>
      <c r="F17" s="28">
        <v>1.0</v>
      </c>
      <c r="G17" s="28" t="s">
        <v>528</v>
      </c>
      <c r="H17" s="6"/>
    </row>
    <row r="18">
      <c r="A18" s="27"/>
      <c r="B18" s="27" t="s">
        <v>30</v>
      </c>
      <c r="C18" s="6" t="str">
        <f>VLOOKUP(B18,Sheet3!$B$2:$E$311,2,FALSE)</f>
        <v>B004</v>
      </c>
      <c r="D18" s="19" t="str">
        <f>VLOOKUP(B18,Sheet3!$B$2:$E$311,3,)</f>
        <v>BAHAN BAKU LUUCA</v>
      </c>
      <c r="E18" s="19" t="str">
        <f>VLOOKUP(B18,Sheet3!$B$2:$E$311,4,)</f>
        <v>GR</v>
      </c>
      <c r="F18" s="28">
        <v>5.0</v>
      </c>
      <c r="G18" s="28" t="s">
        <v>528</v>
      </c>
      <c r="H18" s="6"/>
    </row>
    <row r="19">
      <c r="A19" s="26"/>
      <c r="B19" s="27" t="s">
        <v>108</v>
      </c>
      <c r="C19" s="6" t="str">
        <f>VLOOKUP(B19,Sheet3!$B$2:$E$311,2,FALSE)</f>
        <v>B004</v>
      </c>
      <c r="D19" s="19" t="str">
        <f>VLOOKUP(B19,Sheet3!$B$2:$E$311,3,)</f>
        <v>BAHAN BAKU LUUCA</v>
      </c>
      <c r="E19" s="19" t="str">
        <f>VLOOKUP(B19,Sheet3!$B$2:$E$311,4,)</f>
        <v>GR</v>
      </c>
      <c r="F19" s="28" t="s">
        <v>536</v>
      </c>
      <c r="G19" s="28" t="s">
        <v>525</v>
      </c>
      <c r="H19" s="6"/>
    </row>
    <row r="20">
      <c r="A20" s="26">
        <v>46095.0</v>
      </c>
      <c r="B20" s="27" t="s">
        <v>53</v>
      </c>
      <c r="C20" s="6" t="str">
        <f>VLOOKUP(B20,Sheet3!$B$2:$E$311,2,FALSE)</f>
        <v>B004</v>
      </c>
      <c r="D20" s="19" t="str">
        <f>VLOOKUP(B20,Sheet3!$B$2:$E$311,3,)</f>
        <v>BAHAN BAKU LUUCA</v>
      </c>
      <c r="E20" s="19" t="str">
        <f>VLOOKUP(B20,Sheet3!$B$2:$E$311,4,)</f>
        <v>GR</v>
      </c>
      <c r="F20" s="28" t="s">
        <v>537</v>
      </c>
      <c r="G20" s="28" t="s">
        <v>538</v>
      </c>
      <c r="H20" s="6"/>
    </row>
    <row r="21">
      <c r="A21" s="26"/>
      <c r="B21" s="27" t="s">
        <v>108</v>
      </c>
      <c r="C21" s="6" t="str">
        <f>VLOOKUP(B21,Sheet3!$B$2:$E$311,2,FALSE)</f>
        <v>B004</v>
      </c>
      <c r="D21" s="19" t="str">
        <f>VLOOKUP(B21,Sheet3!$B$2:$E$311,3,)</f>
        <v>BAHAN BAKU LUUCA</v>
      </c>
      <c r="E21" s="19" t="str">
        <f>VLOOKUP(B21,Sheet3!$B$2:$E$311,4,)</f>
        <v>GR</v>
      </c>
      <c r="F21" s="28" t="s">
        <v>542</v>
      </c>
      <c r="G21" s="28" t="s">
        <v>525</v>
      </c>
      <c r="H21" s="6"/>
    </row>
    <row r="22">
      <c r="A22" s="26"/>
      <c r="B22" s="27" t="s">
        <v>53</v>
      </c>
      <c r="C22" s="6" t="str">
        <f>VLOOKUP(B22,Sheet3!$B$2:$E$311,2,FALSE)</f>
        <v>B004</v>
      </c>
      <c r="D22" s="19" t="str">
        <f>VLOOKUP(B22,Sheet3!$B$2:$E$311,3,)</f>
        <v>BAHAN BAKU LUUCA</v>
      </c>
      <c r="E22" s="19" t="str">
        <f>VLOOKUP(B22,Sheet3!$B$2:$E$311,4,)</f>
        <v>GR</v>
      </c>
      <c r="F22" s="28" t="s">
        <v>544</v>
      </c>
      <c r="G22" s="28" t="s">
        <v>538</v>
      </c>
      <c r="H22" s="6"/>
    </row>
    <row r="23">
      <c r="A23" s="26"/>
      <c r="B23" s="27" t="s">
        <v>53</v>
      </c>
      <c r="C23" s="6" t="str">
        <f>VLOOKUP(B23,Sheet3!$B$2:$E$311,2,FALSE)</f>
        <v>B004</v>
      </c>
      <c r="D23" s="19" t="str">
        <f>VLOOKUP(B23,Sheet3!$B$2:$E$311,3,)</f>
        <v>BAHAN BAKU LUUCA</v>
      </c>
      <c r="E23" s="19" t="str">
        <f>VLOOKUP(B23,Sheet3!$B$2:$E$311,4,)</f>
        <v>GR</v>
      </c>
      <c r="F23" s="28">
        <v>21.0</v>
      </c>
      <c r="G23" s="28" t="s">
        <v>547</v>
      </c>
      <c r="H23" s="6"/>
    </row>
    <row r="24">
      <c r="A24" s="26"/>
      <c r="B24" s="27" t="s">
        <v>71</v>
      </c>
      <c r="C24" s="6" t="str">
        <f>VLOOKUP(B24,Sheet3!$B$2:$E$311,2,FALSE)</f>
        <v>B004</v>
      </c>
      <c r="D24" s="19" t="str">
        <f>VLOOKUP(B24,Sheet3!$B$2:$E$311,3,)</f>
        <v>BAHAN BAKU LUUCA</v>
      </c>
      <c r="E24" s="19" t="str">
        <f>VLOOKUP(B24,Sheet3!$B$2:$E$311,4,)</f>
        <v>GR</v>
      </c>
      <c r="F24" s="28" t="s">
        <v>550</v>
      </c>
      <c r="G24" s="28" t="s">
        <v>532</v>
      </c>
      <c r="H24" s="6"/>
    </row>
    <row r="25" ht="15.75" customHeight="1">
      <c r="A25" s="26"/>
      <c r="B25" s="27" t="s">
        <v>30</v>
      </c>
      <c r="C25" s="6" t="str">
        <f>VLOOKUP(B25,Sheet3!$B$2:$E$311,2,FALSE)</f>
        <v>B004</v>
      </c>
      <c r="D25" s="19" t="str">
        <f>VLOOKUP(B25,Sheet3!$B$2:$E$311,3,)</f>
        <v>BAHAN BAKU LUUCA</v>
      </c>
      <c r="E25" s="28" t="s">
        <v>37</v>
      </c>
      <c r="F25" s="28">
        <v>5.0</v>
      </c>
      <c r="G25" s="28" t="s">
        <v>528</v>
      </c>
      <c r="H25" s="6"/>
    </row>
    <row r="26" ht="15.75" customHeight="1">
      <c r="A26" s="26">
        <v>46096.0</v>
      </c>
      <c r="B26" s="27" t="s">
        <v>69</v>
      </c>
      <c r="C26" s="6" t="str">
        <f>VLOOKUP(B26,Sheet3!$B$2:$E$311,2,FALSE)</f>
        <v>B004</v>
      </c>
      <c r="D26" s="19" t="str">
        <f>VLOOKUP(B26,Sheet3!$B$2:$E$311,3,)</f>
        <v>BAHAN BAKU LUUCA</v>
      </c>
      <c r="E26" s="28" t="s">
        <v>37</v>
      </c>
      <c r="F26" s="28">
        <v>22.0</v>
      </c>
      <c r="G26" s="28" t="s">
        <v>528</v>
      </c>
      <c r="H26" s="6"/>
    </row>
    <row r="27" ht="15.75" customHeight="1">
      <c r="A27" s="26"/>
      <c r="B27" s="27" t="s">
        <v>108</v>
      </c>
      <c r="C27" s="6" t="str">
        <f>VLOOKUP(B27,Sheet3!$B$2:$E$311,2,FALSE)</f>
        <v>B004</v>
      </c>
      <c r="D27" s="19" t="str">
        <f>VLOOKUP(B27,Sheet3!$B$2:$E$311,3,)</f>
        <v>BAHAN BAKU LUUCA</v>
      </c>
      <c r="E27" s="19" t="str">
        <f>VLOOKUP(B27,Sheet3!$B$2:$E$311,4,)</f>
        <v>GR</v>
      </c>
      <c r="F27" s="28" t="s">
        <v>554</v>
      </c>
      <c r="G27" s="28" t="s">
        <v>525</v>
      </c>
      <c r="H27" s="6"/>
    </row>
    <row r="28" ht="15.75" customHeight="1">
      <c r="A28" s="26"/>
      <c r="B28" s="27" t="s">
        <v>108</v>
      </c>
      <c r="C28" s="6" t="str">
        <f>VLOOKUP(B28,Sheet3!$B$2:$E$311,2,FALSE)</f>
        <v>B004</v>
      </c>
      <c r="D28" s="19" t="str">
        <f>VLOOKUP(B28,Sheet3!$B$2:$E$311,3,)</f>
        <v>BAHAN BAKU LUUCA</v>
      </c>
      <c r="E28" s="19" t="str">
        <f>VLOOKUP(B28,Sheet3!$B$2:$E$311,4,)</f>
        <v>GR</v>
      </c>
      <c r="F28" s="28" t="s">
        <v>557</v>
      </c>
      <c r="G28" s="28" t="s">
        <v>525</v>
      </c>
      <c r="H28" s="6"/>
    </row>
    <row r="29" ht="15.75" customHeight="1">
      <c r="A29" s="26"/>
      <c r="B29" s="27" t="s">
        <v>30</v>
      </c>
      <c r="C29" s="6" t="str">
        <f>VLOOKUP(B29,Sheet3!$B$2:$E$311,2,FALSE)</f>
        <v>B004</v>
      </c>
      <c r="D29" s="19" t="str">
        <f>VLOOKUP(B29,Sheet3!$B$2:$E$311,3,)</f>
        <v>BAHAN BAKU LUUCA</v>
      </c>
      <c r="E29" s="28" t="s">
        <v>37</v>
      </c>
      <c r="F29" s="28">
        <v>8.0</v>
      </c>
      <c r="G29" s="28" t="s">
        <v>528</v>
      </c>
      <c r="H29" s="6"/>
    </row>
    <row r="30" ht="15.75" customHeight="1">
      <c r="A30" s="26"/>
      <c r="B30" s="27" t="s">
        <v>107</v>
      </c>
      <c r="C30" s="6" t="str">
        <f>VLOOKUP(B30,Sheet3!$B$2:$E$311,2,FALSE)</f>
        <v>B004</v>
      </c>
      <c r="D30" s="19" t="str">
        <f>VLOOKUP(B30,Sheet3!$B$2:$E$311,3,)</f>
        <v>BAHAN BAKU LUUCA</v>
      </c>
      <c r="E30" s="19" t="str">
        <f>VLOOKUP(B30,Sheet3!$B$2:$E$311,4,)</f>
        <v>GR</v>
      </c>
      <c r="F30" s="28">
        <v>18.0</v>
      </c>
      <c r="G30" s="28" t="s">
        <v>559</v>
      </c>
      <c r="H30" s="6"/>
    </row>
    <row r="31" ht="15.75" customHeight="1">
      <c r="A31" s="26"/>
      <c r="B31" s="27" t="s">
        <v>53</v>
      </c>
      <c r="C31" s="6" t="str">
        <f>VLOOKUP(B31,Sheet3!$B$2:$E$311,2,FALSE)</f>
        <v>B004</v>
      </c>
      <c r="D31" s="19" t="str">
        <f>VLOOKUP(B31,Sheet3!$B$2:$E$311,3,)</f>
        <v>BAHAN BAKU LUUCA</v>
      </c>
      <c r="E31" s="19" t="str">
        <f>VLOOKUP(B31,Sheet3!$B$2:$E$311,4,)</f>
        <v>GR</v>
      </c>
      <c r="F31" s="28" t="s">
        <v>560</v>
      </c>
      <c r="G31" s="28" t="s">
        <v>538</v>
      </c>
      <c r="H31" s="6"/>
    </row>
    <row r="32" ht="15.75" customHeight="1">
      <c r="A32" s="26"/>
      <c r="B32" s="27" t="s">
        <v>53</v>
      </c>
      <c r="C32" s="6" t="str">
        <f>VLOOKUP(B32,Sheet3!$B$2:$E$311,2,FALSE)</f>
        <v>B004</v>
      </c>
      <c r="D32" s="19" t="str">
        <f>VLOOKUP(B32,Sheet3!$B$2:$E$311,3,)</f>
        <v>BAHAN BAKU LUUCA</v>
      </c>
      <c r="E32" s="19" t="str">
        <f>VLOOKUP(B32,Sheet3!$B$2:$E$311,4,)</f>
        <v>GR</v>
      </c>
      <c r="F32" s="28" t="s">
        <v>562</v>
      </c>
      <c r="G32" s="28" t="s">
        <v>547</v>
      </c>
      <c r="H32" s="6"/>
    </row>
    <row r="33" ht="15.75" customHeight="1">
      <c r="A33" s="26"/>
      <c r="B33" s="27" t="s">
        <v>24</v>
      </c>
      <c r="C33" s="6" t="str">
        <f>VLOOKUP(B33,Sheet3!$B$2:$E$311,2,FALSE)</f>
        <v>B004</v>
      </c>
      <c r="D33" s="19" t="str">
        <f>VLOOKUP(B33,Sheet3!$B$2:$E$311,3,)</f>
        <v>BAHAN BAKU LUUCA</v>
      </c>
      <c r="E33" s="19" t="str">
        <f>VLOOKUP(B33,Sheet3!$B$2:$E$311,4,)</f>
        <v>ML</v>
      </c>
      <c r="F33" s="28">
        <v>946.0</v>
      </c>
      <c r="G33" s="28" t="s">
        <v>564</v>
      </c>
      <c r="H33" s="6"/>
    </row>
    <row r="34" ht="15.75" customHeight="1">
      <c r="A34" s="26"/>
      <c r="B34" s="27" t="s">
        <v>123</v>
      </c>
      <c r="C34" s="6" t="str">
        <f>VLOOKUP(B34,Sheet3!$B$2:$E$311,2,FALSE)</f>
        <v>L001</v>
      </c>
      <c r="D34" s="19" t="str">
        <f>VLOOKUP(B34,Sheet3!$B$2:$E$311,3,)</f>
        <v>LUCCA MENU</v>
      </c>
      <c r="E34" s="19" t="str">
        <f>VLOOKUP(B34,Sheet3!$B$2:$E$311,4,)</f>
        <v>PRS</v>
      </c>
      <c r="F34" s="28">
        <v>1.0</v>
      </c>
      <c r="G34" s="28" t="s">
        <v>566</v>
      </c>
      <c r="H34" s="6"/>
    </row>
    <row r="35" ht="15.75" customHeight="1">
      <c r="A35" s="26"/>
      <c r="B35" s="27" t="s">
        <v>123</v>
      </c>
      <c r="C35" s="6" t="str">
        <f>VLOOKUP(B35,Sheet3!$B$2:$E$311,2,FALSE)</f>
        <v>L001</v>
      </c>
      <c r="D35" s="19" t="str">
        <f>VLOOKUP(B35,Sheet3!$B$2:$E$311,3,)</f>
        <v>LUCCA MENU</v>
      </c>
      <c r="E35" s="19" t="str">
        <f>VLOOKUP(B35,Sheet3!$B$2:$E$311,4,)</f>
        <v>PRS</v>
      </c>
      <c r="F35" s="28">
        <v>1.0</v>
      </c>
      <c r="G35" s="28" t="s">
        <v>566</v>
      </c>
      <c r="H35" s="6"/>
    </row>
    <row r="36" ht="15.75" customHeight="1">
      <c r="A36" s="26"/>
      <c r="B36" s="27" t="s">
        <v>123</v>
      </c>
      <c r="C36" s="6" t="str">
        <f>VLOOKUP(B36,Sheet3!$B$2:$E$311,2,FALSE)</f>
        <v>L001</v>
      </c>
      <c r="D36" s="19" t="str">
        <f>VLOOKUP(B36,Sheet3!$B$2:$E$311,3,)</f>
        <v>LUCCA MENU</v>
      </c>
      <c r="E36" s="19" t="str">
        <f>VLOOKUP(B36,Sheet3!$B$2:$E$311,4,)</f>
        <v>PRS</v>
      </c>
      <c r="F36" s="28">
        <v>1.0</v>
      </c>
      <c r="G36" s="28" t="s">
        <v>566</v>
      </c>
      <c r="H36" s="6"/>
    </row>
    <row r="37" ht="15.75" customHeight="1">
      <c r="A37" s="26"/>
      <c r="B37" s="27" t="s">
        <v>113</v>
      </c>
      <c r="C37" s="6" t="str">
        <f>VLOOKUP(B37,Sheet3!$B$2:$E$311,2,FALSE)</f>
        <v>L001</v>
      </c>
      <c r="D37" s="19" t="str">
        <f>VLOOKUP(B37,Sheet3!$B$2:$E$311,3,)</f>
        <v>LUCCA MENU</v>
      </c>
      <c r="E37" s="19" t="str">
        <f>VLOOKUP(B37,Sheet3!$B$2:$E$311,4,)</f>
        <v>PRS</v>
      </c>
      <c r="F37" s="28">
        <v>1.0</v>
      </c>
      <c r="G37" s="28" t="s">
        <v>566</v>
      </c>
      <c r="H37" s="6"/>
    </row>
    <row r="38" ht="15.75" customHeight="1">
      <c r="A38" s="26"/>
      <c r="B38" s="27" t="s">
        <v>142</v>
      </c>
      <c r="C38" s="6" t="str">
        <f>VLOOKUP(B38,Sheet3!$B$2:$E$311,2,FALSE)</f>
        <v>L001</v>
      </c>
      <c r="D38" s="19" t="str">
        <f>VLOOKUP(B38,Sheet3!$B$2:$E$311,3,)</f>
        <v>LUCCA MENU</v>
      </c>
      <c r="E38" s="19" t="str">
        <f>VLOOKUP(B38,Sheet3!$B$2:$E$311,4,)</f>
        <v>PRS</v>
      </c>
      <c r="F38" s="28">
        <v>1.0</v>
      </c>
      <c r="G38" s="28" t="s">
        <v>566</v>
      </c>
      <c r="H38" s="6"/>
    </row>
    <row r="39" ht="15.75" customHeight="1">
      <c r="A39" s="26"/>
      <c r="B39" s="27" t="s">
        <v>113</v>
      </c>
      <c r="C39" s="6" t="str">
        <f>VLOOKUP(B39,Sheet3!$B$2:$E$311,2,FALSE)</f>
        <v>L001</v>
      </c>
      <c r="D39" s="19" t="str">
        <f>VLOOKUP(B39,Sheet3!$B$2:$E$311,3,)</f>
        <v>LUCCA MENU</v>
      </c>
      <c r="E39" s="19" t="str">
        <f>VLOOKUP(B39,Sheet3!$B$2:$E$311,4,)</f>
        <v>PRS</v>
      </c>
      <c r="F39" s="28">
        <v>1.0</v>
      </c>
      <c r="G39" s="28" t="s">
        <v>566</v>
      </c>
      <c r="H39" s="6"/>
    </row>
    <row r="40" ht="15.75" customHeight="1">
      <c r="A40" s="26">
        <v>46097.0</v>
      </c>
      <c r="B40" s="27" t="s">
        <v>108</v>
      </c>
      <c r="C40" s="6" t="str">
        <f>VLOOKUP(B40,Sheet3!$B$2:$E$311,2,FALSE)</f>
        <v>B004</v>
      </c>
      <c r="D40" s="19" t="str">
        <f>VLOOKUP(B40,Sheet3!$B$2:$E$311,3,)</f>
        <v>BAHAN BAKU LUUCA</v>
      </c>
      <c r="E40" s="19" t="str">
        <f>VLOOKUP(B40,Sheet3!$B$2:$E$311,4,)</f>
        <v>GR</v>
      </c>
      <c r="F40" s="28">
        <v>2.0</v>
      </c>
      <c r="G40" s="28" t="s">
        <v>525</v>
      </c>
      <c r="H40" s="6"/>
    </row>
    <row r="41" ht="15.75" customHeight="1">
      <c r="A41" s="26"/>
      <c r="B41" s="27" t="s">
        <v>53</v>
      </c>
      <c r="C41" s="6" t="str">
        <f>VLOOKUP(B41,Sheet3!$B$2:$E$311,2,FALSE)</f>
        <v>B004</v>
      </c>
      <c r="D41" s="19" t="str">
        <f>VLOOKUP(B41,Sheet3!$B$2:$E$311,3,)</f>
        <v>BAHAN BAKU LUUCA</v>
      </c>
      <c r="E41" s="19" t="str">
        <f>VLOOKUP(B41,Sheet3!$B$2:$E$311,4,)</f>
        <v>GR</v>
      </c>
      <c r="F41" s="28">
        <v>62.0</v>
      </c>
      <c r="G41" s="28" t="s">
        <v>538</v>
      </c>
      <c r="H41" s="6"/>
    </row>
    <row r="42" ht="15.75" customHeight="1">
      <c r="A42" s="26"/>
      <c r="B42" s="27" t="s">
        <v>108</v>
      </c>
      <c r="C42" s="6" t="str">
        <f>VLOOKUP(B42,Sheet3!$B$2:$E$311,2,FALSE)</f>
        <v>B004</v>
      </c>
      <c r="D42" s="19" t="str">
        <f>VLOOKUP(B42,Sheet3!$B$2:$E$311,3,)</f>
        <v>BAHAN BAKU LUUCA</v>
      </c>
      <c r="E42" s="19" t="str">
        <f>VLOOKUP(B42,Sheet3!$B$2:$E$311,4,)</f>
        <v>GR</v>
      </c>
      <c r="F42" s="28" t="s">
        <v>576</v>
      </c>
      <c r="G42" s="28" t="s">
        <v>525</v>
      </c>
      <c r="H42" s="6"/>
    </row>
    <row r="43" ht="15.75" customHeight="1">
      <c r="A43" s="26"/>
      <c r="B43" s="27" t="s">
        <v>108</v>
      </c>
      <c r="C43" s="6" t="str">
        <f>VLOOKUP(B43,Sheet3!$B$2:$E$311,2,FALSE)</f>
        <v>B004</v>
      </c>
      <c r="D43" s="19" t="str">
        <f>VLOOKUP(B43,Sheet3!$B$2:$E$311,3,)</f>
        <v>BAHAN BAKU LUUCA</v>
      </c>
      <c r="E43" s="19" t="str">
        <f>VLOOKUP(B43,Sheet3!$B$2:$E$311,4,)</f>
        <v>GR</v>
      </c>
      <c r="F43" s="28" t="s">
        <v>577</v>
      </c>
      <c r="G43" s="28" t="s">
        <v>525</v>
      </c>
      <c r="H43" s="6"/>
    </row>
    <row r="44" ht="15.75" customHeight="1">
      <c r="A44" s="26">
        <v>46098.0</v>
      </c>
      <c r="B44" s="27" t="s">
        <v>30</v>
      </c>
      <c r="C44" s="6" t="str">
        <f>VLOOKUP(B44,Sheet3!$B$2:$E$311,2,FALSE)</f>
        <v>B004</v>
      </c>
      <c r="D44" s="19" t="str">
        <f>VLOOKUP(B44,Sheet3!$B$2:$E$311,3,)</f>
        <v>BAHAN BAKU LUUCA</v>
      </c>
      <c r="E44" s="28" t="s">
        <v>37</v>
      </c>
      <c r="F44" s="28">
        <v>12.0</v>
      </c>
      <c r="G44" s="28" t="s">
        <v>528</v>
      </c>
      <c r="H44" s="6"/>
    </row>
    <row r="45" ht="15.75" customHeight="1">
      <c r="A45" s="26"/>
      <c r="B45" s="27" t="s">
        <v>36</v>
      </c>
      <c r="C45" s="6" t="str">
        <f>VLOOKUP(B45,Sheet3!$B$2:$E$311,2,FALSE)</f>
        <v>B004</v>
      </c>
      <c r="D45" s="19" t="str">
        <f>VLOOKUP(B45,Sheet3!$B$2:$E$311,3,)</f>
        <v>BAHAN BAKU LUUCA</v>
      </c>
      <c r="E45" s="19" t="str">
        <f>VLOOKUP(B45,Sheet3!$B$2:$E$311,4,)</f>
        <v>PCS</v>
      </c>
      <c r="F45" s="28">
        <v>4.0</v>
      </c>
      <c r="G45" s="28" t="s">
        <v>581</v>
      </c>
      <c r="H45" s="6"/>
    </row>
    <row r="46" ht="15.75" customHeight="1">
      <c r="A46" s="26"/>
      <c r="B46" s="27" t="s">
        <v>38</v>
      </c>
      <c r="C46" s="6" t="str">
        <f>VLOOKUP(B46,Sheet3!$B$2:$E$311,2,FALSE)</f>
        <v>P005</v>
      </c>
      <c r="D46" s="19" t="str">
        <f>VLOOKUP(B46,Sheet3!$B$2:$E$311,3,)</f>
        <v>PACKAGING LUUCA</v>
      </c>
      <c r="E46" s="19" t="str">
        <f>VLOOKUP(B46,Sheet3!$B$2:$E$311,4,)</f>
        <v>PCS</v>
      </c>
      <c r="F46" s="28">
        <v>20.0</v>
      </c>
      <c r="G46" s="28" t="s">
        <v>581</v>
      </c>
      <c r="H46" s="6"/>
    </row>
    <row r="47" ht="15.75" customHeight="1">
      <c r="A47" s="26"/>
      <c r="B47" s="27" t="s">
        <v>108</v>
      </c>
      <c r="C47" s="6" t="str">
        <f>VLOOKUP(B47,Sheet3!$B$2:$E$311,2,FALSE)</f>
        <v>B004</v>
      </c>
      <c r="D47" s="19" t="str">
        <f>VLOOKUP(B47,Sheet3!$B$2:$E$311,3,)</f>
        <v>BAHAN BAKU LUUCA</v>
      </c>
      <c r="E47" s="19" t="str">
        <f>VLOOKUP(B47,Sheet3!$B$2:$E$311,4,)</f>
        <v>GR</v>
      </c>
      <c r="F47" s="28">
        <v>11.0</v>
      </c>
      <c r="G47" s="28" t="s">
        <v>525</v>
      </c>
      <c r="H47" s="6"/>
    </row>
    <row r="48" ht="15.75" customHeight="1">
      <c r="A48" s="26"/>
      <c r="B48" s="27" t="s">
        <v>53</v>
      </c>
      <c r="C48" s="6" t="str">
        <f>VLOOKUP(B48,Sheet3!$B$2:$E$311,2,FALSE)</f>
        <v>B004</v>
      </c>
      <c r="D48" s="19" t="str">
        <f>VLOOKUP(B48,Sheet3!$B$2:$E$311,3,)</f>
        <v>BAHAN BAKU LUUCA</v>
      </c>
      <c r="E48" s="19" t="str">
        <f>VLOOKUP(B48,Sheet3!$B$2:$E$311,4,)</f>
        <v>GR</v>
      </c>
      <c r="F48" s="28">
        <v>10.0</v>
      </c>
      <c r="G48" s="28" t="s">
        <v>547</v>
      </c>
      <c r="H48" s="6"/>
    </row>
    <row r="49" ht="15.75" customHeight="1">
      <c r="A49" s="26"/>
      <c r="B49" s="27" t="s">
        <v>69</v>
      </c>
      <c r="C49" s="6" t="str">
        <f>VLOOKUP(B49,Sheet3!$B$2:$E$311,2,FALSE)</f>
        <v>B004</v>
      </c>
      <c r="D49" s="19" t="str">
        <f>VLOOKUP(B49,Sheet3!$B$2:$E$311,3,)</f>
        <v>BAHAN BAKU LUUCA</v>
      </c>
      <c r="E49" s="28" t="s">
        <v>37</v>
      </c>
      <c r="F49" s="28">
        <v>2.0</v>
      </c>
      <c r="G49" s="28" t="s">
        <v>528</v>
      </c>
      <c r="H49" s="6"/>
    </row>
    <row r="50" ht="15.75" customHeight="1">
      <c r="A50" s="26"/>
      <c r="B50" s="27" t="s">
        <v>65</v>
      </c>
      <c r="C50" s="6" t="str">
        <f>VLOOKUP(B50,Sheet3!$B$2:$E$311,2,FALSE)</f>
        <v>P005</v>
      </c>
      <c r="D50" s="19" t="str">
        <f>VLOOKUP(B50,Sheet3!$B$2:$E$311,3,)</f>
        <v>PACKAGING LUUCA</v>
      </c>
      <c r="E50" s="19" t="str">
        <f>VLOOKUP(B50,Sheet3!$B$2:$E$311,4,)</f>
        <v>PCS</v>
      </c>
      <c r="F50" s="28">
        <v>2.0</v>
      </c>
      <c r="G50" s="28" t="s">
        <v>589</v>
      </c>
      <c r="H50" s="6"/>
    </row>
    <row r="51" ht="15.75" customHeight="1">
      <c r="A51" s="26"/>
      <c r="B51" s="27" t="s">
        <v>340</v>
      </c>
      <c r="C51" s="6"/>
      <c r="D51" s="19"/>
      <c r="E51" s="19"/>
      <c r="F51" s="28">
        <v>2.0</v>
      </c>
      <c r="G51" s="28" t="s">
        <v>589</v>
      </c>
      <c r="H51" s="6"/>
    </row>
    <row r="52" ht="15.75" customHeight="1">
      <c r="A52" s="26">
        <v>46099.0</v>
      </c>
      <c r="B52" s="27" t="s">
        <v>108</v>
      </c>
      <c r="C52" s="6" t="str">
        <f>VLOOKUP(B52,Sheet3!$B$2:$E$311,2,FALSE)</f>
        <v>B004</v>
      </c>
      <c r="D52" s="19" t="str">
        <f>VLOOKUP(B52,Sheet3!$B$2:$E$311,3,)</f>
        <v>BAHAN BAKU LUUCA</v>
      </c>
      <c r="E52" s="19" t="str">
        <f>VLOOKUP(B52,Sheet3!$B$2:$E$311,4,)</f>
        <v>GR</v>
      </c>
      <c r="F52" s="28" t="s">
        <v>590</v>
      </c>
      <c r="G52" s="28" t="s">
        <v>525</v>
      </c>
      <c r="H52" s="6"/>
    </row>
    <row r="53" ht="15.75" customHeight="1">
      <c r="A53" s="26"/>
      <c r="B53" s="27" t="s">
        <v>30</v>
      </c>
      <c r="C53" s="6" t="str">
        <f>VLOOKUP(B53,Sheet3!$B$2:$E$311,2,FALSE)</f>
        <v>B004</v>
      </c>
      <c r="D53" s="19" t="str">
        <f>VLOOKUP(B53,Sheet3!$B$2:$E$311,3,)</f>
        <v>BAHAN BAKU LUUCA</v>
      </c>
      <c r="E53" s="28" t="s">
        <v>37</v>
      </c>
      <c r="F53" s="28">
        <v>7.0</v>
      </c>
      <c r="G53" s="28" t="s">
        <v>528</v>
      </c>
      <c r="H53" s="6"/>
    </row>
    <row r="54" ht="15.75" customHeight="1">
      <c r="A54" s="26"/>
      <c r="B54" s="27" t="s">
        <v>53</v>
      </c>
      <c r="C54" s="6" t="str">
        <f>VLOOKUP(B54,Sheet3!$B$2:$E$311,2,FALSE)</f>
        <v>B004</v>
      </c>
      <c r="D54" s="19" t="str">
        <f>VLOOKUP(B54,Sheet3!$B$2:$E$311,3,)</f>
        <v>BAHAN BAKU LUUCA</v>
      </c>
      <c r="E54" s="19" t="str">
        <f>VLOOKUP(B54,Sheet3!$B$2:$E$311,4,)</f>
        <v>GR</v>
      </c>
      <c r="F54" s="28" t="s">
        <v>592</v>
      </c>
      <c r="G54" s="28" t="s">
        <v>496</v>
      </c>
      <c r="H54" s="6"/>
    </row>
    <row r="55" ht="15.75" customHeight="1">
      <c r="A55" s="26"/>
      <c r="B55" s="27" t="s">
        <v>53</v>
      </c>
      <c r="C55" s="6" t="str">
        <f>VLOOKUP(B55,Sheet3!$B$2:$E$311,2,FALSE)</f>
        <v>B004</v>
      </c>
      <c r="D55" s="19" t="str">
        <f>VLOOKUP(B55,Sheet3!$B$2:$E$311,3,)</f>
        <v>BAHAN BAKU LUUCA</v>
      </c>
      <c r="E55" s="19" t="str">
        <f>VLOOKUP(B55,Sheet3!$B$2:$E$311,4,)</f>
        <v>GR</v>
      </c>
      <c r="F55" s="28" t="s">
        <v>593</v>
      </c>
      <c r="G55" s="28" t="s">
        <v>538</v>
      </c>
      <c r="H55" s="6"/>
    </row>
    <row r="56" ht="15.75" customHeight="1">
      <c r="A56" s="26"/>
      <c r="B56" s="27" t="s">
        <v>53</v>
      </c>
      <c r="C56" s="6" t="str">
        <f>VLOOKUP(B56,Sheet3!$B$2:$E$311,2,FALSE)</f>
        <v>B004</v>
      </c>
      <c r="D56" s="19" t="str">
        <f>VLOOKUP(B56,Sheet3!$B$2:$E$311,3,)</f>
        <v>BAHAN BAKU LUUCA</v>
      </c>
      <c r="E56" s="19" t="str">
        <f>VLOOKUP(B56,Sheet3!$B$2:$E$311,4,)</f>
        <v>GR</v>
      </c>
      <c r="F56" s="28">
        <v>43.0</v>
      </c>
      <c r="G56" s="28" t="s">
        <v>538</v>
      </c>
      <c r="H56" s="6"/>
    </row>
    <row r="57" ht="15.75" customHeight="1">
      <c r="A57" s="26"/>
      <c r="B57" s="27" t="s">
        <v>38</v>
      </c>
      <c r="C57" s="6" t="str">
        <f>VLOOKUP(B57,Sheet3!$B$2:$E$311,2,FALSE)</f>
        <v>P005</v>
      </c>
      <c r="D57" s="19" t="str">
        <f>VLOOKUP(B57,Sheet3!$B$2:$E$311,3,)</f>
        <v>PACKAGING LUUCA</v>
      </c>
      <c r="E57" s="19" t="str">
        <f>VLOOKUP(B57,Sheet3!$B$2:$E$311,4,)</f>
        <v>PCS</v>
      </c>
      <c r="F57" s="28">
        <v>1.0</v>
      </c>
      <c r="G57" s="28" t="s">
        <v>518</v>
      </c>
      <c r="H57" s="6"/>
    </row>
    <row r="58" ht="15.75" customHeight="1">
      <c r="A58" s="26"/>
      <c r="B58" s="27" t="s">
        <v>107</v>
      </c>
      <c r="C58" s="6" t="str">
        <f>VLOOKUP(B58,Sheet3!$B$2:$E$311,2,FALSE)</f>
        <v>B004</v>
      </c>
      <c r="D58" s="19" t="str">
        <f>VLOOKUP(B58,Sheet3!$B$2:$E$311,3,)</f>
        <v>BAHAN BAKU LUUCA</v>
      </c>
      <c r="E58" s="19" t="str">
        <f>VLOOKUP(B58,Sheet3!$B$2:$E$311,4,)</f>
        <v>GR</v>
      </c>
      <c r="F58" s="28">
        <v>40.0</v>
      </c>
      <c r="G58" s="28" t="s">
        <v>529</v>
      </c>
      <c r="H58" s="6"/>
    </row>
    <row r="59" ht="15.75" customHeight="1">
      <c r="A59" s="26"/>
      <c r="B59" s="27" t="s">
        <v>108</v>
      </c>
      <c r="C59" s="6" t="str">
        <f>VLOOKUP(B59,Sheet3!$B$2:$E$311,2,FALSE)</f>
        <v>B004</v>
      </c>
      <c r="D59" s="19" t="str">
        <f>VLOOKUP(B59,Sheet3!$B$2:$E$311,3,)</f>
        <v>BAHAN BAKU LUUCA</v>
      </c>
      <c r="E59" s="19" t="str">
        <f>VLOOKUP(B59,Sheet3!$B$2:$E$311,4,)</f>
        <v>GR</v>
      </c>
      <c r="F59" s="28">
        <v>40.0</v>
      </c>
      <c r="G59" s="28" t="s">
        <v>525</v>
      </c>
      <c r="H59" s="6"/>
    </row>
    <row r="60" ht="15.75" customHeight="1">
      <c r="A60" s="26"/>
      <c r="B60" s="27" t="s">
        <v>53</v>
      </c>
      <c r="C60" s="6" t="str">
        <f>VLOOKUP(B60,Sheet3!$B$2:$E$311,2,FALSE)</f>
        <v>B004</v>
      </c>
      <c r="D60" s="19" t="str">
        <f>VLOOKUP(B60,Sheet3!$B$2:$E$311,3,)</f>
        <v>BAHAN BAKU LUUCA</v>
      </c>
      <c r="E60" s="19" t="str">
        <f>VLOOKUP(B60,Sheet3!$B$2:$E$311,4,)</f>
        <v>GR</v>
      </c>
      <c r="F60" s="28">
        <v>36.0</v>
      </c>
      <c r="G60" s="28" t="s">
        <v>547</v>
      </c>
      <c r="H60" s="6"/>
    </row>
    <row r="61" ht="15.75" customHeight="1">
      <c r="A61" s="26"/>
      <c r="B61" s="27" t="s">
        <v>108</v>
      </c>
      <c r="C61" s="6" t="str">
        <f>VLOOKUP(B61,Sheet3!$B$2:$E$311,2,FALSE)</f>
        <v>B004</v>
      </c>
      <c r="D61" s="19" t="str">
        <f>VLOOKUP(B61,Sheet3!$B$2:$E$311,3,)</f>
        <v>BAHAN BAKU LUUCA</v>
      </c>
      <c r="E61" s="19" t="str">
        <f>VLOOKUP(B61,Sheet3!$B$2:$E$311,4,)</f>
        <v>GR</v>
      </c>
      <c r="F61" s="28">
        <v>28.0</v>
      </c>
      <c r="G61" s="28" t="s">
        <v>525</v>
      </c>
      <c r="H61" s="6"/>
    </row>
    <row r="62" ht="15.75" customHeight="1">
      <c r="A62" s="26">
        <v>46100.0</v>
      </c>
      <c r="B62" s="27" t="s">
        <v>69</v>
      </c>
      <c r="C62" s="6" t="str">
        <f>VLOOKUP(B62,Sheet3!$B$2:$E$311,2,FALSE)</f>
        <v>B004</v>
      </c>
      <c r="D62" s="19" t="str">
        <f>VLOOKUP(B62,Sheet3!$B$2:$E$311,3,)</f>
        <v>BAHAN BAKU LUUCA</v>
      </c>
      <c r="E62" s="28" t="s">
        <v>37</v>
      </c>
      <c r="F62" s="28">
        <v>8.0</v>
      </c>
      <c r="G62" s="28" t="s">
        <v>528</v>
      </c>
      <c r="H62" s="6"/>
    </row>
    <row r="63" ht="15.75" customHeight="1">
      <c r="A63" s="26"/>
      <c r="B63" s="27" t="s">
        <v>30</v>
      </c>
      <c r="C63" s="6" t="str">
        <f>VLOOKUP(B63,Sheet3!$B$2:$E$311,2,FALSE)</f>
        <v>B004</v>
      </c>
      <c r="D63" s="19" t="str">
        <f>VLOOKUP(B63,Sheet3!$B$2:$E$311,3,)</f>
        <v>BAHAN BAKU LUUCA</v>
      </c>
      <c r="E63" s="28" t="s">
        <v>37</v>
      </c>
      <c r="F63" s="28">
        <v>8.0</v>
      </c>
      <c r="G63" s="28" t="s">
        <v>528</v>
      </c>
      <c r="H63" s="6"/>
    </row>
    <row r="64" ht="15.75" customHeight="1">
      <c r="A64" s="26"/>
      <c r="B64" s="27" t="s">
        <v>30</v>
      </c>
      <c r="C64" s="6" t="str">
        <f>VLOOKUP(B64,Sheet3!$B$2:$E$311,2,FALSE)</f>
        <v>B004</v>
      </c>
      <c r="D64" s="19" t="str">
        <f>VLOOKUP(B64,Sheet3!$B$2:$E$311,3,)</f>
        <v>BAHAN BAKU LUUCA</v>
      </c>
      <c r="E64" s="28" t="s">
        <v>37</v>
      </c>
      <c r="F64" s="28">
        <v>9.0</v>
      </c>
      <c r="G64" s="28" t="s">
        <v>528</v>
      </c>
      <c r="H64" s="6"/>
    </row>
    <row r="65" ht="15.75" customHeight="1">
      <c r="A65" s="26">
        <v>46100.0</v>
      </c>
      <c r="B65" s="27" t="s">
        <v>30</v>
      </c>
      <c r="C65" s="6" t="str">
        <f>VLOOKUP(B65,Sheet3!$B$2:$E$311,2,FALSE)</f>
        <v>B004</v>
      </c>
      <c r="D65" s="19" t="str">
        <f>VLOOKUP(B65,Sheet3!$B$2:$E$311,3,)</f>
        <v>BAHAN BAKU LUUCA</v>
      </c>
      <c r="E65" s="28" t="s">
        <v>37</v>
      </c>
      <c r="F65" s="28">
        <v>9.0</v>
      </c>
      <c r="G65" s="28" t="s">
        <v>528</v>
      </c>
      <c r="H65" s="6"/>
    </row>
    <row r="66" ht="15.75" customHeight="1">
      <c r="A66" s="26"/>
      <c r="B66" s="27" t="s">
        <v>108</v>
      </c>
      <c r="C66" s="6" t="str">
        <f>VLOOKUP(B66,Sheet3!$B$2:$E$311,2,FALSE)</f>
        <v>B004</v>
      </c>
      <c r="D66" s="19" t="str">
        <f>VLOOKUP(B66,Sheet3!$B$2:$E$311,3,)</f>
        <v>BAHAN BAKU LUUCA</v>
      </c>
      <c r="E66" s="19" t="str">
        <f>VLOOKUP(B66,Sheet3!$B$2:$E$311,4,)</f>
        <v>GR</v>
      </c>
      <c r="F66" s="28" t="s">
        <v>599</v>
      </c>
      <c r="G66" s="28" t="s">
        <v>525</v>
      </c>
      <c r="H66" s="6"/>
    </row>
    <row r="67" ht="15.75" customHeight="1">
      <c r="A67" s="26"/>
      <c r="B67" s="27" t="s">
        <v>108</v>
      </c>
      <c r="C67" s="6" t="str">
        <f>VLOOKUP(B67,Sheet3!$B$2:$E$311,2,FALSE)</f>
        <v>B004</v>
      </c>
      <c r="D67" s="19" t="str">
        <f>VLOOKUP(B67,Sheet3!$B$2:$E$311,3,)</f>
        <v>BAHAN BAKU LUUCA</v>
      </c>
      <c r="E67" s="19" t="str">
        <f>VLOOKUP(B67,Sheet3!$B$2:$E$311,4,)</f>
        <v>GR</v>
      </c>
      <c r="F67" s="28" t="s">
        <v>602</v>
      </c>
      <c r="G67" s="28" t="s">
        <v>525</v>
      </c>
      <c r="H67" s="6"/>
    </row>
    <row r="68" ht="15.75" customHeight="1">
      <c r="A68" s="26"/>
      <c r="B68" s="27" t="s">
        <v>53</v>
      </c>
      <c r="C68" s="6" t="str">
        <f>VLOOKUP(B68,Sheet3!$B$2:$E$311,2,FALSE)</f>
        <v>B004</v>
      </c>
      <c r="D68" s="19" t="str">
        <f>VLOOKUP(B68,Sheet3!$B$2:$E$311,3,)</f>
        <v>BAHAN BAKU LUUCA</v>
      </c>
      <c r="E68" s="19" t="str">
        <f>VLOOKUP(B68,Sheet3!$B$2:$E$311,4,)</f>
        <v>GR</v>
      </c>
      <c r="F68" s="28">
        <v>58.0</v>
      </c>
      <c r="G68" s="28" t="s">
        <v>538</v>
      </c>
      <c r="H68" s="6"/>
    </row>
    <row r="69" ht="15.75" customHeight="1">
      <c r="A69" s="26">
        <v>46101.0</v>
      </c>
      <c r="B69" s="27" t="s">
        <v>108</v>
      </c>
      <c r="C69" s="6" t="str">
        <f>VLOOKUP(B69,Sheet3!$B$2:$E$311,2,FALSE)</f>
        <v>B004</v>
      </c>
      <c r="D69" s="19" t="str">
        <f>VLOOKUP(B69,Sheet3!$B$2:$E$311,3,)</f>
        <v>BAHAN BAKU LUUCA</v>
      </c>
      <c r="E69" s="19" t="str">
        <f>VLOOKUP(B69,Sheet3!$B$2:$E$311,4,)</f>
        <v>GR</v>
      </c>
      <c r="F69" s="28" t="s">
        <v>606</v>
      </c>
      <c r="G69" s="28" t="s">
        <v>496</v>
      </c>
      <c r="H69" s="28" t="s">
        <v>561</v>
      </c>
      <c r="I69" s="33"/>
    </row>
    <row r="70" ht="15.75" customHeight="1">
      <c r="A70" s="26"/>
      <c r="B70" s="27" t="s">
        <v>108</v>
      </c>
      <c r="C70" s="6" t="str">
        <f>VLOOKUP(B70,Sheet3!$B$2:$E$311,2,FALSE)</f>
        <v>B004</v>
      </c>
      <c r="D70" s="19" t="str">
        <f>VLOOKUP(B70,Sheet3!$B$2:$E$311,3,)</f>
        <v>BAHAN BAKU LUUCA</v>
      </c>
      <c r="E70" s="19" t="str">
        <f>VLOOKUP(B70,Sheet3!$B$2:$E$311,4,)</f>
        <v>GR</v>
      </c>
      <c r="F70" s="28" t="s">
        <v>608</v>
      </c>
      <c r="G70" s="28" t="s">
        <v>525</v>
      </c>
      <c r="H70" s="28" t="s">
        <v>561</v>
      </c>
      <c r="I70" s="33"/>
    </row>
    <row r="71" ht="15.75" customHeight="1">
      <c r="A71" s="26"/>
      <c r="B71" s="27" t="s">
        <v>108</v>
      </c>
      <c r="C71" s="6" t="str">
        <f>VLOOKUP(B71,Sheet3!$B$2:$E$311,2,FALSE)</f>
        <v>B004</v>
      </c>
      <c r="D71" s="19" t="str">
        <f>VLOOKUP(B71,Sheet3!$B$2:$E$311,3,)</f>
        <v>BAHAN BAKU LUUCA</v>
      </c>
      <c r="E71" s="19" t="str">
        <f>VLOOKUP(B71,Sheet3!$B$2:$E$311,4,)</f>
        <v>GR</v>
      </c>
      <c r="F71" s="28">
        <v>60.0</v>
      </c>
      <c r="G71" s="28" t="s">
        <v>525</v>
      </c>
      <c r="H71" s="28" t="s">
        <v>561</v>
      </c>
      <c r="I71" s="33"/>
    </row>
    <row r="72" ht="15.75" customHeight="1">
      <c r="A72" s="26"/>
      <c r="B72" s="27" t="s">
        <v>36</v>
      </c>
      <c r="C72" s="6" t="str">
        <f>VLOOKUP(B72,Sheet3!$B$2:$E$311,2,FALSE)</f>
        <v>B004</v>
      </c>
      <c r="D72" s="19" t="str">
        <f>VLOOKUP(B72,Sheet3!$B$2:$E$311,3,)</f>
        <v>BAHAN BAKU LUUCA</v>
      </c>
      <c r="E72" s="19" t="str">
        <f>VLOOKUP(B72,Sheet3!$B$2:$E$311,4,)</f>
        <v>PCS</v>
      </c>
      <c r="F72" s="28">
        <v>1.0</v>
      </c>
      <c r="G72" s="28" t="s">
        <v>581</v>
      </c>
      <c r="H72" s="28" t="s">
        <v>541</v>
      </c>
      <c r="I72" s="33"/>
    </row>
    <row r="73" ht="15.75" customHeight="1">
      <c r="A73" s="26"/>
      <c r="B73" s="27" t="s">
        <v>30</v>
      </c>
      <c r="C73" s="6" t="str">
        <f>VLOOKUP(B73,Sheet3!$B$2:$E$311,2,FALSE)</f>
        <v>B004</v>
      </c>
      <c r="D73" s="19" t="str">
        <f>VLOOKUP(B73,Sheet3!$B$2:$E$311,3,)</f>
        <v>BAHAN BAKU LUUCA</v>
      </c>
      <c r="E73" s="28" t="s">
        <v>37</v>
      </c>
      <c r="F73" s="28">
        <v>5.0</v>
      </c>
      <c r="G73" s="28" t="s">
        <v>528</v>
      </c>
      <c r="H73" s="28" t="s">
        <v>561</v>
      </c>
      <c r="I73" s="33"/>
    </row>
    <row r="74" ht="15.75" customHeight="1">
      <c r="A74" s="26"/>
      <c r="B74" s="27" t="s">
        <v>69</v>
      </c>
      <c r="C74" s="6" t="str">
        <f>VLOOKUP(B74,Sheet3!$B$2:$E$311,2,FALSE)</f>
        <v>B004</v>
      </c>
      <c r="D74" s="19" t="str">
        <f>VLOOKUP(B74,Sheet3!$B$2:$E$311,3,)</f>
        <v>BAHAN BAKU LUUCA</v>
      </c>
      <c r="E74" s="28" t="s">
        <v>37</v>
      </c>
      <c r="F74" s="28">
        <v>1.0</v>
      </c>
      <c r="G74" s="28" t="s">
        <v>528</v>
      </c>
      <c r="H74" s="28" t="s">
        <v>561</v>
      </c>
      <c r="I74" s="34" t="s">
        <v>613</v>
      </c>
    </row>
    <row r="75" ht="15.75" customHeight="1">
      <c r="A75" s="26">
        <v>46102.0</v>
      </c>
      <c r="B75" s="27" t="s">
        <v>175</v>
      </c>
      <c r="C75" s="6" t="str">
        <f>VLOOKUP(B75,Sheet3!$B$2:$E$311,2,FALSE)</f>
        <v>P006</v>
      </c>
      <c r="D75" s="19" t="str">
        <f>VLOOKUP(B75,Sheet3!$B$2:$E$311,3,)</f>
        <v>PRODUKSI STOK LUUCA</v>
      </c>
      <c r="E75" s="19" t="str">
        <f>VLOOKUP(B75,Sheet3!$B$2:$E$311,4,)</f>
        <v>GR</v>
      </c>
      <c r="F75" s="28">
        <v>146.0</v>
      </c>
      <c r="G75" s="28" t="s">
        <v>532</v>
      </c>
      <c r="H75" s="28" t="s">
        <v>615</v>
      </c>
      <c r="I75" s="35"/>
    </row>
    <row r="76" ht="15.75" customHeight="1">
      <c r="A76" s="26"/>
      <c r="B76" s="27" t="s">
        <v>50</v>
      </c>
      <c r="C76" s="6" t="str">
        <f>VLOOKUP(B76,Sheet3!$B$2:$E$311,2,FALSE)</f>
        <v>B004</v>
      </c>
      <c r="D76" s="19" t="str">
        <f>VLOOKUP(B76,Sheet3!$B$2:$E$311,3,)</f>
        <v>BAHAN BAKU LUUCA</v>
      </c>
      <c r="E76" s="19" t="str">
        <f>VLOOKUP(B76,Sheet3!$B$2:$E$311,4,)</f>
        <v>GR</v>
      </c>
      <c r="F76" s="28">
        <v>5.0</v>
      </c>
      <c r="G76" s="28" t="s">
        <v>532</v>
      </c>
      <c r="H76" s="28" t="s">
        <v>615</v>
      </c>
      <c r="I76" s="35"/>
    </row>
    <row r="77" ht="15.75" customHeight="1">
      <c r="A77" s="26"/>
      <c r="B77" s="27" t="s">
        <v>108</v>
      </c>
      <c r="C77" s="6" t="str">
        <f>VLOOKUP(B77,Sheet3!$B$2:$E$311,2,FALSE)</f>
        <v>B004</v>
      </c>
      <c r="D77" s="19" t="str">
        <f>VLOOKUP(B77,Sheet3!$B$2:$E$311,3,)</f>
        <v>BAHAN BAKU LUUCA</v>
      </c>
      <c r="E77" s="19" t="str">
        <f>VLOOKUP(B77,Sheet3!$B$2:$E$311,4,)</f>
        <v>GR</v>
      </c>
      <c r="F77" s="28" t="s">
        <v>616</v>
      </c>
      <c r="G77" s="28" t="s">
        <v>525</v>
      </c>
      <c r="H77" s="28" t="s">
        <v>615</v>
      </c>
      <c r="I77" s="35"/>
    </row>
    <row r="78" ht="15.75" customHeight="1">
      <c r="A78" s="26"/>
      <c r="B78" s="27" t="s">
        <v>53</v>
      </c>
      <c r="C78" s="6" t="str">
        <f>VLOOKUP(B78,Sheet3!$B$2:$E$311,2,FALSE)</f>
        <v>B004</v>
      </c>
      <c r="D78" s="19" t="str">
        <f>VLOOKUP(B78,Sheet3!$B$2:$E$311,3,)</f>
        <v>BAHAN BAKU LUUCA</v>
      </c>
      <c r="E78" s="19" t="str">
        <f>VLOOKUP(B78,Sheet3!$B$2:$E$311,4,)</f>
        <v>GR</v>
      </c>
      <c r="F78" s="28">
        <v>109.0</v>
      </c>
      <c r="G78" s="28" t="s">
        <v>538</v>
      </c>
      <c r="H78" s="28" t="s">
        <v>615</v>
      </c>
      <c r="I78" s="35"/>
    </row>
    <row r="79" ht="15.75" customHeight="1">
      <c r="A79" s="26"/>
      <c r="B79" s="27" t="s">
        <v>53</v>
      </c>
      <c r="C79" s="6" t="str">
        <f>VLOOKUP(B79,Sheet3!$B$2:$E$311,2,FALSE)</f>
        <v>B004</v>
      </c>
      <c r="D79" s="19" t="str">
        <f>VLOOKUP(B79,Sheet3!$B$2:$E$311,3,)</f>
        <v>BAHAN BAKU LUUCA</v>
      </c>
      <c r="E79" s="19" t="str">
        <f>VLOOKUP(B79,Sheet3!$B$2:$E$311,4,)</f>
        <v>GR</v>
      </c>
      <c r="F79" s="28" t="s">
        <v>618</v>
      </c>
      <c r="G79" s="28" t="s">
        <v>619</v>
      </c>
      <c r="H79" s="28" t="s">
        <v>615</v>
      </c>
      <c r="I79" s="35"/>
    </row>
    <row r="80" ht="15.75" customHeight="1">
      <c r="A80" s="26"/>
      <c r="B80" s="27" t="s">
        <v>41</v>
      </c>
      <c r="C80" s="6" t="str">
        <f>VLOOKUP(B80,Sheet3!$B$2:$E$311,2,FALSE)</f>
        <v>P005</v>
      </c>
      <c r="D80" s="19" t="str">
        <f>VLOOKUP(B80,Sheet3!$B$2:$E$311,3,)</f>
        <v>PACKAGING LUUCA</v>
      </c>
      <c r="E80" s="19" t="str">
        <f>VLOOKUP(B80,Sheet3!$B$2:$E$311,4,)</f>
        <v>PCS</v>
      </c>
      <c r="F80" s="28">
        <v>1.0</v>
      </c>
      <c r="G80" s="28" t="s">
        <v>621</v>
      </c>
      <c r="H80" s="28" t="s">
        <v>615</v>
      </c>
      <c r="I80" s="35"/>
    </row>
    <row r="81" ht="15.75" customHeight="1">
      <c r="A81" s="26"/>
      <c r="B81" s="27" t="s">
        <v>69</v>
      </c>
      <c r="C81" s="6" t="str">
        <f>VLOOKUP(B81,Sheet3!$B$2:$E$311,2,FALSE)</f>
        <v>B004</v>
      </c>
      <c r="D81" s="19" t="str">
        <f>VLOOKUP(B81,Sheet3!$B$2:$E$311,3,)</f>
        <v>BAHAN BAKU LUUCA</v>
      </c>
      <c r="E81" s="28" t="s">
        <v>37</v>
      </c>
      <c r="F81" s="28">
        <v>2.0</v>
      </c>
      <c r="G81" s="28" t="s">
        <v>528</v>
      </c>
      <c r="H81" s="28" t="s">
        <v>615</v>
      </c>
      <c r="I81" s="35"/>
    </row>
    <row r="82" ht="15.75" customHeight="1">
      <c r="A82" s="26"/>
      <c r="B82" s="27" t="s">
        <v>30</v>
      </c>
      <c r="C82" s="6" t="str">
        <f>VLOOKUP(B82,Sheet3!$B$2:$E$311,2,FALSE)</f>
        <v>B004</v>
      </c>
      <c r="D82" s="19" t="str">
        <f>VLOOKUP(B82,Sheet3!$B$2:$E$311,3,)</f>
        <v>BAHAN BAKU LUUCA</v>
      </c>
      <c r="E82" s="28" t="s">
        <v>37</v>
      </c>
      <c r="F82" s="28">
        <v>2.0</v>
      </c>
      <c r="G82" s="28" t="s">
        <v>528</v>
      </c>
      <c r="H82" s="28" t="s">
        <v>615</v>
      </c>
      <c r="I82" s="35"/>
    </row>
    <row r="83" ht="15.75" customHeight="1">
      <c r="A83" s="26"/>
      <c r="B83" s="27" t="s">
        <v>53</v>
      </c>
      <c r="C83" s="6" t="str">
        <f>VLOOKUP(B83,Sheet3!$B$2:$E$311,2,FALSE)</f>
        <v>B004</v>
      </c>
      <c r="D83" s="19" t="str">
        <f>VLOOKUP(B83,Sheet3!$B$2:$E$311,3,)</f>
        <v>BAHAN BAKU LUUCA</v>
      </c>
      <c r="E83" s="19" t="str">
        <f>VLOOKUP(B83,Sheet3!$B$2:$E$311,4,)</f>
        <v>GR</v>
      </c>
      <c r="F83" s="28" t="s">
        <v>626</v>
      </c>
      <c r="G83" s="28" t="s">
        <v>619</v>
      </c>
      <c r="H83" s="28" t="s">
        <v>615</v>
      </c>
      <c r="I83" s="35"/>
    </row>
    <row r="84" ht="15.75" customHeight="1">
      <c r="A84" s="26"/>
      <c r="B84" s="27" t="s">
        <v>107</v>
      </c>
      <c r="C84" s="6" t="str">
        <f>VLOOKUP(B84,Sheet3!$B$2:$E$311,2,FALSE)</f>
        <v>B004</v>
      </c>
      <c r="D84" s="19" t="str">
        <f>VLOOKUP(B84,Sheet3!$B$2:$E$311,3,)</f>
        <v>BAHAN BAKU LUUCA</v>
      </c>
      <c r="E84" s="19" t="str">
        <f>VLOOKUP(B84,Sheet3!$B$2:$E$311,4,)</f>
        <v>GR</v>
      </c>
      <c r="F84" s="28">
        <v>17.0</v>
      </c>
      <c r="G84" s="28" t="s">
        <v>559</v>
      </c>
      <c r="H84" s="28" t="s">
        <v>629</v>
      </c>
      <c r="I84" s="35"/>
    </row>
    <row r="85" ht="15.75" customHeight="1">
      <c r="A85" s="26"/>
      <c r="B85" s="27" t="s">
        <v>30</v>
      </c>
      <c r="C85" s="6" t="str">
        <f>VLOOKUP(B85,Sheet3!$B$2:$E$311,2,FALSE)</f>
        <v>B004</v>
      </c>
      <c r="D85" s="19" t="str">
        <f>VLOOKUP(B85,Sheet3!$B$2:$E$311,3,)</f>
        <v>BAHAN BAKU LUUCA</v>
      </c>
      <c r="E85" s="28" t="s">
        <v>37</v>
      </c>
      <c r="F85" s="28">
        <v>13.0</v>
      </c>
      <c r="G85" s="28" t="s">
        <v>528</v>
      </c>
      <c r="H85" s="28" t="s">
        <v>541</v>
      </c>
      <c r="I85" s="35"/>
    </row>
    <row r="86" ht="15.75" customHeight="1">
      <c r="A86" s="26"/>
      <c r="B86" s="27" t="s">
        <v>53</v>
      </c>
      <c r="C86" s="6" t="str">
        <f>VLOOKUP(B86,Sheet3!$B$2:$E$311,2,FALSE)</f>
        <v>B004</v>
      </c>
      <c r="D86" s="19" t="str">
        <f>VLOOKUP(B86,Sheet3!$B$2:$E$311,3,)</f>
        <v>BAHAN BAKU LUUCA</v>
      </c>
      <c r="E86" s="19" t="str">
        <f>VLOOKUP(B86,Sheet3!$B$2:$E$311,4,)</f>
        <v>GR</v>
      </c>
      <c r="F86" s="28">
        <v>45.0</v>
      </c>
      <c r="G86" s="28" t="s">
        <v>538</v>
      </c>
      <c r="H86" s="28" t="s">
        <v>561</v>
      </c>
      <c r="I86" s="35"/>
    </row>
    <row r="87" ht="15.75" customHeight="1">
      <c r="A87" s="26">
        <v>46103.0</v>
      </c>
      <c r="B87" s="27" t="s">
        <v>53</v>
      </c>
      <c r="C87" s="6" t="str">
        <f>VLOOKUP(B87,Sheet3!$B$2:$E$311,2,FALSE)</f>
        <v>B004</v>
      </c>
      <c r="D87" s="19" t="str">
        <f>VLOOKUP(B87,Sheet3!$B$2:$E$311,3,)</f>
        <v>BAHAN BAKU LUUCA</v>
      </c>
      <c r="E87" s="19" t="str">
        <f>VLOOKUP(B87,Sheet3!$B$2:$E$311,4,)</f>
        <v>GR</v>
      </c>
      <c r="F87" s="28" t="s">
        <v>631</v>
      </c>
      <c r="G87" s="28" t="s">
        <v>496</v>
      </c>
      <c r="H87" s="28" t="s">
        <v>541</v>
      </c>
      <c r="I87" s="35"/>
    </row>
    <row r="88" ht="15.75" customHeight="1">
      <c r="A88" s="23"/>
      <c r="B88" s="27" t="s">
        <v>108</v>
      </c>
      <c r="C88" s="6" t="str">
        <f>VLOOKUP(B88,Sheet3!$B$2:$E$311,2,FALSE)</f>
        <v>B004</v>
      </c>
      <c r="D88" s="19" t="str">
        <f>VLOOKUP(B88,Sheet3!$B$2:$E$311,3,)</f>
        <v>BAHAN BAKU LUUCA</v>
      </c>
      <c r="E88" s="19" t="str">
        <f>VLOOKUP(B88,Sheet3!$B$2:$E$311,4,)</f>
        <v>GR</v>
      </c>
      <c r="F88" s="28" t="s">
        <v>633</v>
      </c>
      <c r="G88" s="28" t="s">
        <v>525</v>
      </c>
      <c r="H88" s="28" t="s">
        <v>541</v>
      </c>
      <c r="I88" s="35"/>
    </row>
    <row r="89" ht="15.75" customHeight="1">
      <c r="A89" s="23"/>
      <c r="B89" s="27" t="s">
        <v>108</v>
      </c>
      <c r="C89" s="6" t="str">
        <f>VLOOKUP(B89,Sheet3!$B$2:$E$311,2,FALSE)</f>
        <v>B004</v>
      </c>
      <c r="D89" s="19" t="str">
        <f>VLOOKUP(B89,Sheet3!$B$2:$E$311,3,)</f>
        <v>BAHAN BAKU LUUCA</v>
      </c>
      <c r="E89" s="19" t="str">
        <f>VLOOKUP(B89,Sheet3!$B$2:$E$311,4,)</f>
        <v>GR</v>
      </c>
      <c r="F89" s="28" t="s">
        <v>634</v>
      </c>
      <c r="G89" s="28" t="s">
        <v>496</v>
      </c>
      <c r="H89" s="28" t="s">
        <v>541</v>
      </c>
      <c r="I89" s="35"/>
    </row>
    <row r="90" ht="15.75" customHeight="1">
      <c r="A90" s="23"/>
      <c r="B90" s="27" t="s">
        <v>108</v>
      </c>
      <c r="C90" s="6" t="str">
        <f>VLOOKUP(B90,Sheet3!$B$2:$E$311,2,FALSE)</f>
        <v>B004</v>
      </c>
      <c r="D90" s="19" t="str">
        <f>VLOOKUP(B90,Sheet3!$B$2:$E$311,3,)</f>
        <v>BAHAN BAKU LUUCA</v>
      </c>
      <c r="E90" s="19" t="str">
        <f>VLOOKUP(B90,Sheet3!$B$2:$E$311,4,)</f>
        <v>GR</v>
      </c>
      <c r="F90" s="28" t="s">
        <v>635</v>
      </c>
      <c r="G90" s="28" t="s">
        <v>525</v>
      </c>
      <c r="H90" s="28" t="s">
        <v>541</v>
      </c>
      <c r="I90" s="35"/>
    </row>
    <row r="91" ht="15.75" customHeight="1">
      <c r="A91" s="23"/>
      <c r="B91" s="20" t="s">
        <v>108</v>
      </c>
      <c r="C91" s="6" t="str">
        <f>VLOOKUP(B90,Sheet3!$B$2:$E$311,2,FALSE)</f>
        <v>B004</v>
      </c>
      <c r="D91" s="19" t="str">
        <f>VLOOKUP(B90,Sheet3!$B$2:$E$311,3,)</f>
        <v>BAHAN BAKU LUUCA</v>
      </c>
      <c r="E91" s="19" t="str">
        <f>VLOOKUP(B90,Sheet3!$B$2:$E$311,4,)</f>
        <v>GR</v>
      </c>
      <c r="F91" s="28" t="s">
        <v>636</v>
      </c>
      <c r="G91" s="28" t="s">
        <v>496</v>
      </c>
      <c r="H91" s="28" t="s">
        <v>541</v>
      </c>
      <c r="I91" s="35"/>
    </row>
    <row r="92" ht="15.75" customHeight="1">
      <c r="A92" s="23"/>
      <c r="B92" s="27" t="s">
        <v>108</v>
      </c>
      <c r="C92" s="6" t="str">
        <f>VLOOKUP(B92,Sheet3!$B$2:$E$311,2,FALSE)</f>
        <v>B004</v>
      </c>
      <c r="D92" s="19" t="str">
        <f>VLOOKUP(B92,Sheet3!$B$2:$E$311,3,)</f>
        <v>BAHAN BAKU LUUCA</v>
      </c>
      <c r="E92" s="19" t="str">
        <f>VLOOKUP(B92,Sheet3!$B$2:$E$311,4,)</f>
        <v>GR</v>
      </c>
      <c r="F92" s="28" t="s">
        <v>637</v>
      </c>
      <c r="G92" s="28" t="s">
        <v>525</v>
      </c>
      <c r="H92" s="28" t="s">
        <v>541</v>
      </c>
      <c r="I92" s="35"/>
    </row>
    <row r="93" ht="15.75" customHeight="1">
      <c r="A93" s="23"/>
      <c r="B93" s="27" t="s">
        <v>69</v>
      </c>
      <c r="C93" s="6" t="str">
        <f>VLOOKUP(B93,Sheet3!$B$2:$E$311,2,FALSE)</f>
        <v>B004</v>
      </c>
      <c r="D93" s="19" t="str">
        <f>VLOOKUP(B93,Sheet3!$B$2:$E$311,3,)</f>
        <v>BAHAN BAKU LUUCA</v>
      </c>
      <c r="E93" s="28" t="s">
        <v>37</v>
      </c>
      <c r="F93" s="28">
        <v>29.0</v>
      </c>
      <c r="G93" s="28" t="s">
        <v>528</v>
      </c>
      <c r="H93" s="28" t="s">
        <v>541</v>
      </c>
      <c r="I93" s="35"/>
    </row>
    <row r="94" ht="15.75" customHeight="1">
      <c r="A94" s="23"/>
      <c r="B94" s="27" t="s">
        <v>108</v>
      </c>
      <c r="C94" s="6" t="str">
        <f>VLOOKUP(B94,Sheet3!$B$2:$E$311,2,FALSE)</f>
        <v>B004</v>
      </c>
      <c r="D94" s="19" t="str">
        <f>VLOOKUP(B94,Sheet3!$B$2:$E$311,3,)</f>
        <v>BAHAN BAKU LUUCA</v>
      </c>
      <c r="E94" s="19" t="str">
        <f>VLOOKUP(B94,Sheet3!$B$2:$E$311,4,)</f>
        <v>GR</v>
      </c>
      <c r="F94" s="28" t="s">
        <v>640</v>
      </c>
      <c r="G94" s="28" t="s">
        <v>525</v>
      </c>
      <c r="H94" s="28" t="s">
        <v>541</v>
      </c>
      <c r="I94" s="35"/>
    </row>
    <row r="95" ht="15.75" customHeight="1">
      <c r="A95" s="23"/>
      <c r="B95" s="27" t="s">
        <v>108</v>
      </c>
      <c r="C95" s="6" t="str">
        <f>VLOOKUP(B95,Sheet3!$B$2:$E$311,2,FALSE)</f>
        <v>B004</v>
      </c>
      <c r="D95" s="19" t="str">
        <f>VLOOKUP(B95,Sheet3!$B$2:$E$311,3,)</f>
        <v>BAHAN BAKU LUUCA</v>
      </c>
      <c r="E95" s="19" t="str">
        <f>VLOOKUP(B95,Sheet3!$B$2:$E$311,4,)</f>
        <v>GR</v>
      </c>
      <c r="F95" s="28" t="s">
        <v>641</v>
      </c>
      <c r="G95" s="28" t="s">
        <v>525</v>
      </c>
      <c r="H95" s="28" t="s">
        <v>541</v>
      </c>
      <c r="I95" s="35"/>
    </row>
    <row r="96" ht="15.75" customHeight="1">
      <c r="A96" s="23"/>
      <c r="B96" s="27" t="s">
        <v>108</v>
      </c>
      <c r="C96" s="6" t="str">
        <f>VLOOKUP(B96,Sheet3!$B$2:$E$311,2,FALSE)</f>
        <v>B004</v>
      </c>
      <c r="D96" s="19" t="str">
        <f>VLOOKUP(B96,Sheet3!$B$2:$E$311,3,)</f>
        <v>BAHAN BAKU LUUCA</v>
      </c>
      <c r="E96" s="19" t="str">
        <f>VLOOKUP(B96,Sheet3!$B$2:$E$311,4,)</f>
        <v>GR</v>
      </c>
      <c r="F96" s="28" t="s">
        <v>548</v>
      </c>
      <c r="G96" s="28" t="s">
        <v>496</v>
      </c>
      <c r="H96" s="28" t="s">
        <v>541</v>
      </c>
      <c r="I96" s="35"/>
    </row>
    <row r="97" ht="15.75" customHeight="1">
      <c r="A97" s="23"/>
      <c r="B97" s="27" t="s">
        <v>108</v>
      </c>
      <c r="C97" s="6" t="str">
        <f>VLOOKUP(B97,Sheet3!$B$2:$E$311,2,FALSE)</f>
        <v>B004</v>
      </c>
      <c r="D97" s="19" t="str">
        <f>VLOOKUP(B97,Sheet3!$B$2:$E$311,3,)</f>
        <v>BAHAN BAKU LUUCA</v>
      </c>
      <c r="E97" s="19" t="str">
        <f>VLOOKUP(B97,Sheet3!$B$2:$E$311,4,)</f>
        <v>GR</v>
      </c>
      <c r="F97" s="28" t="s">
        <v>642</v>
      </c>
      <c r="G97" s="28" t="s">
        <v>496</v>
      </c>
      <c r="H97" s="28" t="s">
        <v>615</v>
      </c>
      <c r="I97" s="35"/>
    </row>
    <row r="98" ht="15.75" customHeight="1">
      <c r="A98" s="23"/>
      <c r="B98" s="27" t="s">
        <v>30</v>
      </c>
      <c r="C98" s="6" t="str">
        <f>VLOOKUP(B98,Sheet3!$B$2:$E$311,2,FALSE)</f>
        <v>B004</v>
      </c>
      <c r="D98" s="19" t="str">
        <f>VLOOKUP(B98,Sheet3!$B$2:$E$311,3,)</f>
        <v>BAHAN BAKU LUUCA</v>
      </c>
      <c r="E98" s="28" t="s">
        <v>37</v>
      </c>
      <c r="F98" s="28">
        <v>7.0</v>
      </c>
      <c r="G98" s="28" t="s">
        <v>528</v>
      </c>
      <c r="H98" s="28" t="s">
        <v>615</v>
      </c>
      <c r="I98" s="35"/>
    </row>
    <row r="99" ht="15.75" customHeight="1">
      <c r="A99" s="27"/>
      <c r="B99" s="27" t="s">
        <v>36</v>
      </c>
      <c r="C99" s="6" t="str">
        <f>VLOOKUP(B99,Sheet3!$B$2:$E$311,2,FALSE)</f>
        <v>B004</v>
      </c>
      <c r="D99" s="19" t="str">
        <f>VLOOKUP(B99,Sheet3!$B$2:$E$311,3,)</f>
        <v>BAHAN BAKU LUUCA</v>
      </c>
      <c r="E99" s="19" t="str">
        <f>VLOOKUP(B99,Sheet3!$B$2:$E$311,4,)</f>
        <v>PCS</v>
      </c>
      <c r="F99" s="28">
        <v>2.0</v>
      </c>
      <c r="G99" s="28" t="s">
        <v>644</v>
      </c>
      <c r="H99" s="28" t="s">
        <v>522</v>
      </c>
      <c r="I99" s="35"/>
    </row>
    <row r="100" ht="15.75" customHeight="1">
      <c r="A100" s="26"/>
      <c r="B100" s="27" t="s">
        <v>38</v>
      </c>
      <c r="C100" s="6" t="str">
        <f>VLOOKUP(B100,Sheet3!$B$2:$E$311,2,FALSE)</f>
        <v>P005</v>
      </c>
      <c r="D100" s="19" t="str">
        <f>VLOOKUP(B100,Sheet3!$B$2:$E$311,3,)</f>
        <v>PACKAGING LUUCA</v>
      </c>
      <c r="E100" s="19" t="str">
        <f>VLOOKUP(B100,Sheet3!$B$2:$E$311,4,)</f>
        <v>PCS</v>
      </c>
      <c r="F100" s="28">
        <v>2.0</v>
      </c>
      <c r="G100" s="28" t="s">
        <v>644</v>
      </c>
      <c r="H100" s="28" t="s">
        <v>522</v>
      </c>
      <c r="I100" s="35"/>
    </row>
    <row r="101" ht="15.75" customHeight="1">
      <c r="A101" s="26">
        <v>46104.0</v>
      </c>
      <c r="B101" s="27" t="s">
        <v>179</v>
      </c>
      <c r="C101" s="6" t="str">
        <f>VLOOKUP(B101,Sheet3!$B$2:$E$311,2,FALSE)</f>
        <v>P006</v>
      </c>
      <c r="D101" s="19" t="str">
        <f>VLOOKUP(B101,Sheet3!$B$2:$E$311,3,)</f>
        <v>PRODUKSI STOK LUUCA</v>
      </c>
      <c r="E101" s="19" t="str">
        <f>VLOOKUP(B101,Sheet3!$B$2:$E$311,4,)</f>
        <v>GR</v>
      </c>
      <c r="F101" s="28">
        <v>100.0</v>
      </c>
      <c r="G101" s="28" t="s">
        <v>532</v>
      </c>
      <c r="H101" s="28" t="s">
        <v>541</v>
      </c>
      <c r="I101" s="35"/>
    </row>
    <row r="102" ht="15.75" customHeight="1">
      <c r="A102" s="26"/>
      <c r="B102" s="27" t="s">
        <v>51</v>
      </c>
      <c r="C102" s="6" t="str">
        <f>VLOOKUP(B102,Sheet3!$B$2:$E$311,2,FALSE)</f>
        <v>B004</v>
      </c>
      <c r="D102" s="19" t="str">
        <f>VLOOKUP(B102,Sheet3!$B$2:$E$311,3,)</f>
        <v>BAHAN BAKU LUUCA</v>
      </c>
      <c r="E102" s="19" t="str">
        <f>VLOOKUP(B102,Sheet3!$B$2:$E$311,4,)</f>
        <v>GR</v>
      </c>
      <c r="F102" s="28">
        <v>10.0</v>
      </c>
      <c r="G102" s="28" t="s">
        <v>532</v>
      </c>
      <c r="H102" s="28" t="s">
        <v>541</v>
      </c>
      <c r="I102" s="35"/>
    </row>
    <row r="103" ht="15.75" customHeight="1">
      <c r="A103" s="26"/>
      <c r="B103" s="27" t="s">
        <v>71</v>
      </c>
      <c r="C103" s="6" t="str">
        <f>VLOOKUP(B103,Sheet3!$B$2:$E$311,2,FALSE)</f>
        <v>B004</v>
      </c>
      <c r="D103" s="19" t="str">
        <f>VLOOKUP(B103,Sheet3!$B$2:$E$311,3,)</f>
        <v>BAHAN BAKU LUUCA</v>
      </c>
      <c r="E103" s="19" t="str">
        <f>VLOOKUP(B103,Sheet3!$B$2:$E$311,4,)</f>
        <v>GR</v>
      </c>
      <c r="F103" s="28">
        <v>10.0</v>
      </c>
      <c r="G103" s="28" t="s">
        <v>532</v>
      </c>
      <c r="H103" s="28" t="s">
        <v>541</v>
      </c>
      <c r="I103" s="35"/>
    </row>
    <row r="104" ht="15.75" customHeight="1">
      <c r="A104" s="37"/>
      <c r="B104" s="27" t="s">
        <v>69</v>
      </c>
      <c r="C104" s="6" t="str">
        <f>VLOOKUP(B104,Sheet3!$B$2:$E$311,2,FALSE)</f>
        <v>B004</v>
      </c>
      <c r="D104" s="19" t="str">
        <f>VLOOKUP(B104,Sheet3!$B$2:$E$311,3,)</f>
        <v>BAHAN BAKU LUUCA</v>
      </c>
      <c r="E104" s="28" t="s">
        <v>37</v>
      </c>
      <c r="F104" s="28">
        <v>37.0</v>
      </c>
      <c r="G104" s="28" t="s">
        <v>528</v>
      </c>
      <c r="H104" s="28" t="s">
        <v>541</v>
      </c>
      <c r="I104" s="35"/>
    </row>
    <row r="105" ht="15.75" customHeight="1">
      <c r="A105" s="26"/>
      <c r="B105" s="27" t="s">
        <v>108</v>
      </c>
      <c r="C105" s="6" t="str">
        <f>VLOOKUP(B105,Sheet3!$B$2:$E$311,2,FALSE)</f>
        <v>B004</v>
      </c>
      <c r="D105" s="19" t="str">
        <f>VLOOKUP(B105,Sheet3!$B$2:$E$311,3,)</f>
        <v>BAHAN BAKU LUUCA</v>
      </c>
      <c r="E105" s="19" t="str">
        <f>VLOOKUP(B105,Sheet3!$B$2:$E$311,4,)</f>
        <v>GR</v>
      </c>
      <c r="F105" s="28">
        <v>80.0</v>
      </c>
      <c r="G105" s="28" t="s">
        <v>525</v>
      </c>
      <c r="H105" s="28" t="s">
        <v>541</v>
      </c>
      <c r="I105" s="35"/>
    </row>
    <row r="106" ht="15.75" customHeight="1">
      <c r="A106" s="26"/>
      <c r="B106" s="27" t="s">
        <v>108</v>
      </c>
      <c r="C106" s="6" t="str">
        <f>VLOOKUP(B106,Sheet3!$B$2:$E$311,2,FALSE)</f>
        <v>B004</v>
      </c>
      <c r="D106" s="19" t="str">
        <f>VLOOKUP(B106,Sheet3!$B$2:$E$311,3,)</f>
        <v>BAHAN BAKU LUUCA</v>
      </c>
      <c r="E106" s="19" t="str">
        <f>VLOOKUP(B106,Sheet3!$B$2:$E$311,4,)</f>
        <v>GR</v>
      </c>
      <c r="F106" s="28" t="s">
        <v>649</v>
      </c>
      <c r="G106" s="28" t="s">
        <v>496</v>
      </c>
      <c r="H106" s="28" t="s">
        <v>541</v>
      </c>
      <c r="I106" s="35"/>
    </row>
    <row r="107" ht="15.75" customHeight="1">
      <c r="A107" s="26">
        <v>46106.0</v>
      </c>
      <c r="B107" s="27" t="s">
        <v>108</v>
      </c>
      <c r="C107" s="6" t="str">
        <f>VLOOKUP(B107,Sheet3!$B$2:$E$311,2,FALSE)</f>
        <v>B004</v>
      </c>
      <c r="D107" s="19" t="str">
        <f>VLOOKUP(B107,Sheet3!$B$2:$E$311,3,)</f>
        <v>BAHAN BAKU LUUCA</v>
      </c>
      <c r="E107" s="19" t="str">
        <f>VLOOKUP(B107,Sheet3!$B$2:$E$311,4,)</f>
        <v>GR</v>
      </c>
      <c r="F107" s="28">
        <v>120.0</v>
      </c>
      <c r="G107" s="28" t="s">
        <v>650</v>
      </c>
      <c r="H107" s="28" t="s">
        <v>561</v>
      </c>
      <c r="I107" s="35"/>
    </row>
    <row r="108" ht="15.75" customHeight="1">
      <c r="A108" s="23"/>
      <c r="B108" s="27" t="s">
        <v>181</v>
      </c>
      <c r="C108" s="6" t="str">
        <f>VLOOKUP(B108,Sheet3!$B$2:$E$311,2,FALSE)</f>
        <v>P006</v>
      </c>
      <c r="D108" s="19" t="str">
        <f>VLOOKUP(B108,Sheet3!$B$2:$E$311,3,)</f>
        <v>PRODUKSI STOK LUUCA</v>
      </c>
      <c r="E108" s="19" t="str">
        <f>VLOOKUP(B108,Sheet3!$B$2:$E$311,4,)</f>
        <v>GR</v>
      </c>
      <c r="F108" s="28">
        <v>100.0</v>
      </c>
      <c r="G108" s="28" t="s">
        <v>532</v>
      </c>
      <c r="H108" s="28" t="s">
        <v>561</v>
      </c>
      <c r="I108" s="35"/>
    </row>
    <row r="109" ht="15.75" customHeight="1">
      <c r="A109" s="23"/>
      <c r="B109" s="27" t="s">
        <v>175</v>
      </c>
      <c r="C109" s="6" t="str">
        <f>VLOOKUP(B109,Sheet3!$B$2:$E$311,2,FALSE)</f>
        <v>P006</v>
      </c>
      <c r="D109" s="19" t="str">
        <f>VLOOKUP(B109,Sheet3!$B$2:$E$311,3,)</f>
        <v>PRODUKSI STOK LUUCA</v>
      </c>
      <c r="E109" s="19" t="str">
        <f>VLOOKUP(B109,Sheet3!$B$2:$E$311,4,)</f>
        <v>GR</v>
      </c>
      <c r="F109" s="28">
        <v>200.0</v>
      </c>
      <c r="G109" s="28" t="s">
        <v>653</v>
      </c>
      <c r="H109" s="28" t="s">
        <v>561</v>
      </c>
      <c r="I109" s="35"/>
    </row>
    <row r="110" ht="15.75" customHeight="1">
      <c r="A110" s="23"/>
      <c r="B110" s="27" t="s">
        <v>69</v>
      </c>
      <c r="C110" s="6" t="str">
        <f>VLOOKUP(B110,Sheet3!$B$2:$E$311,2,FALSE)</f>
        <v>B004</v>
      </c>
      <c r="D110" s="19" t="str">
        <f>VLOOKUP(B110,Sheet3!$B$2:$E$311,3,)</f>
        <v>BAHAN BAKU LUUCA</v>
      </c>
      <c r="E110" s="28" t="s">
        <v>37</v>
      </c>
      <c r="F110" s="28">
        <v>4.0</v>
      </c>
      <c r="G110" s="28" t="s">
        <v>528</v>
      </c>
      <c r="H110" s="28" t="s">
        <v>541</v>
      </c>
      <c r="I110" s="35"/>
    </row>
    <row r="111" ht="15.75" customHeight="1">
      <c r="A111" s="23"/>
      <c r="B111" s="27" t="s">
        <v>69</v>
      </c>
      <c r="C111" s="6" t="str">
        <f>VLOOKUP(B111,Sheet3!$B$2:$E$311,2,FALSE)</f>
        <v>B004</v>
      </c>
      <c r="D111" s="19" t="str">
        <f>VLOOKUP(B111,Sheet3!$B$2:$E$311,3,)</f>
        <v>BAHAN BAKU LUUCA</v>
      </c>
      <c r="E111" s="28" t="s">
        <v>37</v>
      </c>
      <c r="F111" s="28">
        <v>9.0</v>
      </c>
      <c r="G111" s="28" t="s">
        <v>528</v>
      </c>
      <c r="H111" s="28" t="s">
        <v>522</v>
      </c>
      <c r="I111" s="35"/>
    </row>
    <row r="112" ht="15.75" customHeight="1">
      <c r="A112" s="23"/>
      <c r="B112" s="27" t="s">
        <v>108</v>
      </c>
      <c r="C112" s="6" t="str">
        <f>VLOOKUP(B112,Sheet3!$B$2:$E$311,2,FALSE)</f>
        <v>B004</v>
      </c>
      <c r="D112" s="19" t="str">
        <f>VLOOKUP(B112,Sheet3!$B$2:$E$311,3,)</f>
        <v>BAHAN BAKU LUUCA</v>
      </c>
      <c r="E112" s="19" t="str">
        <f>VLOOKUP(B112,Sheet3!$B$2:$E$311,4,)</f>
        <v>GR</v>
      </c>
      <c r="F112" s="28">
        <v>15.0</v>
      </c>
      <c r="G112" s="28" t="s">
        <v>525</v>
      </c>
      <c r="H112" s="28" t="s">
        <v>522</v>
      </c>
      <c r="I112" s="35"/>
    </row>
    <row r="113" ht="15.75" customHeight="1">
      <c r="A113" s="23"/>
      <c r="B113" s="27" t="s">
        <v>109</v>
      </c>
      <c r="C113" s="6" t="str">
        <f>VLOOKUP(B113,Sheet3!$B$2:$E$311,2,FALSE)</f>
        <v>B004</v>
      </c>
      <c r="D113" s="19" t="str">
        <f>VLOOKUP(B113,Sheet3!$B$2:$E$311,3,)</f>
        <v>BAHAN BAKU LUUCA</v>
      </c>
      <c r="E113" s="19" t="str">
        <f>VLOOKUP(B113,Sheet3!$B$2:$E$311,4,)</f>
        <v>GR</v>
      </c>
      <c r="F113" s="28">
        <v>3.0</v>
      </c>
      <c r="G113" s="28" t="s">
        <v>656</v>
      </c>
      <c r="H113" s="28" t="s">
        <v>522</v>
      </c>
      <c r="I113" s="35"/>
    </row>
    <row r="114" ht="15.75" customHeight="1">
      <c r="A114" s="23"/>
      <c r="B114" s="27" t="s">
        <v>109</v>
      </c>
      <c r="C114" s="6" t="str">
        <f>VLOOKUP(B114,Sheet3!$B$2:$E$311,2,FALSE)</f>
        <v>B004</v>
      </c>
      <c r="D114" s="19" t="str">
        <f>VLOOKUP(B114,Sheet3!$B$2:$E$311,3,)</f>
        <v>BAHAN BAKU LUUCA</v>
      </c>
      <c r="E114" s="19" t="str">
        <f>VLOOKUP(B114,Sheet3!$B$2:$E$311,4,)</f>
        <v>GR</v>
      </c>
      <c r="F114" s="28">
        <v>250.0</v>
      </c>
      <c r="G114" s="28" t="s">
        <v>496</v>
      </c>
      <c r="H114" s="28" t="s">
        <v>522</v>
      </c>
      <c r="I114" s="35"/>
    </row>
    <row r="115" ht="15.75" customHeight="1">
      <c r="A115" s="23"/>
      <c r="B115" s="27" t="s">
        <v>30</v>
      </c>
      <c r="C115" s="6" t="str">
        <f>VLOOKUP(B115,Sheet3!$B$2:$E$311,2,FALSE)</f>
        <v>B004</v>
      </c>
      <c r="D115" s="19" t="str">
        <f>VLOOKUP(B115,Sheet3!$B$2:$E$311,3,)</f>
        <v>BAHAN BAKU LUUCA</v>
      </c>
      <c r="E115" s="28" t="s">
        <v>37</v>
      </c>
      <c r="F115" s="28">
        <v>1.0</v>
      </c>
      <c r="G115" s="28" t="s">
        <v>528</v>
      </c>
      <c r="H115" s="28" t="s">
        <v>522</v>
      </c>
      <c r="I115" s="35"/>
    </row>
    <row r="116" ht="15.75" customHeight="1">
      <c r="A116" s="23"/>
      <c r="B116" s="27" t="s">
        <v>36</v>
      </c>
      <c r="C116" s="6" t="str">
        <f>VLOOKUP(B116,Sheet3!$B$2:$E$311,2,FALSE)</f>
        <v>B004</v>
      </c>
      <c r="D116" s="19" t="str">
        <f>VLOOKUP(B116,Sheet3!$B$2:$E$311,3,)</f>
        <v>BAHAN BAKU LUUCA</v>
      </c>
      <c r="E116" s="19" t="str">
        <f>VLOOKUP(B116,Sheet3!$B$2:$E$311,4,)</f>
        <v>PCS</v>
      </c>
      <c r="F116" s="28">
        <v>2.0</v>
      </c>
      <c r="G116" s="28" t="s">
        <v>644</v>
      </c>
      <c r="H116" s="28" t="s">
        <v>522</v>
      </c>
      <c r="I116" s="35"/>
    </row>
    <row r="117" ht="15.75" customHeight="1">
      <c r="A117" s="23"/>
      <c r="B117" s="27" t="s">
        <v>38</v>
      </c>
      <c r="C117" s="6" t="str">
        <f>VLOOKUP(B117,Sheet3!$B$2:$E$311,2,FALSE)</f>
        <v>P005</v>
      </c>
      <c r="D117" s="19" t="str">
        <f>VLOOKUP(B117,Sheet3!$B$2:$E$311,3,)</f>
        <v>PACKAGING LUUCA</v>
      </c>
      <c r="E117" s="19" t="str">
        <f>VLOOKUP(B117,Sheet3!$B$2:$E$311,4,)</f>
        <v>PCS</v>
      </c>
      <c r="F117" s="28">
        <v>2.0</v>
      </c>
      <c r="G117" s="28" t="s">
        <v>644</v>
      </c>
      <c r="H117" s="28" t="s">
        <v>522</v>
      </c>
      <c r="I117" s="35"/>
    </row>
    <row r="118" ht="15.75" customHeight="1">
      <c r="A118" s="23"/>
      <c r="B118" s="27" t="s">
        <v>36</v>
      </c>
      <c r="C118" s="6" t="str">
        <f>VLOOKUP(B118,Sheet3!$B$2:$E$311,2,FALSE)</f>
        <v>B004</v>
      </c>
      <c r="D118" s="19" t="str">
        <f>VLOOKUP(B118,Sheet3!$B$2:$E$311,3,)</f>
        <v>BAHAN BAKU LUUCA</v>
      </c>
      <c r="E118" s="19" t="str">
        <f>VLOOKUP(B118,Sheet3!$B$2:$E$311,4,)</f>
        <v>PCS</v>
      </c>
      <c r="F118" s="28">
        <v>2.0</v>
      </c>
      <c r="G118" s="28" t="s">
        <v>644</v>
      </c>
      <c r="H118" s="28" t="s">
        <v>522</v>
      </c>
      <c r="I118" s="35"/>
    </row>
    <row r="119" ht="15.75" customHeight="1">
      <c r="A119" s="23"/>
      <c r="B119" s="27" t="s">
        <v>38</v>
      </c>
      <c r="C119" s="6" t="str">
        <f>VLOOKUP(B119,Sheet3!$B$2:$E$311,2,FALSE)</f>
        <v>P005</v>
      </c>
      <c r="D119" s="19" t="str">
        <f>VLOOKUP(B119,Sheet3!$B$2:$E$311,3,)</f>
        <v>PACKAGING LUUCA</v>
      </c>
      <c r="E119" s="19" t="str">
        <f>VLOOKUP(B119,Sheet3!$B$2:$E$311,4,)</f>
        <v>PCS</v>
      </c>
      <c r="F119" s="28">
        <v>2.0</v>
      </c>
      <c r="G119" s="28" t="s">
        <v>644</v>
      </c>
      <c r="H119" s="28" t="s">
        <v>522</v>
      </c>
      <c r="I119" s="35"/>
    </row>
    <row r="120" ht="15.75" customHeight="1">
      <c r="A120" s="26">
        <v>46107.0</v>
      </c>
      <c r="B120" s="27" t="s">
        <v>108</v>
      </c>
      <c r="C120" s="6" t="str">
        <f>VLOOKUP(B120,Sheet3!$B$2:$E$311,2,FALSE)</f>
        <v>B004</v>
      </c>
      <c r="D120" s="19" t="str">
        <f>VLOOKUP(B120,Sheet3!$B$2:$E$311,3,)</f>
        <v>BAHAN BAKU LUUCA</v>
      </c>
      <c r="E120" s="19" t="str">
        <f>VLOOKUP(B120,Sheet3!$B$2:$E$311,4,)</f>
        <v>GR</v>
      </c>
      <c r="F120" s="27" t="s">
        <v>666</v>
      </c>
      <c r="G120" s="28" t="s">
        <v>525</v>
      </c>
      <c r="H120" s="28" t="s">
        <v>541</v>
      </c>
      <c r="I120" s="35"/>
    </row>
    <row r="121" ht="15.75" customHeight="1">
      <c r="A121" s="23"/>
      <c r="B121" s="27" t="s">
        <v>64</v>
      </c>
      <c r="C121" s="6" t="str">
        <f>VLOOKUP(B121,Sheet3!$B$2:$E$311,2,FALSE)</f>
        <v>B004</v>
      </c>
      <c r="D121" s="19" t="str">
        <f>VLOOKUP(B121,Sheet3!$B$2:$E$311,3,)</f>
        <v>BAHAN BAKU LUUCA</v>
      </c>
      <c r="E121" s="19" t="str">
        <f>VLOOKUP(B121,Sheet3!$B$2:$E$311,4,)</f>
        <v>GR</v>
      </c>
      <c r="F121" s="27" t="s">
        <v>669</v>
      </c>
      <c r="G121" s="28" t="s">
        <v>670</v>
      </c>
      <c r="H121" s="28" t="s">
        <v>553</v>
      </c>
      <c r="I121" s="35"/>
    </row>
    <row r="122" ht="15.75" customHeight="1">
      <c r="A122" s="26">
        <v>46108.0</v>
      </c>
      <c r="B122" s="27" t="s">
        <v>69</v>
      </c>
      <c r="C122" s="6" t="str">
        <f>VLOOKUP(B122,Sheet3!$B$2:$E$311,2,FALSE)</f>
        <v>B004</v>
      </c>
      <c r="D122" s="19" t="str">
        <f>VLOOKUP(B122,Sheet3!$B$2:$E$311,3,)</f>
        <v>BAHAN BAKU LUUCA</v>
      </c>
      <c r="E122" s="28" t="s">
        <v>37</v>
      </c>
      <c r="F122" s="28">
        <v>23.0</v>
      </c>
      <c r="G122" s="28" t="s">
        <v>528</v>
      </c>
      <c r="H122" s="28" t="s">
        <v>541</v>
      </c>
      <c r="I122" s="34" t="s">
        <v>671</v>
      </c>
    </row>
    <row r="123" ht="15.75" customHeight="1">
      <c r="A123" s="23"/>
      <c r="B123" s="27" t="s">
        <v>30</v>
      </c>
      <c r="C123" s="6" t="str">
        <f>VLOOKUP(B123,Sheet3!$B$2:$E$311,2,FALSE)</f>
        <v>B004</v>
      </c>
      <c r="D123" s="19" t="str">
        <f>VLOOKUP(B123,Sheet3!$B$2:$E$311,3,)</f>
        <v>BAHAN BAKU LUUCA</v>
      </c>
      <c r="E123" s="28" t="s">
        <v>37</v>
      </c>
      <c r="F123" s="28">
        <v>4.0</v>
      </c>
      <c r="G123" s="28" t="s">
        <v>528</v>
      </c>
      <c r="H123" s="28" t="s">
        <v>541</v>
      </c>
      <c r="I123" s="34" t="s">
        <v>671</v>
      </c>
    </row>
    <row r="124" ht="15.75" customHeight="1">
      <c r="A124" s="23"/>
      <c r="B124" s="27" t="s">
        <v>69</v>
      </c>
      <c r="C124" s="6" t="str">
        <f>VLOOKUP(B124,Sheet3!$B$2:$E$311,2,FALSE)</f>
        <v>B004</v>
      </c>
      <c r="D124" s="19" t="str">
        <f>VLOOKUP(B124,Sheet3!$B$2:$E$311,3,)</f>
        <v>BAHAN BAKU LUUCA</v>
      </c>
      <c r="E124" s="28" t="s">
        <v>37</v>
      </c>
      <c r="F124" s="28">
        <v>2.0</v>
      </c>
      <c r="G124" s="28" t="s">
        <v>528</v>
      </c>
      <c r="H124" s="28" t="s">
        <v>541</v>
      </c>
      <c r="I124" s="34" t="s">
        <v>671</v>
      </c>
    </row>
    <row r="125" ht="15.75" customHeight="1">
      <c r="A125" s="23"/>
      <c r="B125" s="27" t="s">
        <v>36</v>
      </c>
      <c r="C125" s="6" t="str">
        <f>VLOOKUP(B125,Sheet3!$B$2:$E$311,2,FALSE)</f>
        <v>B004</v>
      </c>
      <c r="D125" s="19" t="str">
        <f>VLOOKUP(B125,Sheet3!$B$2:$E$311,3,)</f>
        <v>BAHAN BAKU LUUCA</v>
      </c>
      <c r="E125" s="19" t="str">
        <f>VLOOKUP(B125,Sheet3!$B$2:$E$311,4,)</f>
        <v>PCS</v>
      </c>
      <c r="F125" s="28">
        <v>1.0</v>
      </c>
      <c r="G125" s="28" t="s">
        <v>532</v>
      </c>
      <c r="H125" s="28" t="s">
        <v>553</v>
      </c>
      <c r="I125" s="34" t="s">
        <v>671</v>
      </c>
    </row>
    <row r="126" ht="15.75" customHeight="1">
      <c r="A126" s="23"/>
      <c r="B126" s="27" t="s">
        <v>178</v>
      </c>
      <c r="C126" s="6" t="str">
        <f>VLOOKUP(B126,Sheet3!$B$2:$E$311,2,FALSE)</f>
        <v>P006</v>
      </c>
      <c r="D126" s="19" t="str">
        <f>VLOOKUP(B126,Sheet3!$B$2:$E$311,3,)</f>
        <v>PRODUKSI STOK LUUCA</v>
      </c>
      <c r="E126" s="19" t="str">
        <f>VLOOKUP(B126,Sheet3!$B$2:$E$311,4,)</f>
        <v>GR</v>
      </c>
      <c r="F126" s="28">
        <v>1085.0</v>
      </c>
      <c r="G126" s="28" t="s">
        <v>532</v>
      </c>
      <c r="H126" s="28" t="s">
        <v>595</v>
      </c>
      <c r="I126" s="34" t="s">
        <v>671</v>
      </c>
    </row>
    <row r="127" ht="15.75" customHeight="1">
      <c r="A127" s="23"/>
      <c r="B127" s="27" t="s">
        <v>175</v>
      </c>
      <c r="C127" s="6" t="str">
        <f>VLOOKUP(B127,Sheet3!$B$2:$E$311,2,FALSE)</f>
        <v>P006</v>
      </c>
      <c r="D127" s="19" t="str">
        <f>VLOOKUP(B127,Sheet3!$B$2:$E$311,3,)</f>
        <v>PRODUKSI STOK LUUCA</v>
      </c>
      <c r="E127" s="19" t="str">
        <f>VLOOKUP(B127,Sheet3!$B$2:$E$311,4,)</f>
        <v>GR</v>
      </c>
      <c r="F127" s="28">
        <v>1526.0</v>
      </c>
      <c r="G127" s="28" t="s">
        <v>532</v>
      </c>
      <c r="H127" s="28" t="s">
        <v>595</v>
      </c>
      <c r="I127" s="34" t="s">
        <v>671</v>
      </c>
    </row>
    <row r="128" ht="15.75" customHeight="1">
      <c r="A128" s="23"/>
      <c r="B128" s="27" t="s">
        <v>108</v>
      </c>
      <c r="C128" s="6" t="str">
        <f>VLOOKUP(B128,Sheet3!$B$2:$E$311,2,FALSE)</f>
        <v>B004</v>
      </c>
      <c r="D128" s="19" t="str">
        <f>VLOOKUP(B128,Sheet3!$B$2:$E$311,3,)</f>
        <v>BAHAN BAKU LUUCA</v>
      </c>
      <c r="E128" s="19" t="str">
        <f>VLOOKUP(B128,Sheet3!$B$2:$E$311,4,)</f>
        <v>GR</v>
      </c>
      <c r="F128" s="28" t="s">
        <v>675</v>
      </c>
      <c r="G128" s="28" t="s">
        <v>525</v>
      </c>
      <c r="H128" s="28" t="s">
        <v>561</v>
      </c>
      <c r="I128" s="34" t="s">
        <v>671</v>
      </c>
    </row>
    <row r="129" ht="15.75" customHeight="1">
      <c r="A129" s="23"/>
      <c r="B129" s="27" t="s">
        <v>109</v>
      </c>
      <c r="C129" s="6" t="str">
        <f>VLOOKUP(B129,Sheet3!$B$2:$E$311,2,FALSE)</f>
        <v>B004</v>
      </c>
      <c r="D129" s="19" t="str">
        <f>VLOOKUP(B129,Sheet3!$B$2:$E$311,3,)</f>
        <v>BAHAN BAKU LUUCA</v>
      </c>
      <c r="E129" s="19" t="str">
        <f>VLOOKUP(B129,Sheet3!$B$2:$E$311,4,)</f>
        <v>GR</v>
      </c>
      <c r="F129" s="28" t="s">
        <v>676</v>
      </c>
      <c r="G129" s="28" t="s">
        <v>656</v>
      </c>
      <c r="H129" s="28" t="s">
        <v>561</v>
      </c>
      <c r="I129" s="34" t="s">
        <v>671</v>
      </c>
    </row>
    <row r="130" ht="15.75" customHeight="1">
      <c r="A130" s="26">
        <v>46109.0</v>
      </c>
      <c r="B130" s="27" t="s">
        <v>108</v>
      </c>
      <c r="C130" s="6" t="str">
        <f>VLOOKUP(B130,Sheet3!$B$2:$E$311,2,FALSE)</f>
        <v>B004</v>
      </c>
      <c r="D130" s="19" t="str">
        <f>VLOOKUP(B130,Sheet3!$B$2:$E$311,3,)</f>
        <v>BAHAN BAKU LUUCA</v>
      </c>
      <c r="E130" s="19" t="str">
        <f>VLOOKUP(B130,Sheet3!$B$2:$E$311,4,)</f>
        <v>GR</v>
      </c>
      <c r="F130" s="28" t="s">
        <v>680</v>
      </c>
      <c r="G130" s="28" t="s">
        <v>525</v>
      </c>
      <c r="H130" s="28" t="s">
        <v>541</v>
      </c>
      <c r="I130" s="34" t="s">
        <v>671</v>
      </c>
    </row>
    <row r="131" ht="15.75" customHeight="1">
      <c r="A131" s="23"/>
      <c r="B131" s="27" t="s">
        <v>30</v>
      </c>
      <c r="C131" s="6" t="str">
        <f>VLOOKUP(B131,Sheet3!$B$2:$E$311,2,FALSE)</f>
        <v>B004</v>
      </c>
      <c r="D131" s="19" t="str">
        <f>VLOOKUP(B131,Sheet3!$B$2:$E$311,3,)</f>
        <v>BAHAN BAKU LUUCA</v>
      </c>
      <c r="E131" s="28" t="s">
        <v>37</v>
      </c>
      <c r="F131" s="28">
        <v>27.0</v>
      </c>
      <c r="G131" s="28" t="s">
        <v>528</v>
      </c>
      <c r="H131" s="28" t="s">
        <v>541</v>
      </c>
      <c r="I131" s="34" t="s">
        <v>671</v>
      </c>
    </row>
    <row r="132" ht="15.75" customHeight="1">
      <c r="A132" s="23"/>
      <c r="B132" s="27" t="s">
        <v>30</v>
      </c>
      <c r="C132" s="6" t="str">
        <f>VLOOKUP(B132,Sheet3!$B$2:$E$311,2,FALSE)</f>
        <v>B004</v>
      </c>
      <c r="D132" s="19" t="str">
        <f>VLOOKUP(B132,Sheet3!$B$2:$E$311,3,)</f>
        <v>BAHAN BAKU LUUCA</v>
      </c>
      <c r="E132" s="28" t="s">
        <v>37</v>
      </c>
      <c r="F132" s="28">
        <v>6.0</v>
      </c>
      <c r="G132" s="28" t="s">
        <v>528</v>
      </c>
      <c r="H132" s="28" t="s">
        <v>553</v>
      </c>
      <c r="I132" s="34" t="s">
        <v>671</v>
      </c>
    </row>
    <row r="133" ht="15.75" customHeight="1">
      <c r="A133" s="23"/>
      <c r="B133" s="27" t="s">
        <v>30</v>
      </c>
      <c r="C133" s="6" t="str">
        <f>VLOOKUP(B133,Sheet3!$B$2:$E$311,2,FALSE)</f>
        <v>B004</v>
      </c>
      <c r="D133" s="19" t="str">
        <f>VLOOKUP(B133,Sheet3!$B$2:$E$311,3,)</f>
        <v>BAHAN BAKU LUUCA</v>
      </c>
      <c r="E133" s="28" t="s">
        <v>37</v>
      </c>
      <c r="F133" s="28">
        <v>13.0</v>
      </c>
      <c r="G133" s="28" t="s">
        <v>528</v>
      </c>
      <c r="H133" s="28" t="s">
        <v>553</v>
      </c>
      <c r="I133" s="34" t="s">
        <v>671</v>
      </c>
    </row>
    <row r="134" ht="15.75" customHeight="1">
      <c r="A134" s="26">
        <v>46110.0</v>
      </c>
      <c r="B134" s="27" t="s">
        <v>109</v>
      </c>
      <c r="C134" s="6" t="str">
        <f>VLOOKUP(B134,Sheet3!$B$2:$E$311,2,FALSE)</f>
        <v>B004</v>
      </c>
      <c r="D134" s="19" t="str">
        <f>VLOOKUP(B134,Sheet3!$B$2:$E$311,3,)</f>
        <v>BAHAN BAKU LUUCA</v>
      </c>
      <c r="E134" s="19" t="str">
        <f>VLOOKUP(B134,Sheet3!$B$2:$E$311,4,)</f>
        <v>GR</v>
      </c>
      <c r="F134" s="28" t="s">
        <v>686</v>
      </c>
      <c r="G134" s="28" t="s">
        <v>656</v>
      </c>
      <c r="H134" s="28" t="s">
        <v>541</v>
      </c>
      <c r="I134" s="34" t="s">
        <v>671</v>
      </c>
    </row>
    <row r="135" ht="15.75" customHeight="1">
      <c r="A135" s="23"/>
      <c r="B135" s="27" t="s">
        <v>175</v>
      </c>
      <c r="C135" s="6" t="str">
        <f>VLOOKUP(B135,Sheet3!$B$2:$E$311,2,FALSE)</f>
        <v>P006</v>
      </c>
      <c r="D135" s="19" t="str">
        <f>VLOOKUP(B135,Sheet3!$B$2:$E$311,3,)</f>
        <v>PRODUKSI STOK LUUCA</v>
      </c>
      <c r="E135" s="19" t="str">
        <f>VLOOKUP(B135,Sheet3!$B$2:$E$311,4,)</f>
        <v>GR</v>
      </c>
      <c r="F135" s="28">
        <v>150.0</v>
      </c>
      <c r="G135" s="28" t="s">
        <v>689</v>
      </c>
      <c r="H135" s="28" t="s">
        <v>541</v>
      </c>
      <c r="I135" s="35"/>
    </row>
    <row r="136" ht="15.75" customHeight="1">
      <c r="A136" s="23"/>
      <c r="B136" s="27" t="s">
        <v>34</v>
      </c>
      <c r="C136" s="6" t="str">
        <f>VLOOKUP(B136,Sheet3!$B$2:$E$311,2,FALSE)</f>
        <v>B004</v>
      </c>
      <c r="D136" s="19" t="str">
        <f>VLOOKUP(B136,Sheet3!$B$2:$E$311,3,)</f>
        <v>BAHAN BAKU LUUCA</v>
      </c>
      <c r="E136" s="19" t="str">
        <f>VLOOKUP(B136,Sheet3!$B$2:$E$311,4,)</f>
        <v>GR</v>
      </c>
      <c r="F136" s="28">
        <v>60.0</v>
      </c>
      <c r="G136" s="28" t="s">
        <v>689</v>
      </c>
      <c r="H136" s="28" t="s">
        <v>541</v>
      </c>
      <c r="I136" s="35"/>
    </row>
    <row r="137" ht="15.75" customHeight="1">
      <c r="A137" s="23"/>
      <c r="B137" s="27" t="s">
        <v>106</v>
      </c>
      <c r="C137" s="6" t="str">
        <f>VLOOKUP(B137,Sheet3!$B$2:$E$311,2,FALSE)</f>
        <v>B004</v>
      </c>
      <c r="D137" s="19" t="str">
        <f>VLOOKUP(B137,Sheet3!$B$2:$E$311,3,)</f>
        <v>BAHAN BAKU LUUCA</v>
      </c>
      <c r="E137" s="19" t="str">
        <f>VLOOKUP(B137,Sheet3!$B$2:$E$311,4,)</f>
        <v>GR</v>
      </c>
      <c r="F137" s="28">
        <v>15.0</v>
      </c>
      <c r="G137" s="28" t="s">
        <v>689</v>
      </c>
      <c r="H137" s="28" t="s">
        <v>541</v>
      </c>
      <c r="I137" s="35"/>
    </row>
    <row r="138" ht="15.75" customHeight="1">
      <c r="A138" s="23"/>
      <c r="B138" s="27" t="s">
        <v>181</v>
      </c>
      <c r="C138" s="6" t="str">
        <f>VLOOKUP(B138,Sheet3!$B$2:$E$311,2,FALSE)</f>
        <v>P006</v>
      </c>
      <c r="D138" s="19" t="str">
        <f>VLOOKUP(B138,Sheet3!$B$2:$E$311,3,)</f>
        <v>PRODUKSI STOK LUUCA</v>
      </c>
      <c r="E138" s="19" t="str">
        <f>VLOOKUP(B138,Sheet3!$B$2:$E$311,4,)</f>
        <v>GR</v>
      </c>
      <c r="F138" s="28">
        <v>25.0</v>
      </c>
      <c r="G138" s="28" t="s">
        <v>689</v>
      </c>
      <c r="H138" s="28" t="s">
        <v>541</v>
      </c>
      <c r="I138" s="35"/>
    </row>
    <row r="139" ht="15.75" customHeight="1">
      <c r="A139" s="23"/>
      <c r="B139" s="27" t="s">
        <v>71</v>
      </c>
      <c r="C139" s="6" t="str">
        <f>VLOOKUP(B139,Sheet3!$B$2:$E$311,2,FALSE)</f>
        <v>B004</v>
      </c>
      <c r="D139" s="19" t="str">
        <f>VLOOKUP(B139,Sheet3!$B$2:$E$311,3,)</f>
        <v>BAHAN BAKU LUUCA</v>
      </c>
      <c r="E139" s="19" t="str">
        <f>VLOOKUP(B139,Sheet3!$B$2:$E$311,4,)</f>
        <v>GR</v>
      </c>
      <c r="F139" s="28" t="s">
        <v>693</v>
      </c>
      <c r="G139" s="28" t="s">
        <v>689</v>
      </c>
      <c r="H139" s="28" t="s">
        <v>541</v>
      </c>
      <c r="I139" s="35"/>
    </row>
    <row r="140" ht="15.75" customHeight="1">
      <c r="A140" s="23"/>
      <c r="B140" s="27" t="s">
        <v>109</v>
      </c>
      <c r="C140" s="6" t="str">
        <f>VLOOKUP(B140,Sheet3!$B$2:$E$311,2,FALSE)</f>
        <v>B004</v>
      </c>
      <c r="D140" s="19" t="str">
        <f>VLOOKUP(B140,Sheet3!$B$2:$E$311,3,)</f>
        <v>BAHAN BAKU LUUCA</v>
      </c>
      <c r="E140" s="19" t="str">
        <f>VLOOKUP(B140,Sheet3!$B$2:$E$311,4,)</f>
        <v>GR</v>
      </c>
      <c r="F140" s="28" t="s">
        <v>696</v>
      </c>
      <c r="G140" s="28" t="s">
        <v>496</v>
      </c>
      <c r="H140" s="28" t="s">
        <v>541</v>
      </c>
      <c r="I140" s="34" t="s">
        <v>671</v>
      </c>
    </row>
    <row r="141" ht="15.75" customHeight="1">
      <c r="A141" s="23"/>
      <c r="B141" s="27" t="s">
        <v>102</v>
      </c>
      <c r="C141" s="6" t="str">
        <f>VLOOKUP(B141,Sheet3!$B$2:$E$311,2,FALSE)</f>
        <v>P005</v>
      </c>
      <c r="D141" s="19" t="str">
        <f>VLOOKUP(B141,Sheet3!$B$2:$E$311,3,)</f>
        <v>PACKAGING LUUCA</v>
      </c>
      <c r="E141" s="19" t="str">
        <f>VLOOKUP(B141,Sheet3!$B$2:$E$311,4,)</f>
        <v>PCS</v>
      </c>
      <c r="F141" s="28">
        <v>2.0</v>
      </c>
      <c r="G141" s="28" t="s">
        <v>702</v>
      </c>
      <c r="H141" s="28" t="s">
        <v>615</v>
      </c>
      <c r="I141" s="34" t="s">
        <v>671</v>
      </c>
    </row>
    <row r="142" ht="15.75" customHeight="1">
      <c r="A142" s="23"/>
      <c r="B142" s="27" t="s">
        <v>108</v>
      </c>
      <c r="C142" s="6" t="str">
        <f>VLOOKUP(B142,Sheet3!$B$2:$E$311,2,FALSE)</f>
        <v>B004</v>
      </c>
      <c r="D142" s="19" t="str">
        <f>VLOOKUP(B142,Sheet3!$B$2:$E$311,3,)</f>
        <v>BAHAN BAKU LUUCA</v>
      </c>
      <c r="E142" s="19" t="str">
        <f>VLOOKUP(B142,Sheet3!$B$2:$E$311,4,)</f>
        <v>GR</v>
      </c>
      <c r="F142" s="28">
        <v>139.0</v>
      </c>
      <c r="G142" s="28" t="s">
        <v>525</v>
      </c>
      <c r="H142" s="28" t="s">
        <v>522</v>
      </c>
      <c r="I142" s="34" t="s">
        <v>671</v>
      </c>
    </row>
    <row r="143" ht="15.75" customHeight="1">
      <c r="A143" s="23"/>
      <c r="B143" s="27" t="s">
        <v>109</v>
      </c>
      <c r="C143" s="6" t="str">
        <f>VLOOKUP(B143,Sheet3!$B$2:$E$311,2,FALSE)</f>
        <v>B004</v>
      </c>
      <c r="D143" s="19" t="str">
        <f>VLOOKUP(B143,Sheet3!$B$2:$E$311,3,)</f>
        <v>BAHAN BAKU LUUCA</v>
      </c>
      <c r="E143" s="19" t="str">
        <f>VLOOKUP(B143,Sheet3!$B$2:$E$311,4,)</f>
        <v>GR</v>
      </c>
      <c r="F143" s="28">
        <v>35.0</v>
      </c>
      <c r="G143" s="28" t="s">
        <v>496</v>
      </c>
      <c r="H143" s="28" t="s">
        <v>522</v>
      </c>
      <c r="I143" s="34" t="s">
        <v>671</v>
      </c>
    </row>
    <row r="144" ht="15.75" customHeight="1">
      <c r="A144" s="23"/>
      <c r="B144" s="27" t="s">
        <v>109</v>
      </c>
      <c r="C144" s="6" t="str">
        <f>VLOOKUP(B144,Sheet3!$B$2:$E$311,2,FALSE)</f>
        <v>B004</v>
      </c>
      <c r="D144" s="19" t="str">
        <f>VLOOKUP(B144,Sheet3!$B$2:$E$311,3,)</f>
        <v>BAHAN BAKU LUUCA</v>
      </c>
      <c r="E144" s="19" t="str">
        <f>VLOOKUP(B144,Sheet3!$B$2:$E$311,4,)</f>
        <v>GR</v>
      </c>
      <c r="F144" s="28">
        <v>1.0</v>
      </c>
      <c r="G144" s="28" t="s">
        <v>656</v>
      </c>
      <c r="H144" s="28" t="s">
        <v>522</v>
      </c>
      <c r="I144" s="34" t="s">
        <v>671</v>
      </c>
    </row>
    <row r="145" ht="15.75" customHeight="1">
      <c r="A145" s="23"/>
      <c r="B145" s="27" t="s">
        <v>109</v>
      </c>
      <c r="C145" s="6" t="str">
        <f>VLOOKUP(B145,Sheet3!$B$2:$E$311,2,FALSE)</f>
        <v>B004</v>
      </c>
      <c r="D145" s="19" t="str">
        <f>VLOOKUP(B145,Sheet3!$B$2:$E$311,3,)</f>
        <v>BAHAN BAKU LUUCA</v>
      </c>
      <c r="E145" s="19" t="str">
        <f>VLOOKUP(B145,Sheet3!$B$2:$E$311,4,)</f>
        <v>GR</v>
      </c>
      <c r="F145" s="28" t="s">
        <v>708</v>
      </c>
      <c r="G145" s="28" t="s">
        <v>656</v>
      </c>
      <c r="H145" s="28" t="s">
        <v>561</v>
      </c>
      <c r="I145" s="34" t="s">
        <v>671</v>
      </c>
    </row>
    <row r="146" ht="15.75" customHeight="1">
      <c r="A146" s="23"/>
      <c r="B146" s="27" t="s">
        <v>30</v>
      </c>
      <c r="C146" s="6" t="str">
        <f>VLOOKUP(B146,Sheet3!$B$2:$E$311,2,FALSE)</f>
        <v>B004</v>
      </c>
      <c r="D146" s="19" t="str">
        <f>VLOOKUP(B146,Sheet3!$B$2:$E$311,3,)</f>
        <v>BAHAN BAKU LUUCA</v>
      </c>
      <c r="E146" s="28" t="s">
        <v>37</v>
      </c>
      <c r="F146" s="28">
        <v>29.0</v>
      </c>
      <c r="G146" s="28" t="s">
        <v>528</v>
      </c>
      <c r="H146" s="28" t="s">
        <v>561</v>
      </c>
      <c r="I146" s="34" t="s">
        <v>671</v>
      </c>
    </row>
    <row r="147" ht="15.75" customHeight="1">
      <c r="A147" s="27" t="s">
        <v>710</v>
      </c>
      <c r="B147" s="27" t="s">
        <v>69</v>
      </c>
      <c r="C147" s="6" t="str">
        <f>VLOOKUP(B147,Sheet3!$B$2:$E$311,2,FALSE)</f>
        <v>B004</v>
      </c>
      <c r="D147" s="19" t="str">
        <f>VLOOKUP(B147,Sheet3!$B$2:$E$311,3,)</f>
        <v>BAHAN BAKU LUUCA</v>
      </c>
      <c r="E147" s="28" t="s">
        <v>37</v>
      </c>
      <c r="F147" s="28">
        <v>7.0</v>
      </c>
      <c r="G147" s="28" t="s">
        <v>528</v>
      </c>
      <c r="H147" s="28" t="s">
        <v>541</v>
      </c>
      <c r="I147" s="34" t="s">
        <v>671</v>
      </c>
    </row>
    <row r="148" ht="15.75" customHeight="1">
      <c r="A148" s="23"/>
      <c r="B148" s="27" t="s">
        <v>30</v>
      </c>
      <c r="C148" s="6" t="str">
        <f>VLOOKUP(B148,Sheet3!$B$2:$E$311,2,FALSE)</f>
        <v>B004</v>
      </c>
      <c r="D148" s="19" t="str">
        <f>VLOOKUP(B148,Sheet3!$B$2:$E$311,3,)</f>
        <v>BAHAN BAKU LUUCA</v>
      </c>
      <c r="E148" s="28" t="s">
        <v>37</v>
      </c>
      <c r="F148" s="28">
        <v>26.0</v>
      </c>
      <c r="G148" s="28" t="s">
        <v>528</v>
      </c>
      <c r="H148" s="28" t="s">
        <v>541</v>
      </c>
      <c r="I148" s="34" t="s">
        <v>671</v>
      </c>
    </row>
    <row r="149" ht="15.75" customHeight="1">
      <c r="A149" s="23"/>
      <c r="B149" s="27" t="s">
        <v>30</v>
      </c>
      <c r="C149" s="6" t="str">
        <f>VLOOKUP(B149,Sheet3!$B$2:$E$311,2,FALSE)</f>
        <v>B004</v>
      </c>
      <c r="D149" s="19" t="str">
        <f>VLOOKUP(B149,Sheet3!$B$2:$E$311,3,)</f>
        <v>BAHAN BAKU LUUCA</v>
      </c>
      <c r="E149" s="28" t="s">
        <v>37</v>
      </c>
      <c r="F149" s="28">
        <v>8.0</v>
      </c>
      <c r="G149" s="28" t="s">
        <v>528</v>
      </c>
      <c r="H149" s="28" t="s">
        <v>541</v>
      </c>
      <c r="I149" s="34" t="s">
        <v>671</v>
      </c>
    </row>
    <row r="150" ht="15.75" customHeight="1">
      <c r="A150" s="23"/>
      <c r="B150" s="27" t="s">
        <v>30</v>
      </c>
      <c r="C150" s="6" t="str">
        <f>VLOOKUP(B150,Sheet3!$B$2:$E$311,2,FALSE)</f>
        <v>B004</v>
      </c>
      <c r="D150" s="19" t="str">
        <f>VLOOKUP(B150,Sheet3!$B$2:$E$311,3,)</f>
        <v>BAHAN BAKU LUUCA</v>
      </c>
      <c r="E150" s="28" t="s">
        <v>37</v>
      </c>
      <c r="F150" s="28">
        <v>1.0</v>
      </c>
      <c r="G150" s="28" t="s">
        <v>528</v>
      </c>
      <c r="H150" s="28" t="s">
        <v>541</v>
      </c>
      <c r="I150" s="34" t="s">
        <v>671</v>
      </c>
    </row>
    <row r="151" ht="15.75" customHeight="1">
      <c r="A151" s="26">
        <v>46112.0</v>
      </c>
      <c r="B151" s="27" t="s">
        <v>30</v>
      </c>
      <c r="C151" s="6" t="str">
        <f>VLOOKUP(B151,Sheet3!$B$2:$E$311,2,FALSE)</f>
        <v>B004</v>
      </c>
      <c r="D151" s="19" t="str">
        <f>VLOOKUP(B151,Sheet3!$B$2:$E$311,3,)</f>
        <v>BAHAN BAKU LUUCA</v>
      </c>
      <c r="E151" s="28" t="s">
        <v>37</v>
      </c>
      <c r="F151" s="28">
        <v>5.0</v>
      </c>
      <c r="G151" s="28" t="s">
        <v>528</v>
      </c>
      <c r="H151" s="28" t="s">
        <v>595</v>
      </c>
      <c r="I151" s="34" t="s">
        <v>671</v>
      </c>
    </row>
    <row r="152" ht="15.75" customHeight="1">
      <c r="A152" s="23"/>
      <c r="B152" s="27" t="s">
        <v>69</v>
      </c>
      <c r="C152" s="6" t="str">
        <f>VLOOKUP(B152,Sheet3!$B$2:$E$311,2,FALSE)</f>
        <v>B004</v>
      </c>
      <c r="D152" s="19" t="str">
        <f>VLOOKUP(B152,Sheet3!$B$2:$E$311,3,)</f>
        <v>BAHAN BAKU LUUCA</v>
      </c>
      <c r="E152" s="28" t="s">
        <v>37</v>
      </c>
      <c r="F152" s="28">
        <v>5.0</v>
      </c>
      <c r="G152" s="28" t="s">
        <v>528</v>
      </c>
      <c r="H152" s="28" t="s">
        <v>595</v>
      </c>
      <c r="I152" s="34" t="s">
        <v>671</v>
      </c>
    </row>
    <row r="153" ht="15.75" customHeight="1">
      <c r="A153" s="23"/>
      <c r="B153" s="27" t="s">
        <v>109</v>
      </c>
      <c r="C153" s="6" t="str">
        <f>VLOOKUP(B153,Sheet3!$B$2:$E$311,2,FALSE)</f>
        <v>B004</v>
      </c>
      <c r="D153" s="19" t="str">
        <f>VLOOKUP(B153,Sheet3!$B$2:$E$311,3,)</f>
        <v>BAHAN BAKU LUUCA</v>
      </c>
      <c r="E153" s="19" t="str">
        <f>VLOOKUP(B153,Sheet3!$B$2:$E$311,4,)</f>
        <v>GR</v>
      </c>
      <c r="F153" s="28" t="s">
        <v>718</v>
      </c>
      <c r="G153" s="28" t="s">
        <v>656</v>
      </c>
      <c r="H153" s="28" t="s">
        <v>595</v>
      </c>
      <c r="I153" s="34" t="s">
        <v>671</v>
      </c>
    </row>
    <row r="154" ht="15.75" customHeight="1">
      <c r="A154" s="23"/>
      <c r="B154" s="27" t="s">
        <v>108</v>
      </c>
      <c r="C154" s="6" t="str">
        <f>VLOOKUP(B154,Sheet3!$B$2:$E$311,2,FALSE)</f>
        <v>B004</v>
      </c>
      <c r="D154" s="19" t="str">
        <f>VLOOKUP(B154,Sheet3!$B$2:$E$311,3,)</f>
        <v>BAHAN BAKU LUUCA</v>
      </c>
      <c r="E154" s="19" t="str">
        <f>VLOOKUP(B154,Sheet3!$B$2:$E$311,4,)</f>
        <v>GR</v>
      </c>
      <c r="F154" s="28" t="s">
        <v>722</v>
      </c>
      <c r="G154" s="28" t="s">
        <v>525</v>
      </c>
      <c r="H154" s="28" t="s">
        <v>723</v>
      </c>
      <c r="I154" s="34" t="s">
        <v>671</v>
      </c>
    </row>
    <row r="155" ht="15.75" customHeight="1">
      <c r="A155" s="23"/>
      <c r="B155" s="27" t="s">
        <v>108</v>
      </c>
      <c r="C155" s="6" t="str">
        <f>VLOOKUP(B155,Sheet3!$B$2:$E$311,2,FALSE)</f>
        <v>B004</v>
      </c>
      <c r="D155" s="19" t="str">
        <f>VLOOKUP(B155,Sheet3!$B$2:$E$311,3,)</f>
        <v>BAHAN BAKU LUUCA</v>
      </c>
      <c r="E155" s="19" t="str">
        <f>VLOOKUP(B155,Sheet3!$B$2:$E$311,4,)</f>
        <v>GR</v>
      </c>
      <c r="F155" s="28">
        <v>69.0</v>
      </c>
      <c r="G155" s="28" t="s">
        <v>496</v>
      </c>
      <c r="H155" s="28" t="s">
        <v>723</v>
      </c>
      <c r="I155" s="34" t="s">
        <v>671</v>
      </c>
    </row>
    <row r="156" ht="15.75" customHeight="1">
      <c r="A156" s="23"/>
      <c r="B156" s="27" t="s">
        <v>175</v>
      </c>
      <c r="C156" s="6" t="str">
        <f>VLOOKUP(B156,Sheet3!$B$2:$E$311,2,FALSE)</f>
        <v>P006</v>
      </c>
      <c r="D156" s="19" t="str">
        <f>VLOOKUP(B156,Sheet3!$B$2:$E$311,3,)</f>
        <v>PRODUKSI STOK LUUCA</v>
      </c>
      <c r="E156" s="19" t="str">
        <f>VLOOKUP(B156,Sheet3!$B$2:$E$311,4,)</f>
        <v>GR</v>
      </c>
      <c r="F156" s="28">
        <v>100.0</v>
      </c>
      <c r="G156" s="28" t="s">
        <v>529</v>
      </c>
      <c r="H156" s="28" t="s">
        <v>561</v>
      </c>
      <c r="I156" s="34" t="s">
        <v>671</v>
      </c>
    </row>
    <row r="157" ht="15.75" customHeight="1">
      <c r="A157" s="26">
        <v>46113.0</v>
      </c>
      <c r="B157" s="27" t="s">
        <v>108</v>
      </c>
      <c r="C157" s="6" t="str">
        <f>VLOOKUP(B157,Sheet3!$B$2:$E$311,2,FALSE)</f>
        <v>B004</v>
      </c>
      <c r="D157" s="19" t="str">
        <f>VLOOKUP(B157,Sheet3!$B$2:$E$311,3,)</f>
        <v>BAHAN BAKU LUUCA</v>
      </c>
      <c r="E157" s="19" t="str">
        <f>VLOOKUP(B157,Sheet3!$B$2:$E$311,4,)</f>
        <v>GR</v>
      </c>
      <c r="F157" s="28" t="s">
        <v>729</v>
      </c>
      <c r="G157" s="28" t="s">
        <v>525</v>
      </c>
      <c r="H157" s="28" t="s">
        <v>615</v>
      </c>
      <c r="I157" s="34" t="s">
        <v>671</v>
      </c>
    </row>
    <row r="158" ht="15.75" customHeight="1">
      <c r="A158" s="23"/>
      <c r="B158" s="27" t="s">
        <v>53</v>
      </c>
      <c r="C158" s="6" t="str">
        <f>VLOOKUP(B158,Sheet3!$B$2:$E$311,2,FALSE)</f>
        <v>B004</v>
      </c>
      <c r="D158" s="19" t="str">
        <f>VLOOKUP(B158,Sheet3!$B$2:$E$311,3,)</f>
        <v>BAHAN BAKU LUUCA</v>
      </c>
      <c r="E158" s="19" t="str">
        <f>VLOOKUP(B158,Sheet3!$B$2:$E$311,4,)</f>
        <v>GR</v>
      </c>
      <c r="F158" s="28">
        <v>93.0</v>
      </c>
      <c r="G158" s="28" t="s">
        <v>732</v>
      </c>
      <c r="H158" s="28" t="s">
        <v>723</v>
      </c>
      <c r="I158" s="34" t="s">
        <v>671</v>
      </c>
    </row>
    <row r="159" ht="15.75" customHeight="1">
      <c r="A159" s="23"/>
      <c r="B159" s="27" t="s">
        <v>109</v>
      </c>
      <c r="C159" s="6" t="str">
        <f>VLOOKUP(B159,Sheet3!$B$2:$E$311,2,FALSE)</f>
        <v>B004</v>
      </c>
      <c r="D159" s="19" t="str">
        <f>VLOOKUP(B159,Sheet3!$B$2:$E$311,3,)</f>
        <v>BAHAN BAKU LUUCA</v>
      </c>
      <c r="E159" s="19" t="str">
        <f>VLOOKUP(B159,Sheet3!$B$2:$E$311,4,)</f>
        <v>GR</v>
      </c>
      <c r="F159" s="28">
        <v>6.0</v>
      </c>
      <c r="G159" s="28" t="s">
        <v>656</v>
      </c>
      <c r="H159" s="28" t="s">
        <v>561</v>
      </c>
      <c r="I159" s="34" t="s">
        <v>671</v>
      </c>
    </row>
    <row r="160" ht="15.75" customHeight="1">
      <c r="A160" s="23"/>
      <c r="B160" s="27" t="s">
        <v>30</v>
      </c>
      <c r="C160" s="6" t="str">
        <f>VLOOKUP(B160,Sheet3!$B$2:$E$311,2,FALSE)</f>
        <v>B004</v>
      </c>
      <c r="D160" s="19" t="str">
        <f>VLOOKUP(B160,Sheet3!$B$2:$E$311,3,)</f>
        <v>BAHAN BAKU LUUCA</v>
      </c>
      <c r="E160" s="28" t="s">
        <v>37</v>
      </c>
      <c r="F160" s="28">
        <v>4.0</v>
      </c>
      <c r="G160" s="28" t="s">
        <v>528</v>
      </c>
      <c r="H160" s="28" t="s">
        <v>561</v>
      </c>
      <c r="I160" s="34" t="s">
        <v>671</v>
      </c>
    </row>
    <row r="161" ht="15.75" customHeight="1">
      <c r="A161" s="23"/>
      <c r="B161" s="27" t="s">
        <v>175</v>
      </c>
      <c r="C161" s="6" t="str">
        <f>VLOOKUP(B161,Sheet3!$B$2:$E$311,2,FALSE)</f>
        <v>P006</v>
      </c>
      <c r="D161" s="19" t="str">
        <f>VLOOKUP(B161,Sheet3!$B$2:$E$311,3,)</f>
        <v>PRODUKSI STOK LUUCA</v>
      </c>
      <c r="E161" s="19" t="str">
        <f>VLOOKUP(B161,Sheet3!$B$2:$E$311,4,)</f>
        <v>GR</v>
      </c>
      <c r="F161" s="28">
        <v>150.0</v>
      </c>
      <c r="G161" s="28" t="s">
        <v>741</v>
      </c>
      <c r="H161" s="28" t="s">
        <v>629</v>
      </c>
      <c r="I161" s="35"/>
    </row>
    <row r="162" ht="15.75" customHeight="1">
      <c r="A162" s="23"/>
      <c r="B162" s="27" t="s">
        <v>34</v>
      </c>
      <c r="C162" s="6" t="str">
        <f>VLOOKUP(B162,Sheet3!$B$2:$E$311,2,FALSE)</f>
        <v>B004</v>
      </c>
      <c r="D162" s="19" t="str">
        <f>VLOOKUP(B163,Sheet3!$B$2:$E$311,3,)</f>
        <v>BAHAN BAKU LUUCA</v>
      </c>
      <c r="E162" s="19" t="str">
        <f>VLOOKUP(B162,Sheet3!$B$2:$E$311,4,)</f>
        <v>GR</v>
      </c>
      <c r="F162" s="28">
        <v>75.0</v>
      </c>
      <c r="G162" s="28" t="s">
        <v>741</v>
      </c>
      <c r="H162" s="28" t="s">
        <v>629</v>
      </c>
      <c r="I162" s="35"/>
    </row>
    <row r="163" ht="15.75" customHeight="1">
      <c r="A163" s="23"/>
      <c r="B163" s="27" t="s">
        <v>108</v>
      </c>
      <c r="C163" s="6" t="str">
        <f>VLOOKUP(B163,Sheet3!$B$2:$E$311,2,FALSE)</f>
        <v>B004</v>
      </c>
      <c r="D163" s="19" t="str">
        <f>VLOOKUP(B163,Sheet3!$B$2:$E$311,3,)</f>
        <v>BAHAN BAKU LUUCA</v>
      </c>
      <c r="E163" s="19" t="str">
        <f>VLOOKUP(B163,Sheet3!$B$2:$E$311,4,)</f>
        <v>GR</v>
      </c>
      <c r="F163" s="28">
        <v>15.0</v>
      </c>
      <c r="G163" s="28" t="s">
        <v>741</v>
      </c>
      <c r="H163" s="28" t="s">
        <v>629</v>
      </c>
      <c r="I163" s="35"/>
    </row>
    <row r="164" ht="15.75" customHeight="1">
      <c r="A164" s="23"/>
      <c r="B164" s="27" t="s">
        <v>33</v>
      </c>
      <c r="C164" s="6" t="str">
        <f>VLOOKUP(B164,Sheet3!$B$2:$E$311,2,FALSE)</f>
        <v>B004</v>
      </c>
      <c r="D164" s="19" t="str">
        <f>VLOOKUP(B164,Sheet3!$B$2:$E$311,3,)</f>
        <v>BAHAN BAKU LUUCA</v>
      </c>
      <c r="E164" s="19" t="str">
        <f>VLOOKUP(B164,Sheet3!$B$2:$E$311,4,)</f>
        <v>GR</v>
      </c>
      <c r="F164" s="19"/>
      <c r="G164" s="28" t="s">
        <v>741</v>
      </c>
      <c r="H164" s="28" t="s">
        <v>629</v>
      </c>
      <c r="I164" s="35"/>
    </row>
    <row r="165" ht="15.75" customHeight="1">
      <c r="A165" s="23"/>
      <c r="B165" s="27" t="s">
        <v>53</v>
      </c>
      <c r="C165" s="6" t="str">
        <f>VLOOKUP(B165,Sheet3!$B$2:$E$311,2,FALSE)</f>
        <v>B004</v>
      </c>
      <c r="D165" s="19" t="str">
        <f>VLOOKUP(B165,Sheet3!$B$2:$E$311,3,)</f>
        <v>BAHAN BAKU LUUCA</v>
      </c>
      <c r="E165" s="19" t="str">
        <f>VLOOKUP(B165,Sheet3!$B$2:$E$311,4,)</f>
        <v>GR</v>
      </c>
      <c r="F165" s="28" t="s">
        <v>750</v>
      </c>
      <c r="G165" s="28" t="s">
        <v>538</v>
      </c>
      <c r="H165" s="38"/>
      <c r="I165" s="34" t="s">
        <v>671</v>
      </c>
    </row>
    <row r="166" ht="15.75" customHeight="1">
      <c r="A166" s="23"/>
      <c r="B166" s="27" t="s">
        <v>76</v>
      </c>
      <c r="C166" s="6" t="str">
        <f>VLOOKUP(B166,Sheet3!$B$2:$E$311,2,FALSE)</f>
        <v>B004</v>
      </c>
      <c r="D166" s="19" t="str">
        <f>VLOOKUP(B166,Sheet3!$B$2:$E$311,3,)</f>
        <v>BAHAN BAKU LUUCA</v>
      </c>
      <c r="E166" s="19" t="str">
        <f>VLOOKUP(B166,Sheet3!$B$2:$E$311,4,)</f>
        <v>PCS</v>
      </c>
      <c r="F166" s="28">
        <v>1.0</v>
      </c>
      <c r="G166" s="28" t="s">
        <v>755</v>
      </c>
      <c r="H166" s="28" t="s">
        <v>595</v>
      </c>
      <c r="I166" s="34" t="s">
        <v>671</v>
      </c>
    </row>
    <row r="167" ht="15.75" customHeight="1">
      <c r="A167" s="26">
        <v>46114.0</v>
      </c>
      <c r="B167" s="27" t="s">
        <v>30</v>
      </c>
      <c r="C167" s="6" t="str">
        <f>VLOOKUP(B167,Sheet3!$B$2:$E$311,2,FALSE)</f>
        <v>B004</v>
      </c>
      <c r="D167" s="19" t="str">
        <f>VLOOKUP(B167,Sheet3!$B$2:$E$311,3,)</f>
        <v>BAHAN BAKU LUUCA</v>
      </c>
      <c r="E167" s="28" t="s">
        <v>37</v>
      </c>
      <c r="F167" s="28">
        <v>30.0</v>
      </c>
      <c r="G167" s="28" t="s">
        <v>528</v>
      </c>
      <c r="H167" s="28" t="s">
        <v>541</v>
      </c>
      <c r="I167" s="34" t="s">
        <v>671</v>
      </c>
    </row>
    <row r="168" ht="15.75" customHeight="1">
      <c r="A168" s="23"/>
      <c r="B168" s="27" t="s">
        <v>108</v>
      </c>
      <c r="C168" s="6" t="str">
        <f>VLOOKUP(B168,Sheet3!$B$2:$E$311,2,FALSE)</f>
        <v>B004</v>
      </c>
      <c r="D168" s="19" t="str">
        <f>VLOOKUP(B168,Sheet3!$B$2:$E$311,3,)</f>
        <v>BAHAN BAKU LUUCA</v>
      </c>
      <c r="E168" s="19" t="str">
        <f>VLOOKUP(B168,Sheet3!$B$2:$E$311,4,)</f>
        <v>GR</v>
      </c>
      <c r="F168" s="28">
        <v>113.0</v>
      </c>
      <c r="G168" s="28" t="s">
        <v>496</v>
      </c>
      <c r="H168" s="28" t="s">
        <v>522</v>
      </c>
      <c r="I168" s="34" t="s">
        <v>671</v>
      </c>
    </row>
    <row r="169" ht="15.75" customHeight="1">
      <c r="A169" s="23"/>
      <c r="B169" s="27" t="s">
        <v>108</v>
      </c>
      <c r="C169" s="6" t="str">
        <f>VLOOKUP(B169,Sheet3!$B$2:$E$311,2,FALSE)</f>
        <v>B004</v>
      </c>
      <c r="D169" s="19" t="str">
        <f>VLOOKUP(B169,Sheet3!$B$2:$E$311,3,)</f>
        <v>BAHAN BAKU LUUCA</v>
      </c>
      <c r="E169" s="19" t="str">
        <f>VLOOKUP(B169,Sheet3!$B$2:$E$311,4,)</f>
        <v>GR</v>
      </c>
      <c r="F169" s="28">
        <v>50.0</v>
      </c>
      <c r="G169" s="28" t="s">
        <v>525</v>
      </c>
      <c r="H169" s="28" t="s">
        <v>522</v>
      </c>
      <c r="I169" s="34" t="s">
        <v>671</v>
      </c>
    </row>
    <row r="170" ht="15.75" customHeight="1">
      <c r="A170" s="23"/>
      <c r="B170" s="27" t="s">
        <v>53</v>
      </c>
      <c r="C170" s="6" t="str">
        <f>VLOOKUP(B170,Sheet3!$B$2:$E$311,2,FALSE)</f>
        <v>B004</v>
      </c>
      <c r="D170" s="19" t="str">
        <f>VLOOKUP(B170,Sheet3!$B$2:$E$311,3,)</f>
        <v>BAHAN BAKU LUUCA</v>
      </c>
      <c r="E170" s="19" t="str">
        <f>VLOOKUP(B170,Sheet3!$B$2:$E$311,4,)</f>
        <v>GR</v>
      </c>
      <c r="F170" s="28" t="s">
        <v>759</v>
      </c>
      <c r="G170" s="28" t="s">
        <v>538</v>
      </c>
      <c r="H170" s="28" t="s">
        <v>541</v>
      </c>
      <c r="I170" s="34" t="s">
        <v>671</v>
      </c>
    </row>
    <row r="171" ht="15.75" customHeight="1">
      <c r="A171" s="26"/>
      <c r="B171" s="27" t="s">
        <v>53</v>
      </c>
      <c r="C171" s="6" t="str">
        <f>VLOOKUP(B171,Sheet3!$B$2:$E$311,2,FALSE)</f>
        <v>B004</v>
      </c>
      <c r="D171" s="19" t="str">
        <f>VLOOKUP(B171,Sheet3!$B$2:$E$311,3,)</f>
        <v>BAHAN BAKU LUUCA</v>
      </c>
      <c r="E171" s="19" t="str">
        <f>VLOOKUP(B171,Sheet3!$B$2:$E$311,4,)</f>
        <v>GR</v>
      </c>
      <c r="F171" s="28" t="s">
        <v>761</v>
      </c>
      <c r="G171" s="28" t="s">
        <v>619</v>
      </c>
      <c r="H171" s="28" t="s">
        <v>541</v>
      </c>
      <c r="I171" s="34" t="s">
        <v>671</v>
      </c>
    </row>
    <row r="172" ht="15.75" customHeight="1">
      <c r="A172" s="26">
        <v>46115.0</v>
      </c>
      <c r="B172" s="27" t="s">
        <v>38</v>
      </c>
      <c r="C172" s="6" t="str">
        <f>VLOOKUP(B172,Sheet3!$B$2:$E$311,2,FALSE)</f>
        <v>P005</v>
      </c>
      <c r="D172" s="19" t="str">
        <f>VLOOKUP(B172,Sheet3!$B$2:$E$311,3,)</f>
        <v>PACKAGING LUUCA</v>
      </c>
      <c r="E172" s="19" t="str">
        <f>VLOOKUP(B172,Sheet3!$B$2:$E$311,4,)</f>
        <v>PCS</v>
      </c>
      <c r="F172" s="28">
        <v>1.0</v>
      </c>
      <c r="G172" s="28" t="s">
        <v>764</v>
      </c>
      <c r="H172" s="28" t="s">
        <v>541</v>
      </c>
      <c r="I172" s="34" t="s">
        <v>671</v>
      </c>
    </row>
    <row r="173" ht="15.75" customHeight="1">
      <c r="A173" s="23"/>
      <c r="B173" s="27" t="s">
        <v>53</v>
      </c>
      <c r="C173" s="6" t="str">
        <f>VLOOKUP(B173,Sheet3!$B$2:$E$311,2,FALSE)</f>
        <v>B004</v>
      </c>
      <c r="D173" s="19" t="str">
        <f>VLOOKUP(B173,Sheet3!$B$2:$E$311,3,)</f>
        <v>BAHAN BAKU LUUCA</v>
      </c>
      <c r="E173" s="19" t="str">
        <f>VLOOKUP(B173,Sheet3!$B$2:$E$311,4,)</f>
        <v>GR</v>
      </c>
      <c r="F173" s="28">
        <v>82.0</v>
      </c>
      <c r="G173" s="28" t="s">
        <v>538</v>
      </c>
      <c r="H173" s="28" t="s">
        <v>561</v>
      </c>
      <c r="I173" s="34" t="s">
        <v>671</v>
      </c>
    </row>
    <row r="174" ht="15.75" customHeight="1">
      <c r="A174" s="23"/>
      <c r="B174" s="27" t="s">
        <v>108</v>
      </c>
      <c r="C174" s="6" t="str">
        <f>VLOOKUP(B174,Sheet3!$B$2:$E$311,2,FALSE)</f>
        <v>B004</v>
      </c>
      <c r="D174" s="19" t="str">
        <f>VLOOKUP(B174,Sheet3!$B$2:$E$311,3,)</f>
        <v>BAHAN BAKU LUUCA</v>
      </c>
      <c r="E174" s="19" t="str">
        <f>VLOOKUP(B174,Sheet3!$B$2:$E$311,4,)</f>
        <v>GR</v>
      </c>
      <c r="F174" s="28">
        <v>14.0</v>
      </c>
      <c r="G174" s="28" t="s">
        <v>525</v>
      </c>
      <c r="H174" s="28" t="s">
        <v>561</v>
      </c>
      <c r="I174" s="34" t="s">
        <v>671</v>
      </c>
    </row>
    <row r="175" ht="15.75" customHeight="1">
      <c r="A175" s="23"/>
      <c r="B175" s="27" t="s">
        <v>36</v>
      </c>
      <c r="C175" s="6" t="str">
        <f>VLOOKUP(B175,Sheet3!$B$2:$E$311,2,FALSE)</f>
        <v>B004</v>
      </c>
      <c r="D175" s="19" t="str">
        <f>VLOOKUP(B175,Sheet3!$B$2:$E$311,3,)</f>
        <v>BAHAN BAKU LUUCA</v>
      </c>
      <c r="E175" s="19" t="str">
        <f>VLOOKUP(B175,Sheet3!$B$2:$E$311,4,)</f>
        <v>PCS</v>
      </c>
      <c r="F175" s="28">
        <v>2.0</v>
      </c>
      <c r="G175" s="28" t="s">
        <v>644</v>
      </c>
      <c r="H175" s="28" t="s">
        <v>595</v>
      </c>
      <c r="I175" s="34" t="s">
        <v>671</v>
      </c>
    </row>
    <row r="176" ht="15.75" customHeight="1">
      <c r="A176" s="23"/>
      <c r="B176" s="27" t="s">
        <v>38</v>
      </c>
      <c r="C176" s="6" t="str">
        <f>VLOOKUP(B176,Sheet3!$B$2:$E$311,2,FALSE)</f>
        <v>P005</v>
      </c>
      <c r="D176" s="19" t="str">
        <f>VLOOKUP(B176,Sheet3!$B$2:$E$311,3,)</f>
        <v>PACKAGING LUUCA</v>
      </c>
      <c r="E176" s="19" t="str">
        <f>VLOOKUP(B176,Sheet3!$B$2:$E$311,4,)</f>
        <v>PCS</v>
      </c>
      <c r="F176" s="28">
        <v>2.0</v>
      </c>
      <c r="G176" s="28" t="s">
        <v>644</v>
      </c>
      <c r="H176" s="28" t="s">
        <v>595</v>
      </c>
      <c r="I176" s="34" t="s">
        <v>671</v>
      </c>
    </row>
    <row r="177" ht="15.75" customHeight="1">
      <c r="A177" s="23"/>
      <c r="B177" s="27" t="s">
        <v>30</v>
      </c>
      <c r="C177" s="6" t="str">
        <f>VLOOKUP(B177,Sheet3!$B$2:$E$311,2,FALSE)</f>
        <v>B004</v>
      </c>
      <c r="D177" s="19" t="str">
        <f>VLOOKUP(B177,Sheet3!$B$2:$E$311,3,)</f>
        <v>BAHAN BAKU LUUCA</v>
      </c>
      <c r="E177" s="28" t="s">
        <v>37</v>
      </c>
      <c r="F177" s="28">
        <v>6.0</v>
      </c>
      <c r="G177" s="28" t="s">
        <v>528</v>
      </c>
      <c r="H177" s="28" t="s">
        <v>553</v>
      </c>
      <c r="I177" s="34" t="s">
        <v>671</v>
      </c>
    </row>
    <row r="178" ht="15.75" customHeight="1">
      <c r="A178" s="23"/>
      <c r="B178" s="27" t="s">
        <v>108</v>
      </c>
      <c r="C178" s="6" t="str">
        <f>VLOOKUP(B178,Sheet3!$B$2:$E$311,2,FALSE)</f>
        <v>B004</v>
      </c>
      <c r="D178" s="19" t="str">
        <f>VLOOKUP(B178,Sheet3!$B$2:$E$311,3,)</f>
        <v>BAHAN BAKU LUUCA</v>
      </c>
      <c r="E178" s="19" t="str">
        <f>VLOOKUP(B178,Sheet3!$B$2:$E$311,4,)</f>
        <v>GR</v>
      </c>
      <c r="F178" s="28" t="s">
        <v>768</v>
      </c>
      <c r="G178" s="28" t="s">
        <v>525</v>
      </c>
      <c r="H178" s="28" t="s">
        <v>553</v>
      </c>
      <c r="I178" s="34" t="s">
        <v>671</v>
      </c>
    </row>
    <row r="179" ht="15.75" customHeight="1">
      <c r="A179" s="23"/>
      <c r="B179" s="27" t="s">
        <v>175</v>
      </c>
      <c r="C179" s="6" t="str">
        <f>VLOOKUP(B179,Sheet3!$B$2:$E$311,2,FALSE)</f>
        <v>P006</v>
      </c>
      <c r="D179" s="19" t="str">
        <f>VLOOKUP(B179,Sheet3!$B$2:$E$311,3,)</f>
        <v>PRODUKSI STOK LUUCA</v>
      </c>
      <c r="E179" s="19" t="str">
        <f>VLOOKUP(B179,Sheet3!$B$2:$E$311,4,)</f>
        <v>GR</v>
      </c>
      <c r="F179" s="28">
        <v>100.0</v>
      </c>
      <c r="G179" s="28" t="s">
        <v>529</v>
      </c>
      <c r="H179" s="28" t="s">
        <v>522</v>
      </c>
      <c r="I179" s="35"/>
    </row>
    <row r="180" ht="15.75" customHeight="1">
      <c r="A180" s="23"/>
      <c r="B180" s="27" t="s">
        <v>53</v>
      </c>
      <c r="C180" s="6" t="str">
        <f>VLOOKUP(B180,Sheet3!$B$2:$E$311,2,FALSE)</f>
        <v>B004</v>
      </c>
      <c r="D180" s="19" t="str">
        <f>VLOOKUP(B180,Sheet3!$B$2:$E$311,3,)</f>
        <v>BAHAN BAKU LUUCA</v>
      </c>
      <c r="E180" s="19" t="str">
        <f>VLOOKUP(B180,Sheet3!$B$2:$E$311,4,)</f>
        <v>GR</v>
      </c>
      <c r="F180" s="28">
        <v>52.0</v>
      </c>
      <c r="G180" s="28" t="s">
        <v>525</v>
      </c>
      <c r="H180" s="28" t="s">
        <v>522</v>
      </c>
      <c r="I180" s="35"/>
    </row>
    <row r="181" ht="15.75" customHeight="1">
      <c r="A181" s="23"/>
      <c r="B181" s="27" t="s">
        <v>108</v>
      </c>
      <c r="C181" s="6" t="str">
        <f>VLOOKUP(B181,Sheet3!$B$2:$E$311,2,FALSE)</f>
        <v>B004</v>
      </c>
      <c r="D181" s="19" t="str">
        <f>VLOOKUP(B181,Sheet3!$B$2:$E$311,3,)</f>
        <v>BAHAN BAKU LUUCA</v>
      </c>
      <c r="E181" s="19" t="str">
        <f>VLOOKUP(B181,Sheet3!$B$2:$E$311,4,)</f>
        <v>GR</v>
      </c>
      <c r="F181" s="28">
        <v>13.0</v>
      </c>
      <c r="G181" s="28" t="s">
        <v>496</v>
      </c>
      <c r="H181" s="28" t="s">
        <v>522</v>
      </c>
      <c r="I181" s="35"/>
    </row>
    <row r="182" ht="15.75" customHeight="1">
      <c r="A182" s="23"/>
      <c r="B182" s="27" t="s">
        <v>108</v>
      </c>
      <c r="C182" s="6" t="str">
        <f>VLOOKUP(B182,Sheet3!$B$2:$E$311,2,FALSE)</f>
        <v>B004</v>
      </c>
      <c r="D182" s="19" t="str">
        <f>VLOOKUP(B182,Sheet3!$B$2:$E$311,3,)</f>
        <v>BAHAN BAKU LUUCA</v>
      </c>
      <c r="E182" s="19" t="str">
        <f>VLOOKUP(B182,Sheet3!$B$2:$E$311,4,)</f>
        <v>GR</v>
      </c>
      <c r="F182" s="28">
        <v>18.0</v>
      </c>
      <c r="G182" s="28" t="s">
        <v>525</v>
      </c>
      <c r="H182" s="28" t="s">
        <v>522</v>
      </c>
      <c r="I182" s="34" t="s">
        <v>771</v>
      </c>
    </row>
    <row r="183" ht="15.75" customHeight="1">
      <c r="A183" s="26"/>
      <c r="B183" s="27" t="s">
        <v>30</v>
      </c>
      <c r="C183" s="6" t="str">
        <f>VLOOKUP(B183,Sheet3!$B$2:$E$311,2,FALSE)</f>
        <v>B004</v>
      </c>
      <c r="D183" s="19" t="str">
        <f>VLOOKUP(B183,Sheet3!$B$2:$E$311,3,)</f>
        <v>BAHAN BAKU LUUCA</v>
      </c>
      <c r="E183" s="28" t="s">
        <v>37</v>
      </c>
      <c r="F183" s="28">
        <v>19.0</v>
      </c>
      <c r="G183" s="28" t="s">
        <v>528</v>
      </c>
      <c r="H183" s="28" t="s">
        <v>522</v>
      </c>
      <c r="I183" s="33"/>
    </row>
    <row r="184" ht="15.75" customHeight="1">
      <c r="A184" s="26"/>
      <c r="B184" s="27" t="s">
        <v>108</v>
      </c>
      <c r="C184" s="6" t="str">
        <f>VLOOKUP(B184,Sheet3!$B$2:$E$311,2,FALSE)</f>
        <v>B004</v>
      </c>
      <c r="D184" s="19" t="str">
        <f>VLOOKUP(B184,Sheet3!$B$2:$E$311,3,)</f>
        <v>BAHAN BAKU LUUCA</v>
      </c>
      <c r="E184" s="19" t="str">
        <f>VLOOKUP(B184,Sheet3!$B$2:$E$311,4,)</f>
        <v>GR</v>
      </c>
      <c r="F184" s="28">
        <v>504.0</v>
      </c>
      <c r="G184" s="28" t="s">
        <v>496</v>
      </c>
      <c r="H184" s="28" t="s">
        <v>522</v>
      </c>
      <c r="I184" s="33"/>
    </row>
    <row r="185" ht="15.75" customHeight="1">
      <c r="A185" s="26">
        <v>46116.0</v>
      </c>
      <c r="B185" s="27" t="s">
        <v>108</v>
      </c>
      <c r="C185" s="6" t="str">
        <f>VLOOKUP(B185,Sheet3!$B$2:$E$311,2,FALSE)</f>
        <v>B004</v>
      </c>
      <c r="D185" s="19" t="str">
        <f>VLOOKUP(B185,Sheet3!$B$2:$E$311,3,)</f>
        <v>BAHAN BAKU LUUCA</v>
      </c>
      <c r="E185" s="19" t="str">
        <f>VLOOKUP(B185,Sheet3!$B$2:$E$311,4,)</f>
        <v>GR</v>
      </c>
      <c r="F185" s="28">
        <v>24.0</v>
      </c>
      <c r="G185" s="28" t="s">
        <v>525</v>
      </c>
      <c r="H185" s="28" t="s">
        <v>723</v>
      </c>
      <c r="I185" s="40" t="s">
        <v>671</v>
      </c>
    </row>
    <row r="186" ht="15.75" customHeight="1">
      <c r="A186" s="23"/>
      <c r="B186" s="27" t="s">
        <v>30</v>
      </c>
      <c r="C186" s="6" t="str">
        <f>VLOOKUP(B186,Sheet3!$B$2:$E$311,2,FALSE)</f>
        <v>B004</v>
      </c>
      <c r="D186" s="19" t="str">
        <f>VLOOKUP(B186,Sheet3!$B$2:$E$311,3,)</f>
        <v>BAHAN BAKU LUUCA</v>
      </c>
      <c r="E186" s="28" t="s">
        <v>37</v>
      </c>
      <c r="F186" s="28">
        <v>24.0</v>
      </c>
      <c r="G186" s="28" t="s">
        <v>528</v>
      </c>
      <c r="H186" s="28" t="s">
        <v>723</v>
      </c>
      <c r="I186" s="40" t="s">
        <v>671</v>
      </c>
    </row>
    <row r="187" ht="15.75" customHeight="1">
      <c r="A187" s="23"/>
      <c r="B187" s="27" t="s">
        <v>109</v>
      </c>
      <c r="C187" s="6" t="str">
        <f>VLOOKUP(B187,Sheet3!$B$2:$E$311,2,FALSE)</f>
        <v>B004</v>
      </c>
      <c r="D187" s="19" t="str">
        <f>VLOOKUP(B187,Sheet3!$B$2:$E$311,3,)</f>
        <v>BAHAN BAKU LUUCA</v>
      </c>
      <c r="E187" s="19" t="str">
        <f>VLOOKUP(B187,Sheet3!$B$2:$E$311,4,)</f>
        <v>GR</v>
      </c>
      <c r="F187" s="28" t="s">
        <v>776</v>
      </c>
      <c r="G187" s="28" t="s">
        <v>656</v>
      </c>
      <c r="H187" s="28" t="s">
        <v>541</v>
      </c>
      <c r="I187" s="40" t="s">
        <v>671</v>
      </c>
    </row>
    <row r="188" ht="15.75" customHeight="1">
      <c r="A188" s="23"/>
      <c r="B188" s="27" t="s">
        <v>53</v>
      </c>
      <c r="C188" s="6" t="str">
        <f>VLOOKUP(B188,Sheet3!$B$2:$E$311,2,FALSE)</f>
        <v>B004</v>
      </c>
      <c r="D188" s="19" t="str">
        <f>VLOOKUP(B188,Sheet3!$B$2:$E$311,3,)</f>
        <v>BAHAN BAKU LUUCA</v>
      </c>
      <c r="E188" s="19" t="str">
        <f>VLOOKUP(B188,Sheet3!$B$2:$E$311,4,)</f>
        <v>GR</v>
      </c>
      <c r="F188" s="28" t="s">
        <v>777</v>
      </c>
      <c r="G188" s="28" t="s">
        <v>538</v>
      </c>
      <c r="H188" s="28" t="s">
        <v>615</v>
      </c>
      <c r="I188" s="40" t="s">
        <v>671</v>
      </c>
    </row>
    <row r="189" ht="15.75" customHeight="1">
      <c r="A189" s="23"/>
      <c r="B189" s="27" t="s">
        <v>109</v>
      </c>
      <c r="C189" s="6" t="str">
        <f>VLOOKUP(B189,Sheet3!$B$2:$E$311,2,FALSE)</f>
        <v>B004</v>
      </c>
      <c r="D189" s="19" t="str">
        <f>VLOOKUP(B189,Sheet3!$B$2:$E$311,3,)</f>
        <v>BAHAN BAKU LUUCA</v>
      </c>
      <c r="E189" s="19" t="str">
        <f>VLOOKUP(B189,Sheet3!$B$2:$E$311,4,)</f>
        <v>GR</v>
      </c>
      <c r="F189" s="28" t="s">
        <v>779</v>
      </c>
      <c r="G189" s="28" t="s">
        <v>496</v>
      </c>
      <c r="H189" s="28" t="s">
        <v>541</v>
      </c>
      <c r="I189" s="40" t="s">
        <v>671</v>
      </c>
    </row>
    <row r="190" ht="15.75" customHeight="1">
      <c r="A190" s="23"/>
      <c r="B190" s="27" t="s">
        <v>53</v>
      </c>
      <c r="C190" s="6" t="str">
        <f>VLOOKUP(B190,Sheet3!$B$2:$E$311,2,FALSE)</f>
        <v>B004</v>
      </c>
      <c r="D190" s="19" t="str">
        <f>VLOOKUP(B190,Sheet3!$B$2:$E$311,3,)</f>
        <v>BAHAN BAKU LUUCA</v>
      </c>
      <c r="E190" s="19" t="str">
        <f>VLOOKUP(B190,Sheet3!$B$2:$E$311,4,)</f>
        <v>GR</v>
      </c>
      <c r="F190" s="28">
        <v>87.0</v>
      </c>
      <c r="G190" s="28" t="s">
        <v>538</v>
      </c>
      <c r="H190" s="28" t="s">
        <v>561</v>
      </c>
      <c r="I190" s="40" t="s">
        <v>671</v>
      </c>
    </row>
    <row r="191" ht="15.75" customHeight="1">
      <c r="A191" s="23"/>
      <c r="B191" s="27" t="s">
        <v>30</v>
      </c>
      <c r="C191" s="6" t="str">
        <f>VLOOKUP(B191,Sheet3!$B$2:$E$311,2,FALSE)</f>
        <v>B004</v>
      </c>
      <c r="D191" s="19" t="str">
        <f>VLOOKUP(B191,Sheet3!$B$2:$E$311,3,)</f>
        <v>BAHAN BAKU LUUCA</v>
      </c>
      <c r="E191" s="28" t="s">
        <v>37</v>
      </c>
      <c r="F191" s="28">
        <v>48.0</v>
      </c>
      <c r="G191" s="28" t="s">
        <v>528</v>
      </c>
      <c r="H191" s="28" t="s">
        <v>561</v>
      </c>
      <c r="I191" s="40" t="s">
        <v>671</v>
      </c>
    </row>
    <row r="192" ht="15.75" customHeight="1">
      <c r="A192" s="23"/>
      <c r="B192" s="27" t="s">
        <v>108</v>
      </c>
      <c r="C192" s="6" t="str">
        <f>VLOOKUP(B192,Sheet3!$B$2:$E$311,2,FALSE)</f>
        <v>B004</v>
      </c>
      <c r="D192" s="19" t="str">
        <f>VLOOKUP(B192,Sheet3!$B$2:$E$311,3,)</f>
        <v>BAHAN BAKU LUUCA</v>
      </c>
      <c r="E192" s="19" t="str">
        <f>VLOOKUP(B192,Sheet3!$B$2:$E$311,4,)</f>
        <v>GR</v>
      </c>
      <c r="F192" s="28">
        <v>13.0</v>
      </c>
      <c r="G192" s="28" t="s">
        <v>525</v>
      </c>
      <c r="H192" s="28" t="s">
        <v>561</v>
      </c>
      <c r="I192" s="40" t="s">
        <v>671</v>
      </c>
    </row>
    <row r="193" ht="15.75" customHeight="1">
      <c r="A193" s="23"/>
      <c r="B193" s="27" t="s">
        <v>178</v>
      </c>
      <c r="C193" s="6" t="str">
        <f>VLOOKUP(B193,Sheet3!$B$2:$E$311,2,FALSE)</f>
        <v>P006</v>
      </c>
      <c r="D193" s="19" t="str">
        <f>VLOOKUP(B193,Sheet3!$B$2:$E$311,3,)</f>
        <v>PRODUKSI STOK LUUCA</v>
      </c>
      <c r="E193" s="19" t="str">
        <f>VLOOKUP(B193,Sheet3!$B$2:$E$311,4,)</f>
        <v>GR</v>
      </c>
      <c r="F193" s="28">
        <v>91.0</v>
      </c>
      <c r="G193" s="28" t="s">
        <v>782</v>
      </c>
      <c r="H193" s="28" t="s">
        <v>522</v>
      </c>
      <c r="I193" s="40" t="s">
        <v>671</v>
      </c>
    </row>
    <row r="194" ht="15.75" customHeight="1">
      <c r="A194" s="23"/>
      <c r="B194" s="27" t="s">
        <v>181</v>
      </c>
      <c r="C194" s="6" t="str">
        <f>VLOOKUP(B194,Sheet3!$B$2:$E$311,2,FALSE)</f>
        <v>P006</v>
      </c>
      <c r="D194" s="19" t="str">
        <f>VLOOKUP(B194,Sheet3!$B$2:$E$311,3,)</f>
        <v>PRODUKSI STOK LUUCA</v>
      </c>
      <c r="E194" s="19" t="str">
        <f>VLOOKUP(B194,Sheet3!$B$2:$E$311,4,)</f>
        <v>GR</v>
      </c>
      <c r="F194" s="28">
        <v>90.0</v>
      </c>
      <c r="G194" s="28" t="s">
        <v>782</v>
      </c>
      <c r="H194" s="28" t="s">
        <v>522</v>
      </c>
      <c r="I194" s="40" t="s">
        <v>671</v>
      </c>
    </row>
    <row r="195" ht="15.75" customHeight="1">
      <c r="A195" s="23"/>
      <c r="B195" s="27" t="s">
        <v>570</v>
      </c>
      <c r="C195" s="6"/>
      <c r="D195" s="41"/>
      <c r="E195" s="27" t="s">
        <v>17</v>
      </c>
      <c r="F195" s="28">
        <v>645.0</v>
      </c>
      <c r="G195" s="28" t="s">
        <v>572</v>
      </c>
      <c r="H195" s="28" t="s">
        <v>522</v>
      </c>
      <c r="I195" s="40" t="s">
        <v>671</v>
      </c>
    </row>
    <row r="196" ht="15.75" customHeight="1">
      <c r="A196" s="26">
        <v>46117.0</v>
      </c>
      <c r="B196" s="27" t="s">
        <v>53</v>
      </c>
      <c r="C196" s="6" t="str">
        <f>VLOOKUP(B196,Sheet3!$B$2:$E$311,2,FALSE)</f>
        <v>B004</v>
      </c>
      <c r="D196" s="19" t="str">
        <f>VLOOKUP(B196,Sheet3!$B$2:$E$311,3,)</f>
        <v>BAHAN BAKU LUUCA</v>
      </c>
      <c r="E196" s="19" t="str">
        <f>VLOOKUP(B196,Sheet3!$B$2:$E$311,4,)</f>
        <v>GR</v>
      </c>
      <c r="F196" s="28" t="s">
        <v>539</v>
      </c>
      <c r="G196" s="28" t="s">
        <v>538</v>
      </c>
      <c r="H196" s="28" t="s">
        <v>541</v>
      </c>
      <c r="I196" s="40" t="s">
        <v>671</v>
      </c>
    </row>
    <row r="197" ht="15.75" customHeight="1">
      <c r="A197" s="23"/>
      <c r="B197" s="27" t="s">
        <v>53</v>
      </c>
      <c r="C197" s="6" t="str">
        <f>VLOOKUP(B197,Sheet3!$B$2:$E$311,2,FALSE)</f>
        <v>B004</v>
      </c>
      <c r="D197" s="19" t="str">
        <f>VLOOKUP(B197,Sheet3!$B$2:$E$311,3,)</f>
        <v>BAHAN BAKU LUUCA</v>
      </c>
      <c r="E197" s="19" t="str">
        <f>VLOOKUP(B197,Sheet3!$B$2:$E$311,4,)</f>
        <v>GR</v>
      </c>
      <c r="F197" s="28" t="s">
        <v>543</v>
      </c>
      <c r="G197" s="28" t="s">
        <v>619</v>
      </c>
      <c r="H197" s="28" t="s">
        <v>541</v>
      </c>
      <c r="I197" s="40" t="s">
        <v>671</v>
      </c>
    </row>
    <row r="198" ht="15.75" customHeight="1">
      <c r="A198" s="23"/>
      <c r="B198" s="27" t="s">
        <v>109</v>
      </c>
      <c r="C198" s="6" t="str">
        <f>VLOOKUP(B198,Sheet3!$B$2:$E$311,2,FALSE)</f>
        <v>B004</v>
      </c>
      <c r="D198" s="19" t="str">
        <f>VLOOKUP(B198,Sheet3!$B$2:$E$311,3,)</f>
        <v>BAHAN BAKU LUUCA</v>
      </c>
      <c r="E198" s="19" t="str">
        <f>VLOOKUP(B198,Sheet3!$B$2:$E$311,4,)</f>
        <v>GR</v>
      </c>
      <c r="F198" s="28" t="s">
        <v>545</v>
      </c>
      <c r="G198" s="28" t="s">
        <v>496</v>
      </c>
      <c r="H198" s="28" t="s">
        <v>541</v>
      </c>
      <c r="I198" s="40" t="s">
        <v>671</v>
      </c>
    </row>
    <row r="199" ht="15.75" customHeight="1">
      <c r="A199" s="23"/>
      <c r="B199" s="27" t="s">
        <v>109</v>
      </c>
      <c r="C199" s="6" t="str">
        <f>VLOOKUP(B199,Sheet3!$B$2:$E$311,2,FALSE)</f>
        <v>B004</v>
      </c>
      <c r="D199" s="19" t="str">
        <f>VLOOKUP(B199,Sheet3!$B$2:$E$311,3,)</f>
        <v>BAHAN BAKU LUUCA</v>
      </c>
      <c r="E199" s="6" t="str">
        <f>VLOOKUP(B199,Sheet3!$B$2:$E$311,4,)</f>
        <v>GR</v>
      </c>
      <c r="F199" s="28" t="s">
        <v>548</v>
      </c>
      <c r="G199" s="28" t="s">
        <v>656</v>
      </c>
      <c r="H199" s="28" t="s">
        <v>541</v>
      </c>
      <c r="I199" s="40" t="s">
        <v>671</v>
      </c>
    </row>
    <row r="200" ht="15.75" customHeight="1">
      <c r="A200" s="23"/>
      <c r="B200" s="27" t="s">
        <v>108</v>
      </c>
      <c r="C200" s="6" t="str">
        <f>VLOOKUP(B200,Sheet3!$B$2:$E$311,2,FALSE)</f>
        <v>B004</v>
      </c>
      <c r="D200" s="19" t="str">
        <f>VLOOKUP(B200,Sheet3!$B$2:$E$311,3,)</f>
        <v>BAHAN BAKU LUUCA</v>
      </c>
      <c r="E200" s="6" t="str">
        <f>VLOOKUP(B200,Sheet3!$B$2:$E$311,4,)</f>
        <v>GR</v>
      </c>
      <c r="F200" s="28" t="s">
        <v>786</v>
      </c>
      <c r="G200" s="28" t="s">
        <v>496</v>
      </c>
      <c r="H200" s="28" t="s">
        <v>541</v>
      </c>
      <c r="I200" s="40" t="s">
        <v>671</v>
      </c>
    </row>
    <row r="201" ht="15.75" customHeight="1">
      <c r="A201" s="23"/>
      <c r="B201" s="27" t="s">
        <v>108</v>
      </c>
      <c r="C201" s="6" t="str">
        <f>VLOOKUP(B201,Sheet3!$B$2:$E$311,2,FALSE)</f>
        <v>B004</v>
      </c>
      <c r="D201" s="19" t="str">
        <f>VLOOKUP(B201,Sheet3!$B$2:$E$311,3,)</f>
        <v>BAHAN BAKU LUUCA</v>
      </c>
      <c r="E201" s="6" t="str">
        <f>VLOOKUP(B201,Sheet3!$B$2:$E$311,4,)</f>
        <v>GR</v>
      </c>
      <c r="F201" s="28" t="s">
        <v>787</v>
      </c>
      <c r="G201" s="28" t="s">
        <v>496</v>
      </c>
      <c r="H201" s="28" t="s">
        <v>541</v>
      </c>
      <c r="I201" s="40" t="s">
        <v>671</v>
      </c>
    </row>
    <row r="202" ht="15.75" customHeight="1">
      <c r="A202" s="23"/>
      <c r="B202" s="27" t="s">
        <v>108</v>
      </c>
      <c r="C202" s="6" t="str">
        <f>VLOOKUP(B202,Sheet3!$B$2:$E$311,2,FALSE)</f>
        <v>B004</v>
      </c>
      <c r="D202" s="19" t="str">
        <f>VLOOKUP(B202,Sheet3!$B$2:$E$311,3,)</f>
        <v>BAHAN BAKU LUUCA</v>
      </c>
      <c r="E202" s="6" t="str">
        <f>VLOOKUP(B202,Sheet3!$B$2:$E$311,4,)</f>
        <v>GR</v>
      </c>
      <c r="F202" s="28">
        <v>45.0</v>
      </c>
      <c r="G202" s="28" t="s">
        <v>525</v>
      </c>
      <c r="H202" s="28" t="s">
        <v>541</v>
      </c>
      <c r="I202" s="40" t="s">
        <v>671</v>
      </c>
    </row>
    <row r="203" ht="15.75" customHeight="1">
      <c r="A203" s="23"/>
      <c r="B203" s="27" t="s">
        <v>108</v>
      </c>
      <c r="C203" s="6" t="str">
        <f>VLOOKUP(B203,Sheet3!$B$2:$E$311,2,FALSE)</f>
        <v>B004</v>
      </c>
      <c r="D203" s="19" t="str">
        <f>VLOOKUP(B203,Sheet3!$B$2:$E$311,3,)</f>
        <v>BAHAN BAKU LUUCA</v>
      </c>
      <c r="E203" s="6" t="str">
        <f>VLOOKUP(B203,Sheet3!$B$2:$E$311,4,)</f>
        <v>GR</v>
      </c>
      <c r="F203" s="28">
        <v>15.0</v>
      </c>
      <c r="G203" s="28" t="s">
        <v>525</v>
      </c>
      <c r="H203" s="28" t="s">
        <v>553</v>
      </c>
      <c r="I203" s="40" t="s">
        <v>671</v>
      </c>
    </row>
    <row r="204" ht="15.75" customHeight="1">
      <c r="A204" s="23"/>
      <c r="B204" s="27" t="s">
        <v>53</v>
      </c>
      <c r="C204" s="6" t="str">
        <f>VLOOKUP(B204,Sheet3!$B$2:$E$311,2,FALSE)</f>
        <v>B004</v>
      </c>
      <c r="D204" s="19" t="str">
        <f>VLOOKUP(B204,Sheet3!$B$2:$E$311,3,)</f>
        <v>BAHAN BAKU LUUCA</v>
      </c>
      <c r="E204" s="6" t="str">
        <f>VLOOKUP(B204,Sheet3!$B$2:$E$311,4,)</f>
        <v>GR</v>
      </c>
      <c r="F204" s="28">
        <v>35.0</v>
      </c>
      <c r="G204" s="28" t="s">
        <v>538</v>
      </c>
      <c r="H204" s="28" t="s">
        <v>553</v>
      </c>
      <c r="I204" s="40" t="s">
        <v>671</v>
      </c>
    </row>
    <row r="205" ht="15.75" customHeight="1">
      <c r="A205" s="23"/>
      <c r="B205" s="27" t="s">
        <v>30</v>
      </c>
      <c r="C205" s="6" t="str">
        <f>VLOOKUP(B205,Sheet3!$B$2:$E$311,2,FALSE)</f>
        <v>B004</v>
      </c>
      <c r="D205" s="19" t="str">
        <f>VLOOKUP(B205,Sheet3!$B$2:$E$311,3,)</f>
        <v>BAHAN BAKU LUUCA</v>
      </c>
      <c r="E205" s="27" t="s">
        <v>37</v>
      </c>
      <c r="F205" s="28">
        <v>14.0</v>
      </c>
      <c r="G205" s="28" t="s">
        <v>528</v>
      </c>
      <c r="H205" s="28" t="s">
        <v>553</v>
      </c>
      <c r="I205" s="40" t="s">
        <v>671</v>
      </c>
    </row>
    <row r="206" ht="15.75" customHeight="1">
      <c r="A206" s="23"/>
      <c r="B206" s="27" t="s">
        <v>108</v>
      </c>
      <c r="C206" s="6" t="str">
        <f>VLOOKUP(B206,Sheet3!$B$2:$E$311,2,FALSE)</f>
        <v>B004</v>
      </c>
      <c r="D206" s="19" t="str">
        <f>VLOOKUP(B206,Sheet3!$B$2:$E$311,3,)</f>
        <v>BAHAN BAKU LUUCA</v>
      </c>
      <c r="E206" s="6" t="str">
        <f>VLOOKUP(B206,Sheet3!$B$2:$E$311,4,)</f>
        <v>GR</v>
      </c>
      <c r="F206" s="28">
        <v>25.0</v>
      </c>
      <c r="G206" s="28" t="s">
        <v>496</v>
      </c>
      <c r="H206" s="28" t="s">
        <v>553</v>
      </c>
      <c r="I206" s="40" t="s">
        <v>671</v>
      </c>
    </row>
    <row r="207" ht="15.75" customHeight="1">
      <c r="A207" s="23"/>
      <c r="B207" s="6"/>
      <c r="C207" s="6" t="str">
        <f>VLOOKUP(B207,Sheet3!$B$2:$E$311,2,FALSE)</f>
        <v>#N/A</v>
      </c>
      <c r="D207" s="19" t="str">
        <f>VLOOKUP(B207,Sheet3!$B$2:$E$311,3,)</f>
        <v>#N/A</v>
      </c>
      <c r="E207" s="6" t="str">
        <f>VLOOKUP(B207,Sheet3!$B$2:$E$311,4,)</f>
        <v>#N/A</v>
      </c>
      <c r="F207" s="19"/>
      <c r="G207" s="19"/>
      <c r="H207" s="19"/>
      <c r="I207" s="33"/>
    </row>
    <row r="208" ht="15.75" customHeight="1">
      <c r="A208" s="23"/>
      <c r="B208" s="6"/>
      <c r="C208" s="6" t="str">
        <f>VLOOKUP(B208,Sheet3!$B$2:$E$311,2,FALSE)</f>
        <v>#N/A</v>
      </c>
      <c r="D208" s="19" t="str">
        <f>VLOOKUP(B208,Sheet3!$B$2:$E$311,3,)</f>
        <v>#N/A</v>
      </c>
      <c r="E208" s="6" t="str">
        <f>VLOOKUP(B208,Sheet3!$B$2:$E$311,4,)</f>
        <v>#N/A</v>
      </c>
      <c r="F208" s="19"/>
      <c r="G208" s="19"/>
      <c r="H208" s="19"/>
      <c r="I208" s="33"/>
    </row>
    <row r="209" ht="15.75" customHeight="1">
      <c r="A209" s="23"/>
      <c r="B209" s="6"/>
      <c r="C209" s="6" t="str">
        <f>VLOOKUP(B209,Sheet3!$B$2:$E$311,2,FALSE)</f>
        <v>#N/A</v>
      </c>
      <c r="D209" s="19" t="str">
        <f>VLOOKUP(B209,Sheet3!$B$2:$E$311,3,)</f>
        <v>#N/A</v>
      </c>
      <c r="E209" s="6" t="str">
        <f>VLOOKUP(B209,Sheet3!$B$2:$E$311,4,)</f>
        <v>#N/A</v>
      </c>
      <c r="F209" s="19"/>
      <c r="G209" s="19"/>
      <c r="H209" s="19"/>
      <c r="I209" s="33"/>
    </row>
    <row r="210" ht="15.75" customHeight="1">
      <c r="A210" s="23"/>
      <c r="B210" s="6"/>
      <c r="C210" s="6" t="str">
        <f>VLOOKUP(B210,Sheet3!$B$2:$E$311,2,FALSE)</f>
        <v>#N/A</v>
      </c>
      <c r="D210" s="19" t="str">
        <f>VLOOKUP(B210,Sheet3!$B$2:$E$311,3,)</f>
        <v>#N/A</v>
      </c>
      <c r="E210" s="6" t="str">
        <f>VLOOKUP(B210,Sheet3!$B$2:$E$311,4,)</f>
        <v>#N/A</v>
      </c>
      <c r="F210" s="19"/>
      <c r="G210" s="19"/>
      <c r="H210" s="19"/>
      <c r="I210" s="33"/>
    </row>
    <row r="211" ht="15.75" customHeight="1">
      <c r="A211" s="23"/>
      <c r="B211" s="6"/>
      <c r="C211" s="6" t="str">
        <f>VLOOKUP(B211,Sheet3!$B$2:$E$311,2,FALSE)</f>
        <v>#N/A</v>
      </c>
      <c r="D211" s="19" t="str">
        <f>VLOOKUP(B211,Sheet3!$B$2:$E$311,3,)</f>
        <v>#N/A</v>
      </c>
      <c r="E211" s="6" t="str">
        <f>VLOOKUP(B211,Sheet3!$B$2:$E$311,4,)</f>
        <v>#N/A</v>
      </c>
      <c r="F211" s="6"/>
      <c r="G211" s="6"/>
      <c r="H211" s="19"/>
      <c r="I211" s="33"/>
    </row>
    <row r="212" ht="15.75" customHeight="1">
      <c r="A212" s="23"/>
      <c r="B212" s="6"/>
      <c r="C212" s="6" t="str">
        <f>VLOOKUP(B212,Sheet3!$B$2:$E$311,2,FALSE)</f>
        <v>#N/A</v>
      </c>
      <c r="D212" s="19" t="str">
        <f>VLOOKUP(B212,Sheet3!$B$2:$E$311,3,)</f>
        <v>#N/A</v>
      </c>
      <c r="E212" s="6" t="str">
        <f>VLOOKUP(B212,Sheet3!$B$2:$E$311,4,)</f>
        <v>#N/A</v>
      </c>
      <c r="F212" s="6"/>
      <c r="G212" s="6"/>
      <c r="H212" s="19"/>
      <c r="I212" s="33"/>
    </row>
    <row r="213" ht="15.75" customHeight="1">
      <c r="A213" s="23"/>
      <c r="B213" s="6"/>
      <c r="C213" s="6" t="str">
        <f>VLOOKUP(B213,Sheet3!$B$2:$E$311,2,FALSE)</f>
        <v>#N/A</v>
      </c>
      <c r="D213" s="19" t="str">
        <f>VLOOKUP(B213,Sheet3!$B$2:$E$311,3,)</f>
        <v>#N/A</v>
      </c>
      <c r="E213" s="6" t="str">
        <f>VLOOKUP(B213,Sheet3!$B$2:$E$311,4,)</f>
        <v>#N/A</v>
      </c>
      <c r="F213" s="6"/>
      <c r="G213" s="6"/>
      <c r="H213" s="19"/>
      <c r="I213" s="33"/>
    </row>
    <row r="214" ht="15.75" customHeight="1">
      <c r="A214" s="23"/>
      <c r="B214" s="6"/>
      <c r="C214" s="6" t="str">
        <f>VLOOKUP(B214,Sheet3!$B$2:$E$311,2,FALSE)</f>
        <v>#N/A</v>
      </c>
      <c r="D214" s="6" t="str">
        <f>VLOOKUP(B214,Sheet3!$B$2:$E$311,3,)</f>
        <v>#N/A</v>
      </c>
      <c r="E214" s="6" t="str">
        <f>VLOOKUP(B214,Sheet3!$B$2:$E$311,4,)</f>
        <v>#N/A</v>
      </c>
      <c r="F214" s="6"/>
      <c r="G214" s="6"/>
      <c r="H214" s="19"/>
      <c r="I214" s="33"/>
    </row>
    <row r="215" ht="15.75" customHeight="1">
      <c r="A215" s="23"/>
      <c r="B215" s="6"/>
      <c r="C215" s="6" t="str">
        <f>VLOOKUP(B215,Sheet3!$B$2:$E$311,2,FALSE)</f>
        <v>#N/A</v>
      </c>
      <c r="D215" s="6" t="str">
        <f>VLOOKUP(B215,Sheet3!$B$2:$E$311,3,)</f>
        <v>#N/A</v>
      </c>
      <c r="E215" s="6" t="str">
        <f>VLOOKUP(B215,Sheet3!$B$2:$E$311,4,)</f>
        <v>#N/A</v>
      </c>
      <c r="F215" s="6"/>
      <c r="G215" s="6"/>
      <c r="H215" s="19"/>
      <c r="I215" s="33"/>
    </row>
    <row r="216" ht="15.75" customHeight="1">
      <c r="A216" s="23"/>
      <c r="B216" s="6"/>
      <c r="C216" s="6" t="str">
        <f>VLOOKUP(B216,Sheet3!$B$2:$E$311,2,FALSE)</f>
        <v>#N/A</v>
      </c>
      <c r="D216" s="6" t="str">
        <f>VLOOKUP(B216,Sheet3!$B$2:$E$311,3,)</f>
        <v>#N/A</v>
      </c>
      <c r="E216" s="6" t="str">
        <f>VLOOKUP(B216,Sheet3!$B$2:$E$311,4,)</f>
        <v>#N/A</v>
      </c>
      <c r="F216" s="6"/>
      <c r="G216" s="6"/>
      <c r="H216" s="19"/>
      <c r="I216" s="33"/>
    </row>
    <row r="217" ht="15.75" customHeight="1">
      <c r="A217" s="23"/>
      <c r="B217" s="6"/>
      <c r="C217" s="6" t="str">
        <f>VLOOKUP(B217,Sheet3!$B$2:$E$311,2,FALSE)</f>
        <v>#N/A</v>
      </c>
      <c r="D217" s="6" t="str">
        <f>VLOOKUP(B217,Sheet3!$B$2:$E$311,3,)</f>
        <v>#N/A</v>
      </c>
      <c r="E217" s="6" t="str">
        <f>VLOOKUP(B217,Sheet3!$B$2:$E$311,4,)</f>
        <v>#N/A</v>
      </c>
      <c r="F217" s="6"/>
      <c r="G217" s="6"/>
      <c r="H217" s="19"/>
      <c r="I217" s="33"/>
    </row>
    <row r="218" ht="15.75" customHeight="1">
      <c r="A218" s="23"/>
      <c r="B218" s="6"/>
      <c r="C218" s="6" t="str">
        <f>VLOOKUP(B218,Sheet3!$B$2:$E$311,2,FALSE)</f>
        <v>#N/A</v>
      </c>
      <c r="D218" s="6" t="str">
        <f>VLOOKUP(B218,Sheet3!$B$2:$E$311,3,)</f>
        <v>#N/A</v>
      </c>
      <c r="E218" s="6" t="str">
        <f>VLOOKUP(B218,Sheet3!$B$2:$E$311,4,)</f>
        <v>#N/A</v>
      </c>
      <c r="F218" s="6"/>
      <c r="G218" s="6"/>
      <c r="H218" s="19"/>
      <c r="I218" s="33"/>
    </row>
    <row r="219" ht="15.75" customHeight="1">
      <c r="A219" s="23"/>
      <c r="B219" s="6"/>
      <c r="C219" s="6" t="str">
        <f>VLOOKUP(B219,Sheet3!$B$2:$E$311,2,FALSE)</f>
        <v>#N/A</v>
      </c>
      <c r="D219" s="6" t="str">
        <f>VLOOKUP(B219,Sheet3!$B$2:$E$311,3,)</f>
        <v>#N/A</v>
      </c>
      <c r="E219" s="6" t="str">
        <f>VLOOKUP(B219,Sheet3!$B$2:$E$311,4,)</f>
        <v>#N/A</v>
      </c>
      <c r="F219" s="6"/>
      <c r="G219" s="6"/>
      <c r="H219" s="19"/>
      <c r="I219" s="33"/>
    </row>
    <row r="220" ht="15.75" customHeight="1">
      <c r="A220" s="23"/>
      <c r="B220" s="6"/>
      <c r="C220" s="6" t="str">
        <f>VLOOKUP(B220,Sheet3!$B$2:$E$311,2,FALSE)</f>
        <v>#N/A</v>
      </c>
      <c r="D220" s="6" t="str">
        <f>VLOOKUP(B220,Sheet3!$B$2:$E$311,3,)</f>
        <v>#N/A</v>
      </c>
      <c r="E220" s="6" t="str">
        <f>VLOOKUP(B220,Sheet3!$B$2:$E$311,4,)</f>
        <v>#N/A</v>
      </c>
      <c r="F220" s="6"/>
      <c r="G220" s="6"/>
      <c r="H220" s="19"/>
      <c r="I220" s="33"/>
    </row>
    <row r="221" ht="15.75" customHeight="1">
      <c r="A221" s="23"/>
      <c r="B221" s="6"/>
      <c r="C221" s="6" t="str">
        <f>VLOOKUP(B221,Sheet3!$B$2:$E$311,2,FALSE)</f>
        <v>#N/A</v>
      </c>
      <c r="D221" s="6" t="str">
        <f>VLOOKUP(B221,Sheet3!$B$2:$E$311,3,)</f>
        <v>#N/A</v>
      </c>
      <c r="E221" s="6" t="str">
        <f>VLOOKUP(B221,Sheet3!$B$2:$E$311,4,)</f>
        <v>#N/A</v>
      </c>
      <c r="F221" s="6"/>
      <c r="G221" s="6"/>
      <c r="H221" s="19"/>
      <c r="I221" s="33"/>
    </row>
    <row r="222" ht="15.75" customHeight="1">
      <c r="A222" s="23"/>
      <c r="B222" s="6"/>
      <c r="C222" s="6" t="str">
        <f>VLOOKUP(B222,Sheet3!$B$2:$E$311,2,FALSE)</f>
        <v>#N/A</v>
      </c>
      <c r="D222" s="6" t="str">
        <f>VLOOKUP(B222,Sheet3!$B$2:$E$311,3,)</f>
        <v>#N/A</v>
      </c>
      <c r="E222" s="6" t="str">
        <f>VLOOKUP(B222,Sheet3!$B$2:$E$311,4,)</f>
        <v>#N/A</v>
      </c>
      <c r="F222" s="6"/>
      <c r="G222" s="6"/>
      <c r="H222" s="19"/>
      <c r="I222" s="33"/>
    </row>
    <row r="223" ht="15.75" customHeight="1">
      <c r="A223" s="23"/>
      <c r="B223" s="6"/>
      <c r="C223" s="6" t="str">
        <f>VLOOKUP(B223,Sheet3!$B$2:$E$311,2,FALSE)</f>
        <v>#N/A</v>
      </c>
      <c r="D223" s="6" t="str">
        <f>VLOOKUP(B223,Sheet3!$B$2:$E$311,3,)</f>
        <v>#N/A</v>
      </c>
      <c r="E223" s="6" t="str">
        <f>VLOOKUP(B223,Sheet3!$B$2:$E$311,4,)</f>
        <v>#N/A</v>
      </c>
      <c r="F223" s="6"/>
      <c r="G223" s="6"/>
      <c r="H223" s="6"/>
    </row>
    <row r="224" ht="15.75" customHeight="1">
      <c r="A224" s="23"/>
      <c r="B224" s="6"/>
      <c r="C224" s="6" t="str">
        <f>VLOOKUP(B224,Sheet3!$B$2:$E$311,2,FALSE)</f>
        <v>#N/A</v>
      </c>
      <c r="D224" s="6" t="str">
        <f>VLOOKUP(B224,Sheet3!$B$2:$E$311,3,)</f>
        <v>#N/A</v>
      </c>
      <c r="E224" s="6" t="str">
        <f>VLOOKUP(B224,Sheet3!$B$2:$E$311,4,)</f>
        <v>#N/A</v>
      </c>
      <c r="F224" s="6"/>
      <c r="G224" s="6"/>
      <c r="H224" s="6"/>
    </row>
    <row r="225" ht="15.75" customHeight="1">
      <c r="A225" s="23"/>
      <c r="B225" s="6"/>
      <c r="C225" s="6" t="str">
        <f>VLOOKUP(B225,Sheet3!$B$2:$E$311,2,FALSE)</f>
        <v>#N/A</v>
      </c>
      <c r="D225" s="6" t="str">
        <f>VLOOKUP(B225,Sheet3!$B$2:$E$311,3,)</f>
        <v>#N/A</v>
      </c>
      <c r="E225" s="6" t="str">
        <f>VLOOKUP(B225,Sheet3!$B$2:$E$311,4,)</f>
        <v>#N/A</v>
      </c>
      <c r="F225" s="6"/>
      <c r="G225" s="6"/>
      <c r="H225" s="6"/>
    </row>
    <row r="226" ht="15.75" customHeight="1">
      <c r="A226" s="23"/>
      <c r="B226" s="6"/>
      <c r="C226" s="6" t="str">
        <f>VLOOKUP(B226,Sheet3!$B$2:$E$311,2,FALSE)</f>
        <v>#N/A</v>
      </c>
      <c r="D226" s="6" t="str">
        <f>VLOOKUP(B226,Sheet3!$B$2:$E$311,3,)</f>
        <v>#N/A</v>
      </c>
      <c r="E226" s="6" t="str">
        <f>VLOOKUP(B226,Sheet3!$B$2:$E$311,4,)</f>
        <v>#N/A</v>
      </c>
      <c r="F226" s="6"/>
      <c r="G226" s="6"/>
      <c r="H226" s="6"/>
    </row>
    <row r="227" ht="15.75" customHeight="1">
      <c r="A227" s="23"/>
      <c r="B227" s="6"/>
      <c r="C227" s="6" t="str">
        <f>VLOOKUP(B227,Sheet3!$B$2:$E$311,2,FALSE)</f>
        <v>#N/A</v>
      </c>
      <c r="D227" s="6" t="str">
        <f>VLOOKUP(B227,Sheet3!$B$2:$E$311,3,)</f>
        <v>#N/A</v>
      </c>
      <c r="E227" s="6" t="str">
        <f>VLOOKUP(B227,Sheet3!$B$2:$E$311,4,)</f>
        <v>#N/A</v>
      </c>
      <c r="F227" s="6"/>
      <c r="G227" s="6"/>
      <c r="H227" s="6"/>
    </row>
    <row r="228" ht="15.75" customHeight="1">
      <c r="A228" s="23"/>
      <c r="B228" s="6"/>
      <c r="C228" s="6" t="str">
        <f>VLOOKUP(B228,Sheet3!$B$2:$E$311,2,FALSE)</f>
        <v>#N/A</v>
      </c>
      <c r="D228" s="6" t="str">
        <f>VLOOKUP(B228,Sheet3!$B$2:$E$311,3,)</f>
        <v>#N/A</v>
      </c>
      <c r="E228" s="6" t="str">
        <f>VLOOKUP(B228,Sheet3!$B$2:$E$311,4,)</f>
        <v>#N/A</v>
      </c>
      <c r="F228" s="6"/>
      <c r="G228" s="6"/>
      <c r="H228" s="6"/>
    </row>
    <row r="229" ht="15.75" customHeight="1">
      <c r="A229" s="23"/>
      <c r="B229" s="6"/>
      <c r="C229" s="6" t="str">
        <f>VLOOKUP(B229,Sheet3!$B$2:$E$311,2,FALSE)</f>
        <v>#N/A</v>
      </c>
      <c r="D229" s="6" t="str">
        <f>VLOOKUP(B229,Sheet3!$B$2:$E$311,3,)</f>
        <v>#N/A</v>
      </c>
      <c r="E229" s="6" t="str">
        <f>VLOOKUP(B229,Sheet3!$B$2:$E$311,4,)</f>
        <v>#N/A</v>
      </c>
      <c r="F229" s="6"/>
      <c r="G229" s="6"/>
      <c r="H229" s="6"/>
    </row>
    <row r="230" ht="15.75" customHeight="1">
      <c r="A230" s="23"/>
      <c r="B230" s="6"/>
      <c r="C230" s="6" t="str">
        <f>VLOOKUP(B230,Sheet3!$B$2:$E$311,2,FALSE)</f>
        <v>#N/A</v>
      </c>
      <c r="D230" s="6" t="str">
        <f>VLOOKUP(B230,Sheet3!$B$2:$E$311,3,)</f>
        <v>#N/A</v>
      </c>
      <c r="E230" s="6" t="str">
        <f>VLOOKUP(B230,Sheet3!$B$2:$E$311,4,)</f>
        <v>#N/A</v>
      </c>
      <c r="F230" s="6"/>
      <c r="G230" s="6"/>
      <c r="H230" s="6"/>
    </row>
    <row r="231" ht="15.75" customHeight="1">
      <c r="A231" s="23"/>
      <c r="B231" s="6"/>
      <c r="C231" s="6" t="str">
        <f>VLOOKUP(B231,Sheet3!$B$2:$E$311,2,FALSE)</f>
        <v>#N/A</v>
      </c>
      <c r="D231" s="6" t="str">
        <f>VLOOKUP(B231,Sheet3!$B$2:$E$311,3,)</f>
        <v>#N/A</v>
      </c>
      <c r="E231" s="6" t="s">
        <v>628</v>
      </c>
      <c r="F231" s="6"/>
      <c r="G231" s="6"/>
      <c r="H231" s="6"/>
    </row>
    <row r="232" ht="15.75" customHeight="1">
      <c r="A232" s="23"/>
      <c r="B232" s="6"/>
      <c r="C232" s="6" t="str">
        <f>VLOOKUP(B232,Sheet3!$B$2:$E$311,2,FALSE)</f>
        <v>#N/A</v>
      </c>
      <c r="D232" s="6" t="str">
        <f>VLOOKUP(B232,Sheet3!$B$2:$E$311,3,)</f>
        <v>#N/A</v>
      </c>
      <c r="E232" s="6" t="str">
        <f>VLOOKUP(B232,Sheet3!$B$2:$E$311,4,)</f>
        <v>#N/A</v>
      </c>
      <c r="F232" s="6"/>
      <c r="G232" s="6"/>
      <c r="H232" s="6"/>
    </row>
    <row r="233" ht="15.75" customHeight="1">
      <c r="A233" s="23"/>
      <c r="B233" s="6"/>
      <c r="C233" s="6" t="str">
        <f>VLOOKUP(B233,Sheet3!$B$2:$E$311,2,FALSE)</f>
        <v>#N/A</v>
      </c>
      <c r="D233" s="6" t="str">
        <f>VLOOKUP(B233,Sheet3!$B$2:$E$311,3,)</f>
        <v>#N/A</v>
      </c>
      <c r="E233" s="6" t="str">
        <f>VLOOKUP(B233,Sheet3!$B$2:$E$311,4,)</f>
        <v>#N/A</v>
      </c>
      <c r="F233" s="6"/>
      <c r="G233" s="6"/>
      <c r="H233" s="6"/>
    </row>
    <row r="234" ht="15.75" customHeight="1">
      <c r="A234" s="23"/>
      <c r="B234" s="6"/>
      <c r="C234" s="6" t="str">
        <f>VLOOKUP(B234,Sheet3!$B$2:$E$311,2,FALSE)</f>
        <v>#N/A</v>
      </c>
      <c r="D234" s="6" t="str">
        <f>VLOOKUP(B234,Sheet3!$B$2:$E$311,3,)</f>
        <v>#N/A</v>
      </c>
      <c r="E234" s="6" t="str">
        <f>VLOOKUP(B234,Sheet3!$B$2:$E$311,4,)</f>
        <v>#N/A</v>
      </c>
      <c r="F234" s="6"/>
      <c r="G234" s="6"/>
      <c r="H234" s="6"/>
    </row>
    <row r="235" ht="15.75" customHeight="1">
      <c r="A235" s="23"/>
      <c r="B235" s="6"/>
      <c r="C235" s="6" t="str">
        <f>VLOOKUP(B235,Sheet3!$B$2:$E$311,2,FALSE)</f>
        <v>#N/A</v>
      </c>
      <c r="D235" s="6" t="str">
        <f>VLOOKUP(B235,Sheet3!$B$2:$E$311,3,)</f>
        <v>#N/A</v>
      </c>
      <c r="E235" s="6" t="str">
        <f>VLOOKUP(B235,Sheet3!$B$2:$E$311,4,)</f>
        <v>#N/A</v>
      </c>
      <c r="F235" s="6"/>
      <c r="G235" s="6"/>
      <c r="H235" s="6"/>
    </row>
    <row r="236" ht="15.75" customHeight="1">
      <c r="A236" s="23"/>
      <c r="B236" s="6"/>
      <c r="C236" s="6" t="str">
        <f>VLOOKUP(B236,Sheet3!$B$2:$E$311,2,FALSE)</f>
        <v>#N/A</v>
      </c>
      <c r="D236" s="6" t="str">
        <f>VLOOKUP(B236,Sheet3!$B$2:$E$311,3,)</f>
        <v>#N/A</v>
      </c>
      <c r="E236" s="6" t="str">
        <f>VLOOKUP(B236,Sheet3!$B$2:$E$311,4,)</f>
        <v>#N/A</v>
      </c>
      <c r="F236" s="6"/>
      <c r="G236" s="6"/>
      <c r="H236" s="6"/>
    </row>
    <row r="237" ht="15.75" customHeight="1">
      <c r="A237" s="23"/>
      <c r="B237" s="6"/>
      <c r="C237" s="6" t="str">
        <f>VLOOKUP(B237,Sheet3!$B$2:$E$311,2,FALSE)</f>
        <v>#N/A</v>
      </c>
      <c r="D237" s="6" t="str">
        <f>VLOOKUP(B237,Sheet3!$B$2:$E$311,3,)</f>
        <v>#N/A</v>
      </c>
      <c r="E237" s="6" t="str">
        <f>VLOOKUP(B237,Sheet3!$B$2:$E$311,4,)</f>
        <v>#N/A</v>
      </c>
      <c r="F237" s="6"/>
      <c r="G237" s="6"/>
      <c r="H237" s="6"/>
    </row>
    <row r="238" ht="15.75" customHeight="1">
      <c r="A238" s="23"/>
      <c r="B238" s="6"/>
      <c r="C238" s="6" t="str">
        <f>VLOOKUP(B238,Sheet3!$B$2:$E$311,2,FALSE)</f>
        <v>#N/A</v>
      </c>
      <c r="D238" s="6" t="str">
        <f>VLOOKUP(B238,Sheet3!$B$2:$E$311,3,)</f>
        <v>#N/A</v>
      </c>
      <c r="E238" s="6" t="str">
        <f>VLOOKUP(B238,Sheet3!$B$2:$E$311,4,)</f>
        <v>#N/A</v>
      </c>
      <c r="F238" s="6"/>
      <c r="G238" s="6"/>
      <c r="H238" s="6"/>
    </row>
    <row r="239" ht="15.75" customHeight="1">
      <c r="A239" s="23"/>
      <c r="B239" s="6"/>
      <c r="C239" s="6" t="str">
        <f>VLOOKUP(B239,Sheet3!$B$2:$E$311,2,FALSE)</f>
        <v>#N/A</v>
      </c>
      <c r="D239" s="6" t="str">
        <f>VLOOKUP(B239,Sheet3!$B$2:$E$311,3,)</f>
        <v>#N/A</v>
      </c>
      <c r="E239" s="6" t="str">
        <f>VLOOKUP(B239,Sheet3!$B$2:$E$311,4,)</f>
        <v>#N/A</v>
      </c>
      <c r="F239" s="6"/>
      <c r="G239" s="6"/>
      <c r="H239" s="6"/>
    </row>
    <row r="240" ht="15.75" customHeight="1">
      <c r="A240" s="23"/>
      <c r="B240" s="6"/>
      <c r="C240" s="6" t="str">
        <f>VLOOKUP(B240,Sheet3!$B$2:$E$311,2,FALSE)</f>
        <v>#N/A</v>
      </c>
      <c r="D240" s="6" t="str">
        <f>VLOOKUP(B240,Sheet3!$B$2:$E$311,3,)</f>
        <v>#N/A</v>
      </c>
      <c r="E240" s="6" t="str">
        <f>VLOOKUP(B240,Sheet3!$B$2:$E$311,4,)</f>
        <v>#N/A</v>
      </c>
      <c r="F240" s="6"/>
      <c r="G240" s="6"/>
      <c r="H240" s="6"/>
    </row>
    <row r="241" ht="15.75" customHeight="1">
      <c r="A241" s="23"/>
      <c r="B241" s="6"/>
      <c r="C241" s="6" t="str">
        <f>VLOOKUP(B241,Sheet3!$B$2:$E$311,2,FALSE)</f>
        <v>#N/A</v>
      </c>
      <c r="D241" s="6" t="str">
        <f>VLOOKUP(B241,Sheet3!$B$2:$E$311,3,)</f>
        <v>#N/A</v>
      </c>
      <c r="E241" s="6" t="str">
        <f>VLOOKUP(B241,Sheet3!$B$2:$E$311,4,)</f>
        <v>#N/A</v>
      </c>
      <c r="F241" s="6"/>
      <c r="G241" s="6"/>
      <c r="H241" s="6"/>
    </row>
    <row r="242" ht="15.75" customHeight="1">
      <c r="A242" s="23"/>
      <c r="B242" s="6"/>
      <c r="C242" s="6" t="str">
        <f>VLOOKUP(B242,Sheet3!$B$2:$E$311,2,FALSE)</f>
        <v>#N/A</v>
      </c>
      <c r="D242" s="6" t="str">
        <f>VLOOKUP(B242,Sheet3!$B$2:$E$311,3,)</f>
        <v>#N/A</v>
      </c>
      <c r="E242" s="6" t="str">
        <f>VLOOKUP(B242,Sheet3!$B$2:$E$311,4,)</f>
        <v>#N/A</v>
      </c>
      <c r="F242" s="6"/>
      <c r="G242" s="6"/>
      <c r="H242" s="6"/>
    </row>
    <row r="243" ht="15.75" customHeight="1">
      <c r="A243" s="23"/>
      <c r="B243" s="6"/>
      <c r="C243" s="6" t="str">
        <f>VLOOKUP(B243,Sheet3!$B$2:$E$311,2,FALSE)</f>
        <v>#N/A</v>
      </c>
      <c r="D243" s="6" t="str">
        <f>VLOOKUP(B243,Sheet3!$B$2:$E$311,3,)</f>
        <v>#N/A</v>
      </c>
      <c r="E243" s="6" t="str">
        <f>VLOOKUP(B243,Sheet3!$B$2:$E$311,4,)</f>
        <v>#N/A</v>
      </c>
      <c r="F243" s="6"/>
      <c r="G243" s="6"/>
      <c r="H243" s="6"/>
    </row>
    <row r="244" ht="15.75" customHeight="1">
      <c r="A244" s="23"/>
      <c r="B244" s="6"/>
      <c r="C244" s="6" t="str">
        <f>VLOOKUP(B244,Sheet3!$B$2:$E$311,2,FALSE)</f>
        <v>#N/A</v>
      </c>
      <c r="D244" s="6" t="str">
        <f>VLOOKUP(B244,Sheet3!$B$2:$E$311,3,)</f>
        <v>#N/A</v>
      </c>
      <c r="E244" s="6" t="str">
        <f>VLOOKUP(B244,Sheet3!$B$2:$E$311,4,)</f>
        <v>#N/A</v>
      </c>
      <c r="F244" s="6"/>
      <c r="G244" s="6"/>
      <c r="H244" s="6"/>
    </row>
    <row r="245" ht="15.75" customHeight="1">
      <c r="A245" s="23"/>
      <c r="B245" s="6"/>
      <c r="C245" s="6" t="str">
        <f>VLOOKUP(B245,Sheet3!$B$2:$E$311,2,FALSE)</f>
        <v>#N/A</v>
      </c>
      <c r="D245" s="6" t="str">
        <f>VLOOKUP(B245,Sheet3!$B$2:$E$311,3,)</f>
        <v>#N/A</v>
      </c>
      <c r="E245" s="6" t="str">
        <f>VLOOKUP(B245,Sheet3!$B$2:$E$311,4,)</f>
        <v>#N/A</v>
      </c>
      <c r="F245" s="6"/>
      <c r="G245" s="6"/>
      <c r="H245" s="6"/>
    </row>
    <row r="246" ht="15.75" customHeight="1">
      <c r="A246" s="23"/>
      <c r="B246" s="6"/>
      <c r="C246" s="6" t="str">
        <f>VLOOKUP(B246,Sheet3!$B$2:$E$311,2,FALSE)</f>
        <v>#N/A</v>
      </c>
      <c r="D246" s="6" t="str">
        <f>VLOOKUP(B246,Sheet3!$B$2:$E$311,3,)</f>
        <v>#N/A</v>
      </c>
      <c r="E246" s="6" t="str">
        <f>VLOOKUP(B246,Sheet3!$B$2:$E$311,4,)</f>
        <v>#N/A</v>
      </c>
      <c r="F246" s="6"/>
      <c r="G246" s="6"/>
      <c r="H246" s="6"/>
    </row>
    <row r="247" ht="15.75" customHeight="1">
      <c r="A247" s="23"/>
      <c r="B247" s="6"/>
      <c r="C247" s="6" t="str">
        <f>VLOOKUP(B247,Sheet3!$B$2:$E$311,2,FALSE)</f>
        <v>#N/A</v>
      </c>
      <c r="D247" s="6" t="str">
        <f>VLOOKUP(B247,Sheet3!$B$2:$E$311,3,)</f>
        <v>#N/A</v>
      </c>
      <c r="E247" s="6" t="str">
        <f>VLOOKUP(B247,Sheet3!$B$2:$E$311,4,)</f>
        <v>#N/A</v>
      </c>
      <c r="F247" s="6"/>
      <c r="G247" s="6"/>
      <c r="H247" s="6"/>
    </row>
    <row r="248" ht="15.75" customHeight="1">
      <c r="A248" s="23"/>
      <c r="B248" s="6"/>
      <c r="C248" s="6" t="str">
        <f>VLOOKUP(B248,Sheet3!$B$2:$E$311,2,FALSE)</f>
        <v>#N/A</v>
      </c>
      <c r="D248" s="6" t="str">
        <f>VLOOKUP(B248,Sheet3!$B$2:$E$311,3,)</f>
        <v>#N/A</v>
      </c>
      <c r="E248" s="6" t="str">
        <f>VLOOKUP(B248,Sheet3!$B$2:$E$311,4,)</f>
        <v>#N/A</v>
      </c>
      <c r="F248" s="6"/>
      <c r="G248" s="6"/>
      <c r="H248" s="6"/>
    </row>
    <row r="249" ht="15.75" customHeight="1">
      <c r="A249" s="23"/>
      <c r="B249" s="6"/>
      <c r="C249" s="6" t="str">
        <f>VLOOKUP(B249,Sheet3!$B$2:$E$311,2,FALSE)</f>
        <v>#N/A</v>
      </c>
      <c r="D249" s="6" t="str">
        <f>VLOOKUP(B249,Sheet3!$B$2:$E$311,3,)</f>
        <v>#N/A</v>
      </c>
      <c r="E249" s="6" t="str">
        <f>VLOOKUP(B249,Sheet3!$B$2:$E$311,4,)</f>
        <v>#N/A</v>
      </c>
      <c r="F249" s="6"/>
      <c r="G249" s="6"/>
      <c r="H249" s="6"/>
    </row>
    <row r="250" ht="15.75" customHeight="1">
      <c r="A250" s="23"/>
      <c r="B250" s="6"/>
      <c r="C250" s="6" t="str">
        <f>VLOOKUP(B250,Sheet3!$B$2:$E$311,2,FALSE)</f>
        <v>#N/A</v>
      </c>
      <c r="D250" s="6" t="str">
        <f>VLOOKUP(B250,Sheet3!$B$2:$E$311,3,)</f>
        <v>#N/A</v>
      </c>
      <c r="E250" s="6" t="str">
        <f>VLOOKUP(B250,Sheet3!$B$2:$E$311,4,)</f>
        <v>#N/A</v>
      </c>
      <c r="F250" s="6"/>
      <c r="G250" s="6"/>
      <c r="H250" s="6"/>
    </row>
    <row r="251" ht="15.75" customHeight="1">
      <c r="A251" s="23"/>
      <c r="B251" s="6"/>
      <c r="C251" s="6" t="str">
        <f>VLOOKUP(B251,Sheet3!$B$2:$E$311,2,FALSE)</f>
        <v>#N/A</v>
      </c>
      <c r="D251" s="6" t="str">
        <f>VLOOKUP(B251,Sheet3!$B$2:$E$311,3,)</f>
        <v>#N/A</v>
      </c>
      <c r="E251" s="6" t="str">
        <f>VLOOKUP(B251,Sheet3!$B$2:$E$311,4,)</f>
        <v>#N/A</v>
      </c>
      <c r="F251" s="6"/>
      <c r="G251" s="6"/>
      <c r="H251" s="6"/>
    </row>
    <row r="252" ht="15.75" customHeight="1">
      <c r="A252" s="23"/>
      <c r="B252" s="6"/>
      <c r="C252" s="6" t="str">
        <f>VLOOKUP(B252,Sheet3!$B$2:$E$311,2,FALSE)</f>
        <v>#N/A</v>
      </c>
      <c r="D252" s="6" t="str">
        <f>VLOOKUP(B252,Sheet3!$B$2:$E$311,3,)</f>
        <v>#N/A</v>
      </c>
      <c r="E252" s="6" t="str">
        <f>VLOOKUP(B252,Sheet3!$B$2:$E$311,4,)</f>
        <v>#N/A</v>
      </c>
      <c r="F252" s="6"/>
      <c r="G252" s="6"/>
      <c r="H252" s="6"/>
    </row>
    <row r="253" ht="15.75" customHeight="1">
      <c r="A253" s="23"/>
      <c r="B253" s="6"/>
      <c r="C253" s="6" t="str">
        <f>VLOOKUP(B253,Sheet3!$B$2:$E$311,2,FALSE)</f>
        <v>#N/A</v>
      </c>
      <c r="D253" s="6" t="str">
        <f>VLOOKUP(B253,Sheet3!$B$2:$E$311,3,)</f>
        <v>#N/A</v>
      </c>
      <c r="E253" s="6" t="str">
        <f>VLOOKUP(B253,Sheet3!$B$2:$E$311,4,)</f>
        <v>#N/A</v>
      </c>
      <c r="F253" s="6"/>
      <c r="G253" s="6"/>
      <c r="H253" s="6"/>
    </row>
    <row r="254" ht="15.75" customHeight="1">
      <c r="A254" s="23"/>
      <c r="B254" s="6"/>
      <c r="C254" s="6" t="str">
        <f>VLOOKUP(B254,Sheet3!$B$2:$E$311,2,FALSE)</f>
        <v>#N/A</v>
      </c>
      <c r="D254" s="6" t="str">
        <f>VLOOKUP(B254,Sheet3!$B$2:$E$311,3,)</f>
        <v>#N/A</v>
      </c>
      <c r="E254" s="6" t="str">
        <f>VLOOKUP(B254,Sheet3!$B$2:$E$311,4,)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VLOOKUP(B255,Sheet3!$B$2:$E$311,2,FALSE)</f>
        <v>#N/A</v>
      </c>
      <c r="D255" s="6" t="str">
        <f>VLOOKUP(B255,Sheet3!$B$2:$E$311,3,)</f>
        <v>#N/A</v>
      </c>
      <c r="E255" s="6" t="str">
        <f>VLOOKUP(B255,Sheet3!$B$2:$E$311,4,)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VLOOKUP(B256,Sheet3!$B$2:$E$311,2,FALSE)</f>
        <v>#N/A</v>
      </c>
      <c r="D256" s="6" t="str">
        <f>VLOOKUP(B256,Sheet3!$B$2:$E$311,3,)</f>
        <v>#N/A</v>
      </c>
      <c r="E256" s="6" t="str">
        <f>VLOOKUP(B256,Sheet3!$B$2:$E$311,4,)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VLOOKUP(B257,Sheet3!$B$2:$E$311,2,FALSE)</f>
        <v>#N/A</v>
      </c>
      <c r="D257" s="6" t="str">
        <f>VLOOKUP(B257,Sheet3!$B$2:$E$311,3,)</f>
        <v>#N/A</v>
      </c>
      <c r="E257" s="6" t="str">
        <f>VLOOKUP(B257,Sheet3!$B$2:$E$311,4,)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VLOOKUP(B258,Sheet3!$B$2:$E$311,2,FALSE)</f>
        <v>#N/A</v>
      </c>
      <c r="D258" s="6" t="str">
        <f>VLOOKUP(B258,Sheet3!$B$2:$E$311,3,)</f>
        <v>#N/A</v>
      </c>
      <c r="E258" s="6" t="str">
        <f>VLOOKUP(B258,Sheet3!$B$2:$E$311,4,)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VLOOKUP(B259,Sheet3!$B$2:$E$311,2,FALSE)</f>
        <v>#N/A</v>
      </c>
      <c r="D259" s="6" t="str">
        <f>VLOOKUP(B259,Sheet3!$B$2:$E$311,3,)</f>
        <v>#N/A</v>
      </c>
      <c r="E259" s="6" t="str">
        <f>VLOOKUP(B259,Sheet3!$B$2:$E$311,4,)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VLOOKUP(B260,Sheet3!$B$2:$E$311,2,FALSE)</f>
        <v>#N/A</v>
      </c>
      <c r="D260" s="6" t="str">
        <f>VLOOKUP(B260,Sheet3!$B$2:$E$311,3,)</f>
        <v>#N/A</v>
      </c>
      <c r="E260" s="6" t="str">
        <f>VLOOKUP(B260,Sheet3!$B$2:$E$311,4,)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VLOOKUP(B261,Sheet3!$B$2:$E$311,2,FALSE)</f>
        <v>#N/A</v>
      </c>
      <c r="D261" s="6" t="str">
        <f>VLOOKUP(B261,Sheet3!$B$2:$E$311,3,)</f>
        <v>#N/A</v>
      </c>
      <c r="E261" s="6" t="str">
        <f>VLOOKUP(B261,Sheet3!$B$2:$E$311,4,)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VLOOKUP(B262,Sheet3!$B$2:$E$311,2,FALSE)</f>
        <v>#N/A</v>
      </c>
      <c r="D262" s="6" t="str">
        <f>VLOOKUP(B262,Sheet3!$B$2:$E$311,3,)</f>
        <v>#N/A</v>
      </c>
      <c r="E262" s="6" t="str">
        <f>VLOOKUP(B262,Sheet3!$B$2:$E$311,4,)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VLOOKUP(B263,Sheet3!$B$2:$E$311,2,FALSE)</f>
        <v>#N/A</v>
      </c>
      <c r="D263" s="6" t="str">
        <f>VLOOKUP(B263,Sheet3!$B$2:$E$311,3,)</f>
        <v>#N/A</v>
      </c>
      <c r="E263" s="6" t="str">
        <f>VLOOKUP(B263,Sheet3!$B$2:$E$311,4,)</f>
        <v>#N/A</v>
      </c>
      <c r="F263" s="27"/>
      <c r="G263" s="6"/>
      <c r="H263" s="6"/>
    </row>
    <row r="264" ht="15.75" customHeight="1">
      <c r="A264" s="6"/>
      <c r="B264" s="6"/>
      <c r="C264" s="6" t="str">
        <f>VLOOKUP(B264,Sheet3!$B$2:$E$311,2,FALSE)</f>
        <v>#N/A</v>
      </c>
      <c r="D264" s="6" t="str">
        <f>VLOOKUP(B264,Sheet3!$B$2:$E$311,3,)</f>
        <v>#N/A</v>
      </c>
      <c r="E264" s="6" t="str">
        <f>VLOOKUP(B264,Sheet3!$B$2:$E$311,4,)</f>
        <v>#N/A</v>
      </c>
      <c r="F264" s="27"/>
      <c r="G264" s="6"/>
      <c r="H264" s="6"/>
    </row>
    <row r="265" ht="15.75" customHeight="1">
      <c r="A265" s="6"/>
      <c r="B265" s="6"/>
      <c r="C265" s="6" t="str">
        <f>VLOOKUP(B265,Sheet3!$B$2:$E$311,2,FALSE)</f>
        <v>#N/A</v>
      </c>
      <c r="D265" s="6" t="str">
        <f>VLOOKUP(B265,Sheet3!$B$2:$E$311,3,)</f>
        <v>#N/A</v>
      </c>
      <c r="E265" s="6" t="str">
        <f>VLOOKUP(B265,Sheet3!$B$2:$E$311,4,)</f>
        <v>#N/A</v>
      </c>
      <c r="F265" s="27"/>
      <c r="G265" s="6"/>
      <c r="H265" s="6"/>
    </row>
    <row r="266" ht="15.75" customHeight="1">
      <c r="A266" s="6"/>
      <c r="B266" s="6"/>
      <c r="C266" s="6" t="str">
        <f>VLOOKUP(B266,Sheet3!$B$2:$E$311,2,FALSE)</f>
        <v>#N/A</v>
      </c>
      <c r="D266" s="6" t="str">
        <f>VLOOKUP(B266,Sheet3!$B$2:$E$311,3,)</f>
        <v>#N/A</v>
      </c>
      <c r="E266" s="6" t="str">
        <f>VLOOKUP(B266,Sheet3!$B$2:$E$311,4,)</f>
        <v>#N/A</v>
      </c>
      <c r="F266" s="27"/>
      <c r="G266" s="6"/>
      <c r="H266" s="6"/>
    </row>
    <row r="267" ht="15.75" customHeight="1">
      <c r="A267" s="6"/>
      <c r="B267" s="6"/>
      <c r="C267" s="6" t="str">
        <f>VLOOKUP(B267,Sheet3!$B$2:$E$311,2,FALSE)</f>
        <v>#N/A</v>
      </c>
      <c r="D267" s="6" t="str">
        <f>VLOOKUP(B267,Sheet3!$B$2:$E$311,3,)</f>
        <v>#N/A</v>
      </c>
      <c r="E267" s="6" t="str">
        <f>VLOOKUP(B267,Sheet3!$B$2:$E$311,4,)</f>
        <v>#N/A</v>
      </c>
      <c r="F267" s="27"/>
      <c r="G267" s="6"/>
      <c r="H267" s="6"/>
    </row>
    <row r="268" ht="15.75" customHeight="1">
      <c r="A268" s="6"/>
      <c r="B268" s="6"/>
      <c r="C268" s="6" t="str">
        <f>VLOOKUP(B268,Sheet3!$B$2:$E$311,2,FALSE)</f>
        <v>#N/A</v>
      </c>
      <c r="D268" s="6" t="str">
        <f>VLOOKUP(B268,Sheet3!$B$2:$E$311,3,)</f>
        <v>#N/A</v>
      </c>
      <c r="E268" s="6" t="str">
        <f>VLOOKUP(B268,Sheet3!$B$2:$E$311,4,)</f>
        <v>#N/A</v>
      </c>
      <c r="F268" s="27"/>
      <c r="G268" s="6"/>
      <c r="H268" s="6"/>
    </row>
    <row r="269" ht="15.75" customHeight="1">
      <c r="A269" s="6"/>
      <c r="B269" s="6"/>
      <c r="C269" s="6" t="str">
        <f>VLOOKUP(B269,Sheet3!$B$2:$E$311,2,FALSE)</f>
        <v>#N/A</v>
      </c>
      <c r="D269" s="6" t="str">
        <f>VLOOKUP(B269,Sheet3!$B$2:$E$311,3,)</f>
        <v>#N/A</v>
      </c>
      <c r="E269" s="6" t="str">
        <f>VLOOKUP(B269,Sheet3!$B$2:$E$311,4,)</f>
        <v>#N/A</v>
      </c>
      <c r="F269" s="27"/>
      <c r="G269" s="6"/>
      <c r="H269" s="6"/>
    </row>
    <row r="270" ht="15.75" customHeight="1">
      <c r="A270" s="6"/>
      <c r="B270" s="6"/>
      <c r="C270" s="6" t="str">
        <f>VLOOKUP(B270,Sheet3!$B$2:$E$311,2,FALSE)</f>
        <v>#N/A</v>
      </c>
      <c r="D270" s="6" t="str">
        <f>VLOOKUP(B270,Sheet3!$B$2:$E$311,3,)</f>
        <v>#N/A</v>
      </c>
      <c r="E270" s="6" t="str">
        <f>VLOOKUP(B270,Sheet3!$B$2:$E$311,4,)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VLOOKUP(B271,Sheet3!$B$2:$E$311,2,FALSE)</f>
        <v>#N/A</v>
      </c>
      <c r="D271" s="6" t="str">
        <f>VLOOKUP(B271,Sheet3!$B$2:$E$311,3,)</f>
        <v>#N/A</v>
      </c>
      <c r="E271" s="6" t="str">
        <f>VLOOKUP(B271,Sheet3!$B$2:$E$311,4,)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VLOOKUP(B272,Sheet3!$B$2:$E$311,2,FALSE)</f>
        <v>#N/A</v>
      </c>
      <c r="D272" s="6" t="str">
        <f>VLOOKUP(B272,Sheet3!$B$2:$E$311,3,)</f>
        <v>#N/A</v>
      </c>
      <c r="E272" s="6" t="str">
        <f>VLOOKUP(B272,Sheet3!$B$2:$E$311,4,)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VLOOKUP(B273,Sheet3!$B$2:$E$311,2,FALSE)</f>
        <v>#N/A</v>
      </c>
      <c r="D273" s="6" t="str">
        <f>VLOOKUP(B273,Sheet3!$B$2:$E$311,3,)</f>
        <v>#N/A</v>
      </c>
      <c r="E273" s="6" t="str">
        <f>VLOOKUP(B273,Sheet3!$B$2:$E$311,4,)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VLOOKUP(B274,Sheet3!$B$2:$E$311,2,FALSE)</f>
        <v>#N/A</v>
      </c>
      <c r="D274" s="6" t="str">
        <f>VLOOKUP(B274,Sheet3!$B$2:$E$311,3,)</f>
        <v>#N/A</v>
      </c>
      <c r="E274" s="6" t="str">
        <f>VLOOKUP(B274,Sheet3!$B$2:$E$311,4,)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VLOOKUP(B275,Sheet3!$B$2:$E$311,2,FALSE)</f>
        <v>#N/A</v>
      </c>
      <c r="D275" s="6" t="str">
        <f>VLOOKUP(B275,Sheet3!$B$2:$E$311,3,)</f>
        <v>#N/A</v>
      </c>
      <c r="E275" s="6" t="str">
        <f>VLOOKUP(B275,Sheet3!$B$2:$E$311,4,)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VLOOKUP(B276,Sheet3!$B$2:$E$311,2,FALSE)</f>
        <v>#N/A</v>
      </c>
      <c r="D276" s="6" t="str">
        <f>VLOOKUP(B276,Sheet3!$B$2:$E$311,3,)</f>
        <v>#N/A</v>
      </c>
      <c r="E276" s="6" t="str">
        <f>VLOOKUP(B276,Sheet3!$B$2:$E$311,4,)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VLOOKUP(B277,Sheet3!$B$2:$E$311,2,FALSE)</f>
        <v>#N/A</v>
      </c>
      <c r="D277" s="6" t="str">
        <f>VLOOKUP(B277,Sheet3!$B$2:$E$311,3,)</f>
        <v>#N/A</v>
      </c>
      <c r="E277" s="6" t="str">
        <f>VLOOKUP(B277,Sheet3!$B$2:$E$311,4,)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VLOOKUP(B278,Sheet3!$B$2:$E$311,2,FALSE)</f>
        <v>#N/A</v>
      </c>
      <c r="D278" s="6" t="str">
        <f>VLOOKUP(B278,Sheet3!$B$2:$E$311,3,)</f>
        <v>#N/A</v>
      </c>
      <c r="E278" s="6" t="str">
        <f>VLOOKUP(B278,Sheet3!$B$2:$E$311,4,)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VLOOKUP(B279,Sheet3!$B$2:$E$311,2,FALSE)</f>
        <v>#N/A</v>
      </c>
      <c r="D279" s="6" t="str">
        <f>VLOOKUP(B279,Sheet3!$B$2:$E$311,3,)</f>
        <v>#N/A</v>
      </c>
      <c r="E279" s="6" t="str">
        <f>VLOOKUP(B279,Sheet3!$B$2:$E$311,4,)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VLOOKUP(B280,Sheet3!$B$2:$E$311,2,FALSE)</f>
        <v>#N/A</v>
      </c>
      <c r="D280" s="6" t="str">
        <f>VLOOKUP(B280,Sheet3!$B$2:$E$311,3,)</f>
        <v>#N/A</v>
      </c>
      <c r="E280" s="6" t="str">
        <f>VLOOKUP(B280,Sheet3!$B$2:$E$311,4,)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VLOOKUP(B281,Sheet3!$B$2:$E$311,2,FALSE)</f>
        <v>#N/A</v>
      </c>
      <c r="D281" s="6" t="str">
        <f>VLOOKUP(B281,Sheet3!$B$2:$E$311,3,)</f>
        <v>#N/A</v>
      </c>
      <c r="E281" s="6" t="str">
        <f>VLOOKUP(B281,Sheet3!$B$2:$E$311,4,)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VLOOKUP(B282,Sheet3!$B$2:$E$311,2,FALSE)</f>
        <v>#N/A</v>
      </c>
      <c r="D282" s="6" t="str">
        <f>VLOOKUP(B282,Sheet3!$B$2:$E$311,3,)</f>
        <v>#N/A</v>
      </c>
      <c r="E282" s="6" t="str">
        <f>VLOOKUP(B282,Sheet3!$B$2:$E$311,4,)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VLOOKUP(B283,Sheet3!$B$2:$E$311,2,FALSE)</f>
        <v>#N/A</v>
      </c>
      <c r="D283" s="6" t="str">
        <f>VLOOKUP(B283,Sheet3!$B$2:$E$311,3,)</f>
        <v>#N/A</v>
      </c>
      <c r="E283" s="6" t="str">
        <f>VLOOKUP(B283,Sheet3!$B$2:$E$311,4,)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VLOOKUP(B284,Sheet3!$B$2:$E$311,2,FALSE)</f>
        <v>#N/A</v>
      </c>
      <c r="D284" s="6" t="str">
        <f>VLOOKUP(B284,Sheet3!$B$2:$E$311,3,)</f>
        <v>#N/A</v>
      </c>
      <c r="E284" s="6" t="str">
        <f>VLOOKUP(B284,Sheet3!$B$2:$E$311,4,)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VLOOKUP(B285,Sheet3!$B$2:$E$311,2,FALSE)</f>
        <v>#N/A</v>
      </c>
      <c r="D285" s="6" t="str">
        <f>VLOOKUP(B285,Sheet3!$B$2:$E$311,3,)</f>
        <v>#N/A</v>
      </c>
      <c r="E285" s="6" t="str">
        <f>VLOOKUP(B285,Sheet3!$B$2:$E$311,4,)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VLOOKUP(B286,Sheet3!$B$2:$E$311,2,FALSE)</f>
        <v>#N/A</v>
      </c>
      <c r="D286" s="6" t="str">
        <f>VLOOKUP(B286,Sheet3!$B$2:$E$311,3,)</f>
        <v>#N/A</v>
      </c>
      <c r="E286" s="6" t="str">
        <f>VLOOKUP(B286,Sheet3!$B$2:$E$311,4,)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VLOOKUP(B287,Sheet3!$B$2:$E$311,2,FALSE)</f>
        <v>#N/A</v>
      </c>
      <c r="D287" s="6" t="str">
        <f>VLOOKUP(B287,Sheet3!$B$2:$E$311,3,)</f>
        <v>#N/A</v>
      </c>
      <c r="E287" s="6" t="str">
        <f>VLOOKUP(B287,Sheet3!$B$2:$E$311,4,)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VLOOKUP(B288,Sheet3!$B$2:$E$311,2,FALSE)</f>
        <v>#N/A</v>
      </c>
      <c r="D288" s="6" t="str">
        <f>VLOOKUP(B288,Sheet3!$B$2:$E$311,3,)</f>
        <v>#N/A</v>
      </c>
      <c r="E288" s="6" t="str">
        <f>VLOOKUP(B288,Sheet3!$B$2:$E$311,4,)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VLOOKUP(B289,Sheet3!$B$2:$E$311,2,FALSE)</f>
        <v>#N/A</v>
      </c>
      <c r="D289" s="6" t="str">
        <f>VLOOKUP(B289,Sheet3!$B$2:$E$311,3,)</f>
        <v>#N/A</v>
      </c>
      <c r="E289" s="6" t="str">
        <f>VLOOKUP(B289,Sheet3!$B$2:$E$311,4,)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VLOOKUP(B290,Sheet3!$B$2:$E$311,2,FALSE)</f>
        <v>#N/A</v>
      </c>
      <c r="D290" s="6" t="str">
        <f>VLOOKUP(B290,Sheet3!$B$2:$E$311,3,)</f>
        <v>#N/A</v>
      </c>
      <c r="E290" s="6" t="str">
        <f>VLOOKUP(B290,Sheet3!$B$2:$E$311,4,)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VLOOKUP(B291,Sheet3!$B$2:$E$311,2,FALSE)</f>
        <v>#N/A</v>
      </c>
      <c r="D291" s="6" t="str">
        <f>VLOOKUP(B291,Sheet3!$B$2:$E$311,3,)</f>
        <v>#N/A</v>
      </c>
      <c r="E291" s="6" t="str">
        <f>VLOOKUP(B291,Sheet3!$B$2:$E$311,4,)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VLOOKUP(B292,Sheet3!$B$2:$E$311,2,FALSE)</f>
        <v>#N/A</v>
      </c>
      <c r="D292" s="6" t="str">
        <f>VLOOKUP(B292,Sheet3!$B$2:$E$311,3,)</f>
        <v>#N/A</v>
      </c>
      <c r="E292" s="6" t="str">
        <f>VLOOKUP(B292,Sheet3!$B$2:$E$311,4,)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VLOOKUP(B293,Sheet3!$B$2:$E$311,2,FALSE)</f>
        <v>#N/A</v>
      </c>
      <c r="D293" s="6" t="str">
        <f>VLOOKUP(B293,Sheet3!$B$2:$E$311,3,)</f>
        <v>#N/A</v>
      </c>
      <c r="E293" s="6" t="str">
        <f>VLOOKUP(B293,Sheet3!$B$2:$E$311,4,)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VLOOKUP(B294,Sheet3!$B$2:$E$311,2,FALSE)</f>
        <v>#N/A</v>
      </c>
      <c r="D294" s="6" t="str">
        <f>VLOOKUP(B294,Sheet3!$B$2:$E$311,3,)</f>
        <v>#N/A</v>
      </c>
      <c r="E294" s="6" t="str">
        <f>VLOOKUP(B294,Sheet3!$B$2:$E$311,4,)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VLOOKUP(B295,Sheet3!$B$2:$E$311,2,FALSE)</f>
        <v>#N/A</v>
      </c>
      <c r="D295" s="6" t="str">
        <f>VLOOKUP(B295,Sheet3!$B$2:$E$311,3,)</f>
        <v>#N/A</v>
      </c>
      <c r="E295" s="6" t="str">
        <f>VLOOKUP(B295,Sheet3!$B$2:$E$311,4,)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VLOOKUP(B296,Sheet3!$B$2:$E$311,2,FALSE)</f>
        <v>#N/A</v>
      </c>
      <c r="D296" s="6" t="str">
        <f>VLOOKUP(B296,Sheet3!$B$2:$E$311,3,)</f>
        <v>#N/A</v>
      </c>
      <c r="E296" s="6" t="str">
        <f>VLOOKUP(B296,Sheet3!$B$2:$E$311,4,)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VLOOKUP(B297,Sheet3!$B$2:$E$311,2,FALSE)</f>
        <v>#N/A</v>
      </c>
      <c r="D297" s="6" t="str">
        <f>VLOOKUP(B297,Sheet3!$B$2:$E$311,3,)</f>
        <v>#N/A</v>
      </c>
      <c r="E297" s="6" t="str">
        <f>VLOOKUP(B297,Sheet3!$B$2:$E$311,4,)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VLOOKUP(B298,Sheet3!$B$2:$E$311,2,FALSE)</f>
        <v>#N/A</v>
      </c>
      <c r="D298" s="6" t="str">
        <f>VLOOKUP(B298,Sheet3!$B$2:$E$311,3,)</f>
        <v>#N/A</v>
      </c>
      <c r="E298" s="6" t="str">
        <f>VLOOKUP(B298,Sheet3!$B$2:$E$311,4,)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VLOOKUP(B299,Sheet3!$B$2:$E$311,2,FALSE)</f>
        <v>#N/A</v>
      </c>
      <c r="D299" s="6" t="str">
        <f>VLOOKUP(B299,Sheet3!$B$2:$E$311,3,)</f>
        <v>#N/A</v>
      </c>
      <c r="E299" s="6" t="str">
        <f>VLOOKUP(B299,Sheet3!$B$2:$E$311,4,)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VLOOKUP(B300,Sheet3!$B$2:$E$311,2,FALSE)</f>
        <v>#N/A</v>
      </c>
      <c r="D300" s="6" t="str">
        <f>VLOOKUP(B300,Sheet3!$B$2:$E$311,3,)</f>
        <v>#N/A</v>
      </c>
      <c r="E300" s="6" t="str">
        <f>VLOOKUP(B300,Sheet3!$B$2:$E$311,4,)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VLOOKUP(B301,Sheet3!$B$2:$E$311,2,FALSE)</f>
        <v>#N/A</v>
      </c>
      <c r="D301" s="6" t="str">
        <f>VLOOKUP(B301,Sheet3!$B$2:$E$311,3,)</f>
        <v>#N/A</v>
      </c>
      <c r="E301" s="6" t="str">
        <f>VLOOKUP(B301,Sheet3!$B$2:$E$311,4,)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VLOOKUP(B302,Sheet3!$B$2:$E$311,2,FALSE)</f>
        <v>#N/A</v>
      </c>
      <c r="D302" s="6" t="str">
        <f>VLOOKUP(B302,Sheet3!$B$2:$E$311,3,)</f>
        <v>#N/A</v>
      </c>
      <c r="E302" s="6" t="str">
        <f>VLOOKUP(B302,Sheet3!$B$2:$E$311,4,)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VLOOKUP(B303,Sheet3!$B$2:$E$311,2,FALSE)</f>
        <v>#N/A</v>
      </c>
      <c r="D303" s="6" t="str">
        <f>VLOOKUP(B303,Sheet3!$B$2:$E$311,3,)</f>
        <v>#N/A</v>
      </c>
      <c r="E303" s="6" t="str">
        <f>VLOOKUP(B303,Sheet3!$B$2:$E$311,4,)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VLOOKUP(B304,Sheet3!$B$2:$E$311,2,FALSE)</f>
        <v>#N/A</v>
      </c>
      <c r="D304" s="6" t="str">
        <f>VLOOKUP(B304,Sheet3!$B$2:$E$311,3,)</f>
        <v>#N/A</v>
      </c>
      <c r="E304" s="6" t="str">
        <f>VLOOKUP(B304,Sheet3!$B$2:$E$311,4,)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VLOOKUP(B305,Sheet3!$B$2:$E$311,2,FALSE)</f>
        <v>#N/A</v>
      </c>
      <c r="D305" s="6" t="str">
        <f>VLOOKUP(B305,Sheet3!$B$2:$E$311,3,)</f>
        <v>#N/A</v>
      </c>
      <c r="E305" s="6" t="str">
        <f>VLOOKUP(B305,Sheet3!$B$2:$E$311,4,)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VLOOKUP(B306,Sheet3!$B$2:$E$311,2,FALSE)</f>
        <v>#N/A</v>
      </c>
      <c r="D306" s="6" t="str">
        <f>VLOOKUP(B306,Sheet3!$B$2:$E$311,3,)</f>
        <v>#N/A</v>
      </c>
      <c r="E306" s="6" t="str">
        <f>VLOOKUP(B306,Sheet3!$B$2:$E$311,4,)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VLOOKUP(B307,Sheet3!$B$2:$E$311,2,FALSE)</f>
        <v>#N/A</v>
      </c>
      <c r="D307" s="6" t="str">
        <f>VLOOKUP(B307,Sheet3!$B$2:$E$311,3,)</f>
        <v>#N/A</v>
      </c>
      <c r="E307" s="6" t="str">
        <f>VLOOKUP(B307,Sheet3!$B$2:$E$311,4,)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VLOOKUP(B308,Sheet3!$B$2:$E$311,2,FALSE)</f>
        <v>#N/A</v>
      </c>
      <c r="D308" s="6" t="str">
        <f>VLOOKUP(B308,Sheet3!$B$2:$E$311,3,)</f>
        <v>#N/A</v>
      </c>
      <c r="E308" s="6" t="str">
        <f>VLOOKUP(B308,Sheet3!$B$2:$E$311,4,)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VLOOKUP(B309,Sheet3!$B$2:$E$311,2,FALSE)</f>
        <v>#N/A</v>
      </c>
      <c r="D309" s="6" t="str">
        <f>VLOOKUP(B309,Sheet3!$B$2:$E$311,3,)</f>
        <v>#N/A</v>
      </c>
      <c r="E309" s="6" t="str">
        <f>VLOOKUP(B309,Sheet3!$B$2:$E$311,4,)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VLOOKUP(B310,Sheet3!$B$2:$E$311,2,FALSE)</f>
        <v>#N/A</v>
      </c>
      <c r="D310" s="6" t="str">
        <f>VLOOKUP(B310,Sheet3!$B$2:$E$311,3,)</f>
        <v>#N/A</v>
      </c>
      <c r="E310" s="6" t="str">
        <f>VLOOKUP(B310,Sheet3!$B$2:$E$311,4,)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VLOOKUP(B311,Sheet3!$B$2:$E$311,2,FALSE)</f>
        <v>#N/A</v>
      </c>
      <c r="D311" s="6" t="str">
        <f>VLOOKUP(B311,Sheet3!$B$2:$E$311,3,)</f>
        <v>#N/A</v>
      </c>
      <c r="E311" s="6" t="str">
        <f>VLOOKUP(B311,Sheet3!$B$2:$E$311,4,)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VLOOKUP(B312,Sheet3!$B$2:$E$311,2,FALSE)</f>
        <v>#N/A</v>
      </c>
      <c r="D312" s="6" t="str">
        <f>VLOOKUP(B312,Sheet3!$B$2:$E$311,3,)</f>
        <v>#N/A</v>
      </c>
      <c r="E312" s="6" t="str">
        <f>VLOOKUP(B312,Sheet3!$B$2:$E$311,4,)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VLOOKUP(B313,Sheet3!$B$2:$E$311,2,FALSE)</f>
        <v>#N/A</v>
      </c>
      <c r="D313" s="6" t="str">
        <f>VLOOKUP(B313,Sheet3!$B$2:$E$311,3,)</f>
        <v>#N/A</v>
      </c>
      <c r="E313" s="6" t="str">
        <f>VLOOKUP(B313,Sheet3!$B$2:$E$311,4,)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VLOOKUP(B314,Sheet3!$B$2:$E$311,2,FALSE)</f>
        <v>#N/A</v>
      </c>
      <c r="D314" s="6" t="str">
        <f>VLOOKUP(B314,Sheet3!$B$2:$E$311,3,)</f>
        <v>#N/A</v>
      </c>
      <c r="E314" s="6" t="str">
        <f>VLOOKUP(B314,Sheet3!$B$2:$E$311,4,)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VLOOKUP(B315,Sheet3!$B$2:$E$311,2,FALSE)</f>
        <v>#N/A</v>
      </c>
      <c r="D315" s="6" t="str">
        <f>VLOOKUP(B315,Sheet3!$B$2:$E$311,3,)</f>
        <v>#N/A</v>
      </c>
      <c r="E315" s="6" t="str">
        <f>VLOOKUP(B315,Sheet3!$B$2:$E$311,4,)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VLOOKUP(B316,Sheet3!$B$2:$E$311,2,FALSE)</f>
        <v>#N/A</v>
      </c>
      <c r="D316" s="6" t="str">
        <f>VLOOKUP(B316,Sheet3!$B$2:$E$311,3,)</f>
        <v>#N/A</v>
      </c>
      <c r="E316" s="6" t="str">
        <f>VLOOKUP(B316,Sheet3!$B$2:$E$311,4,)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VLOOKUP(B317,Sheet3!$B$2:$E$311,2,FALSE)</f>
        <v>#N/A</v>
      </c>
      <c r="D317" s="6" t="str">
        <f>VLOOKUP(B317,Sheet3!$B$2:$E$311,3,)</f>
        <v>#N/A</v>
      </c>
      <c r="E317" s="6" t="str">
        <f>VLOOKUP(B317,Sheet3!$B$2:$E$311,4,)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VLOOKUP(B318,Sheet3!$B$2:$E$311,2,FALSE)</f>
        <v>#N/A</v>
      </c>
      <c r="D318" s="6" t="str">
        <f>VLOOKUP(B318,Sheet3!$B$2:$E$311,3,)</f>
        <v>#N/A</v>
      </c>
      <c r="E318" s="6" t="str">
        <f>VLOOKUP(B318,Sheet3!$B$2:$E$311,4,)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VLOOKUP(B319,Sheet3!$B$2:$E$311,2,FALSE)</f>
        <v>#N/A</v>
      </c>
      <c r="D319" s="6" t="str">
        <f>VLOOKUP(B319,Sheet3!$B$2:$E$311,3,)</f>
        <v>#N/A</v>
      </c>
      <c r="E319" s="6" t="str">
        <f>VLOOKUP(B319,Sheet3!$B$2:$E$311,4,)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VLOOKUP(B320,Sheet3!$B$2:$E$311,2,FALSE)</f>
        <v>#N/A</v>
      </c>
      <c r="D320" s="6" t="str">
        <f>VLOOKUP(B320,Sheet3!$B$2:$E$311,3,)</f>
        <v>#N/A</v>
      </c>
      <c r="E320" s="6" t="str">
        <f>VLOOKUP(B320,Sheet3!$B$2:$E$311,4,)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VLOOKUP(B321,Sheet3!$B$2:$E$311,2,FALSE)</f>
        <v>#N/A</v>
      </c>
      <c r="D321" s="6" t="str">
        <f>VLOOKUP(B321,Sheet3!$B$2:$E$311,3,)</f>
        <v>#N/A</v>
      </c>
      <c r="E321" s="6" t="str">
        <f>VLOOKUP(B321,Sheet3!$B$2:$E$311,4,)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VLOOKUP(B322,Sheet3!$B$2:$E$311,2,FALSE)</f>
        <v>#N/A</v>
      </c>
      <c r="D322" s="6" t="str">
        <f>VLOOKUP(B322,Sheet3!$B$2:$E$311,3,)</f>
        <v>#N/A</v>
      </c>
      <c r="E322" s="6" t="str">
        <f>VLOOKUP(B322,Sheet3!$B$2:$E$311,4,)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VLOOKUP(B323,Sheet3!$B$2:$E$311,2,FALSE)</f>
        <v>#N/A</v>
      </c>
      <c r="D323" s="6" t="str">
        <f>VLOOKUP(B323,Sheet3!$B$2:$E$311,3,)</f>
        <v>#N/A</v>
      </c>
      <c r="E323" s="6" t="str">
        <f>VLOOKUP(B323,Sheet3!$B$2:$E$311,4,)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VLOOKUP(B324,Sheet3!$B$2:$E$311,2,FALSE)</f>
        <v>#N/A</v>
      </c>
      <c r="D324" s="6" t="str">
        <f>VLOOKUP(B324,Sheet3!$B$2:$E$311,3,)</f>
        <v>#N/A</v>
      </c>
      <c r="E324" s="6" t="str">
        <f>VLOOKUP(B324,Sheet3!$B$2:$E$311,4,)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VLOOKUP(B325,Sheet3!$B$2:$E$311,2,FALSE)</f>
        <v>#N/A</v>
      </c>
      <c r="D325" s="6" t="str">
        <f>VLOOKUP(B325,Sheet3!$B$2:$E$311,3,)</f>
        <v>#N/A</v>
      </c>
      <c r="E325" s="6" t="str">
        <f>VLOOKUP(B325,Sheet3!$B$2:$E$311,4,)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VLOOKUP(B326,Sheet3!$B$2:$E$311,2,FALSE)</f>
        <v>#N/A</v>
      </c>
      <c r="D326" s="6" t="str">
        <f>VLOOKUP(B326,Sheet3!$B$2:$E$311,3,)</f>
        <v>#N/A</v>
      </c>
      <c r="E326" s="6" t="str">
        <f>VLOOKUP(B326,Sheet3!$B$2:$E$311,4,)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VLOOKUP(B327,Sheet3!$B$2:$E$311,2,FALSE)</f>
        <v>#N/A</v>
      </c>
      <c r="D327" s="6" t="str">
        <f>VLOOKUP(B327,Sheet3!$B$2:$E$311,3,)</f>
        <v>#N/A</v>
      </c>
      <c r="E327" s="6" t="str">
        <f>VLOOKUP(B327,Sheet3!$B$2:$E$311,4,)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VLOOKUP(B328,Sheet3!$B$2:$E$311,2,FALSE)</f>
        <v>#N/A</v>
      </c>
      <c r="D328" s="6" t="str">
        <f>VLOOKUP(B328,Sheet3!$B$2:$E$311,3,)</f>
        <v>#N/A</v>
      </c>
      <c r="E328" s="6" t="str">
        <f>VLOOKUP(B328,Sheet3!$B$2:$E$311,4,)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VLOOKUP(B329,Sheet3!$B$2:$E$311,2,FALSE)</f>
        <v>#N/A</v>
      </c>
      <c r="D329" s="6" t="str">
        <f>VLOOKUP(B329,Sheet3!$B$2:$E$311,3,)</f>
        <v>#N/A</v>
      </c>
      <c r="E329" s="6" t="str">
        <f>VLOOKUP(B329,Sheet3!$B$2:$E$311,4,)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VLOOKUP(B330,Sheet3!$B$2:$E$311,2,FALSE)</f>
        <v>#N/A</v>
      </c>
      <c r="D330" s="6" t="str">
        <f>VLOOKUP(B330,Sheet3!$B$2:$E$311,3,)</f>
        <v>#N/A</v>
      </c>
      <c r="E330" s="6" t="str">
        <f>VLOOKUP(B330,Sheet3!$B$2:$E$311,4,)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VLOOKUP(B331,Sheet3!$B$2:$E$311,2,FALSE)</f>
        <v>#N/A</v>
      </c>
      <c r="D331" s="6" t="str">
        <f>VLOOKUP(B331,Sheet3!$B$2:$E$311,3,)</f>
        <v>#N/A</v>
      </c>
      <c r="E331" s="6" t="str">
        <f>VLOOKUP(B331,Sheet3!$B$2:$E$311,4,)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VLOOKUP(B332,Sheet3!$B$2:$E$311,2,FALSE)</f>
        <v>#N/A</v>
      </c>
      <c r="D332" s="6" t="str">
        <f>VLOOKUP(B332,Sheet3!$B$2:$E$311,3,)</f>
        <v>#N/A</v>
      </c>
      <c r="E332" s="6" t="str">
        <f>VLOOKUP(B332,Sheet3!$B$2:$E$311,4,)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VLOOKUP(B333,Sheet3!$B$2:$E$311,2,FALSE)</f>
        <v>#N/A</v>
      </c>
      <c r="D333" s="6" t="str">
        <f>VLOOKUP(B333,Sheet3!$B$2:$E$311,3,)</f>
        <v>#N/A</v>
      </c>
      <c r="E333" s="6" t="str">
        <f>VLOOKUP(B333,Sheet3!$B$2:$E$311,4,)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VLOOKUP(B334,Sheet3!$B$2:$E$311,2,FALSE)</f>
        <v>#N/A</v>
      </c>
      <c r="D334" s="6" t="str">
        <f>VLOOKUP(B334,Sheet3!$B$2:$E$311,3,)</f>
        <v>#N/A</v>
      </c>
      <c r="E334" s="6" t="str">
        <f>VLOOKUP(B334,Sheet3!$B$2:$E$311,4,)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VLOOKUP(B335,Sheet3!$B$2:$E$311,2,FALSE)</f>
        <v>#N/A</v>
      </c>
      <c r="D335" s="6" t="str">
        <f>VLOOKUP(B335,Sheet3!$B$2:$E$311,3,)</f>
        <v>#N/A</v>
      </c>
      <c r="E335" s="6" t="str">
        <f>VLOOKUP(B335,Sheet3!$B$2:$E$311,4,)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VLOOKUP(B336,Sheet3!$B$2:$E$311,2,FALSE)</f>
        <v>#N/A</v>
      </c>
      <c r="D336" s="6" t="str">
        <f>VLOOKUP(B336,Sheet3!$B$2:$E$311,3,)</f>
        <v>#N/A</v>
      </c>
      <c r="E336" s="6" t="str">
        <f>VLOOKUP(B336,Sheet3!$B$2:$E$311,4,)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VLOOKUP(B337,Sheet3!$B$2:$E$311,2,FALSE)</f>
        <v>#N/A</v>
      </c>
      <c r="D337" s="6" t="str">
        <f>VLOOKUP(B337,Sheet3!$B$2:$E$311,3,)</f>
        <v>#N/A</v>
      </c>
      <c r="E337" s="6" t="str">
        <f>VLOOKUP(B337,Sheet3!$B$2:$E$311,4,)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VLOOKUP(B338,Sheet3!$B$2:$E$311,2,FALSE)</f>
        <v>#N/A</v>
      </c>
      <c r="D338" s="6" t="str">
        <f>VLOOKUP(B338,Sheet3!$B$2:$E$311,3,)</f>
        <v>#N/A</v>
      </c>
      <c r="E338" s="6" t="str">
        <f>VLOOKUP(B338,Sheet3!$B$2:$E$311,4,)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VLOOKUP(B339,Sheet3!$B$2:$E$311,2,FALSE)</f>
        <v>#N/A</v>
      </c>
      <c r="D339" s="6" t="str">
        <f>VLOOKUP(B339,Sheet3!$B$2:$E$311,3,)</f>
        <v>#N/A</v>
      </c>
      <c r="E339" s="6" t="str">
        <f>VLOOKUP(B339,Sheet3!$B$2:$E$311,4,)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VLOOKUP(B340,Sheet3!$B$2:$E$311,2,FALSE)</f>
        <v>#N/A</v>
      </c>
      <c r="D340" s="6" t="str">
        <f>VLOOKUP(B340,Sheet3!$B$2:$E$311,3,)</f>
        <v>#N/A</v>
      </c>
      <c r="E340" s="6" t="str">
        <f>VLOOKUP(B340,Sheet3!$B$2:$E$311,4,)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VLOOKUP(B341,Sheet3!$B$2:$E$311,2,FALSE)</f>
        <v>#N/A</v>
      </c>
      <c r="D341" s="6" t="str">
        <f>VLOOKUP(B341,Sheet3!$B$2:$E$311,3,)</f>
        <v>#N/A</v>
      </c>
      <c r="E341" s="6" t="str">
        <f>VLOOKUP(B341,Sheet3!$B$2:$E$311,4,)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VLOOKUP(B342,Sheet3!$B$2:$E$311,2,FALSE)</f>
        <v>#N/A</v>
      </c>
      <c r="D342" s="6" t="str">
        <f>VLOOKUP(B342,Sheet3!$B$2:$E$311,3,)</f>
        <v>#N/A</v>
      </c>
      <c r="E342" s="6" t="str">
        <f>VLOOKUP(B342,Sheet3!$B$2:$E$311,4,)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VLOOKUP(B343,Sheet3!$B$2:$E$311,2,FALSE)</f>
        <v>#N/A</v>
      </c>
      <c r="D343" s="6" t="str">
        <f>VLOOKUP(B343,Sheet3!$B$2:$E$311,3,)</f>
        <v>#N/A</v>
      </c>
      <c r="E343" s="6" t="str">
        <f>VLOOKUP(B343,Sheet3!$B$2:$E$311,4,)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VLOOKUP(B344,Sheet3!$B$2:$E$311,2,FALSE)</f>
        <v>#N/A</v>
      </c>
      <c r="D344" s="6" t="str">
        <f>VLOOKUP(B344,Sheet3!$B$2:$E$311,3,)</f>
        <v>#N/A</v>
      </c>
      <c r="E344" s="6" t="str">
        <f>VLOOKUP(B344,Sheet3!$B$2:$E$311,4,)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VLOOKUP(B345,Sheet3!$B$2:$E$311,2,FALSE)</f>
        <v>#N/A</v>
      </c>
      <c r="D345" s="6" t="str">
        <f>VLOOKUP(B345,Sheet3!$B$2:$E$311,3,)</f>
        <v>#N/A</v>
      </c>
      <c r="E345" s="6" t="str">
        <f>VLOOKUP(B345,Sheet3!$B$2:$E$311,4,)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VLOOKUP(B346,Sheet3!$B$2:$E$311,2,FALSE)</f>
        <v>#N/A</v>
      </c>
      <c r="D346" s="6" t="str">
        <f>VLOOKUP(B346,Sheet3!$B$2:$E$311,3,)</f>
        <v>#N/A</v>
      </c>
      <c r="E346" s="6" t="str">
        <f>VLOOKUP(B346,Sheet3!$B$2:$E$311,4,)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VLOOKUP(B347,Sheet3!$B$2:$E$311,2,FALSE)</f>
        <v>#N/A</v>
      </c>
      <c r="D347" s="6" t="str">
        <f>VLOOKUP(B347,Sheet3!$B$2:$E$311,3,)</f>
        <v>#N/A</v>
      </c>
      <c r="E347" s="6" t="str">
        <f>VLOOKUP(B347,Sheet3!$B$2:$E$311,4,)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VLOOKUP(B348,Sheet3!$B$2:$E$311,2,FALSE)</f>
        <v>#N/A</v>
      </c>
      <c r="D348" s="6" t="str">
        <f>VLOOKUP(B348,Sheet3!$B$2:$E$311,3,)</f>
        <v>#N/A</v>
      </c>
      <c r="E348" s="6" t="str">
        <f>VLOOKUP(B348,Sheet3!$B$2:$E$311,4,)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VLOOKUP(B349,Sheet3!$B$2:$E$311,2,FALSE)</f>
        <v>#N/A</v>
      </c>
      <c r="D349" s="6" t="str">
        <f>VLOOKUP(B349,Sheet3!$B$2:$E$311,3,)</f>
        <v>#N/A</v>
      </c>
      <c r="E349" s="6" t="str">
        <f>VLOOKUP(B349,Sheet3!$B$2:$E$311,4,)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VLOOKUP(B350,Sheet3!$B$2:$E$311,2,FALSE)</f>
        <v>#N/A</v>
      </c>
      <c r="D350" s="6" t="str">
        <f>VLOOKUP(B350,Sheet3!$B$2:$E$311,3,)</f>
        <v>#N/A</v>
      </c>
      <c r="E350" s="6" t="str">
        <f>VLOOKUP(B350,Sheet3!$B$2:$E$311,4,)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VLOOKUP(B351,Sheet3!$B$2:$E$311,2,FALSE)</f>
        <v>#N/A</v>
      </c>
      <c r="D351" s="6" t="str">
        <f>VLOOKUP(B351,Sheet3!$B$2:$E$311,3,)</f>
        <v>#N/A</v>
      </c>
      <c r="E351" s="6" t="str">
        <f>VLOOKUP(B351,Sheet3!$B$2:$E$311,4,)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VLOOKUP(B352,Sheet3!$B$2:$E$311,2,FALSE)</f>
        <v>#N/A</v>
      </c>
      <c r="D352" s="6" t="str">
        <f>VLOOKUP(B352,Sheet3!$B$2:$E$311,3,)</f>
        <v>#N/A</v>
      </c>
      <c r="E352" s="6" t="str">
        <f>VLOOKUP(B352,Sheet3!$B$2:$E$311,4,)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VLOOKUP(B353,Sheet3!$B$2:$E$311,2,FALSE)</f>
        <v>#N/A</v>
      </c>
      <c r="D353" s="6" t="str">
        <f>VLOOKUP(B353,Sheet3!$B$2:$E$311,3,)</f>
        <v>#N/A</v>
      </c>
      <c r="E353" s="6" t="str">
        <f>VLOOKUP(B353,Sheet3!$B$2:$E$311,4,)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VLOOKUP(B354,Sheet3!$B$2:$E$311,2,FALSE)</f>
        <v>#N/A</v>
      </c>
      <c r="D354" s="6" t="str">
        <f>VLOOKUP(B354,Sheet3!$B$2:$E$311,3,)</f>
        <v>#N/A</v>
      </c>
      <c r="E354" s="6" t="str">
        <f>VLOOKUP(B354,Sheet3!$B$2:$E$311,4,)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VLOOKUP(B355,Sheet3!$B$2:$E$311,2,FALSE)</f>
        <v>#N/A</v>
      </c>
      <c r="D355" s="6" t="str">
        <f>VLOOKUP(B355,Sheet3!$B$2:$E$311,3,)</f>
        <v>#N/A</v>
      </c>
      <c r="E355" s="6" t="str">
        <f>VLOOKUP(B355,Sheet3!$B$2:$E$311,4,)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VLOOKUP(B356,Sheet3!$B$2:$E$311,2,FALSE)</f>
        <v>#N/A</v>
      </c>
      <c r="D356" s="6" t="str">
        <f>VLOOKUP(B356,Sheet3!$B$2:$E$311,3,)</f>
        <v>#N/A</v>
      </c>
      <c r="E356" s="6" t="str">
        <f>VLOOKUP(B356,Sheet3!$B$2:$E$311,4,)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VLOOKUP(B357,Sheet3!$B$2:$E$311,2,FALSE)</f>
        <v>#N/A</v>
      </c>
      <c r="D357" s="6" t="str">
        <f>VLOOKUP(B357,Sheet3!$B$2:$E$311,3,)</f>
        <v>#N/A</v>
      </c>
      <c r="E357" s="6" t="str">
        <f>VLOOKUP(B357,Sheet3!$B$2:$E$311,4,)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VLOOKUP(B358,Sheet3!$B$2:$E$311,2,FALSE)</f>
        <v>#N/A</v>
      </c>
      <c r="D358" s="6" t="str">
        <f>VLOOKUP(B358,Sheet3!$B$2:$E$311,3,)</f>
        <v>#N/A</v>
      </c>
      <c r="E358" s="6" t="str">
        <f>VLOOKUP(B358,Sheet3!$B$2:$E$311,4,)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VLOOKUP(B359,Sheet3!$B$2:$E$311,2,FALSE)</f>
        <v>#N/A</v>
      </c>
      <c r="D359" s="6" t="str">
        <f>VLOOKUP(B359,Sheet3!$B$2:$E$311,3,)</f>
        <v>#N/A</v>
      </c>
      <c r="E359" s="6" t="str">
        <f>VLOOKUP(B359,Sheet3!$B$2:$E$311,4,)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VLOOKUP(B360,Sheet3!$B$2:$E$311,2,FALSE)</f>
        <v>#N/A</v>
      </c>
      <c r="D360" s="6" t="str">
        <f>VLOOKUP(B360,Sheet3!$B$2:$E$311,3,)</f>
        <v>#N/A</v>
      </c>
      <c r="E360" s="6" t="str">
        <f>VLOOKUP(B360,Sheet3!$B$2:$E$311,4,)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VLOOKUP(B361,Sheet3!$B$2:$E$311,2,FALSE)</f>
        <v>#N/A</v>
      </c>
      <c r="D361" s="6" t="str">
        <f>VLOOKUP(B361,Sheet3!$B$2:$E$311,3,)</f>
        <v>#N/A</v>
      </c>
      <c r="E361" s="6" t="str">
        <f>VLOOKUP(B361,Sheet3!$B$2:$E$311,4,)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VLOOKUP(B362,Sheet3!$B$2:$E$311,2,FALSE)</f>
        <v>#N/A</v>
      </c>
      <c r="D362" s="6" t="str">
        <f>VLOOKUP(B362,Sheet3!$B$2:$E$311,3,)</f>
        <v>#N/A</v>
      </c>
      <c r="E362" s="6" t="str">
        <f>VLOOKUP(B362,Sheet3!$B$2:$E$311,4,)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VLOOKUP(B363,Sheet3!$B$2:$E$311,2,FALSE)</f>
        <v>#N/A</v>
      </c>
      <c r="D363" s="6" t="str">
        <f>VLOOKUP(B363,Sheet3!$B$2:$E$311,3,)</f>
        <v>#N/A</v>
      </c>
      <c r="E363" s="6" t="str">
        <f>VLOOKUP(B363,Sheet3!$B$2:$E$311,4,)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VLOOKUP(B364,Sheet3!$B$2:$E$311,2,FALSE)</f>
        <v>#N/A</v>
      </c>
      <c r="D364" s="6" t="str">
        <f>VLOOKUP(B364,Sheet3!$B$2:$E$311,3,)</f>
        <v>#N/A</v>
      </c>
      <c r="E364" s="6" t="str">
        <f>VLOOKUP(B364,Sheet3!$B$2:$E$311,4,)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VLOOKUP(B365,Sheet3!$B$2:$E$311,2,FALSE)</f>
        <v>#N/A</v>
      </c>
      <c r="D365" s="6" t="str">
        <f>VLOOKUP(B365,Sheet3!$B$2:$E$311,3,)</f>
        <v>#N/A</v>
      </c>
      <c r="E365" s="6" t="str">
        <f>VLOOKUP(B365,Sheet3!$B$2:$E$311,4,)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VLOOKUP(B366,Sheet3!$B$2:$E$311,2,FALSE)</f>
        <v>#N/A</v>
      </c>
      <c r="D366" s="6" t="str">
        <f>VLOOKUP(B366,Sheet3!$B$2:$E$311,3,)</f>
        <v>#N/A</v>
      </c>
      <c r="E366" s="6" t="str">
        <f>VLOOKUP(B366,Sheet3!$B$2:$E$311,4,)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VLOOKUP(B367,Sheet3!$B$2:$E$311,2,FALSE)</f>
        <v>#N/A</v>
      </c>
      <c r="D367" s="6" t="str">
        <f>VLOOKUP(B367,Sheet3!$B$2:$E$311,3,)</f>
        <v>#N/A</v>
      </c>
      <c r="E367" s="6" t="str">
        <f>VLOOKUP(B367,Sheet3!$B$2:$E$311,4,)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VLOOKUP(B368,Sheet3!$B$2:$E$311,2,FALSE)</f>
        <v>#N/A</v>
      </c>
      <c r="D368" s="6" t="str">
        <f>VLOOKUP(B368,Sheet3!$B$2:$E$311,3,)</f>
        <v>#N/A</v>
      </c>
      <c r="E368" s="6" t="str">
        <f>VLOOKUP(B368,Sheet3!$B$2:$E$311,4,)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VLOOKUP(B369,Sheet3!$B$2:$E$311,2,FALSE)</f>
        <v>#N/A</v>
      </c>
      <c r="D369" s="6" t="str">
        <f>VLOOKUP(B369,Sheet3!$B$2:$E$311,3,)</f>
        <v>#N/A</v>
      </c>
      <c r="E369" s="6" t="str">
        <f>VLOOKUP(B369,Sheet3!$B$2:$E$311,4,)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VLOOKUP(B370,Sheet3!$B$2:$E$311,2,FALSE)</f>
        <v>#N/A</v>
      </c>
      <c r="D370" s="6" t="str">
        <f>VLOOKUP(B370,Sheet3!$B$2:$E$311,3,)</f>
        <v>#N/A</v>
      </c>
      <c r="E370" s="6" t="str">
        <f>VLOOKUP(B370,Sheet3!$B$2:$E$311,4,)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VLOOKUP(B371,Sheet3!$B$2:$E$311,2,FALSE)</f>
        <v>#N/A</v>
      </c>
      <c r="D371" s="6" t="str">
        <f>VLOOKUP(B371,Sheet3!$B$2:$E$311,3,)</f>
        <v>#N/A</v>
      </c>
      <c r="E371" s="6" t="str">
        <f>VLOOKUP(B371,Sheet3!$B$2:$E$311,4,)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VLOOKUP(B372,Sheet3!$B$2:$E$311,2,FALSE)</f>
        <v>#N/A</v>
      </c>
      <c r="D372" s="6" t="str">
        <f>VLOOKUP(B372,Sheet3!$B$2:$E$311,3,)</f>
        <v>#N/A</v>
      </c>
      <c r="E372" s="6" t="str">
        <f>VLOOKUP(B372,Sheet3!$B$2:$E$311,4,)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VLOOKUP(B373,Sheet3!$B$2:$E$311,2,FALSE)</f>
        <v>#N/A</v>
      </c>
      <c r="D373" s="6" t="str">
        <f>VLOOKUP(B373,Sheet3!$B$2:$E$311,3,)</f>
        <v>#N/A</v>
      </c>
      <c r="E373" s="6" t="str">
        <f>VLOOKUP(B373,Sheet3!$B$2:$E$311,4,)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VLOOKUP(B374,Sheet3!$B$2:$E$311,2,FALSE)</f>
        <v>#N/A</v>
      </c>
      <c r="D374" s="6" t="str">
        <f>VLOOKUP(B374,Sheet3!$B$2:$E$311,3,)</f>
        <v>#N/A</v>
      </c>
      <c r="E374" s="6" t="str">
        <f>VLOOKUP(B374,Sheet3!$B$2:$E$311,4,)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VLOOKUP(B375,Sheet3!$B$2:$E$311,2,FALSE)</f>
        <v>#N/A</v>
      </c>
      <c r="D375" s="6" t="str">
        <f>VLOOKUP(B375,Sheet3!$B$2:$E$311,3,)</f>
        <v>#N/A</v>
      </c>
      <c r="E375" s="6" t="str">
        <f>VLOOKUP(B375,Sheet3!$B$2:$E$311,4,)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VLOOKUP(B376,Sheet3!$B$2:$E$311,2,FALSE)</f>
        <v>#N/A</v>
      </c>
      <c r="D376" s="6" t="str">
        <f>VLOOKUP(B376,Sheet3!$B$2:$E$311,3,)</f>
        <v>#N/A</v>
      </c>
      <c r="E376" s="6" t="str">
        <f>VLOOKUP(B376,Sheet3!$B$2:$E$311,4,)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VLOOKUP(B377,Sheet3!$B$2:$E$311,2,FALSE)</f>
        <v>#N/A</v>
      </c>
      <c r="D377" s="6" t="str">
        <f>VLOOKUP(B377,Sheet3!$B$2:$E$311,3,)</f>
        <v>#N/A</v>
      </c>
      <c r="E377" s="6" t="str">
        <f>VLOOKUP(B377,Sheet3!$B$2:$E$311,4,)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VLOOKUP(B378,Sheet3!$B$2:$E$311,2,FALSE)</f>
        <v>#N/A</v>
      </c>
      <c r="D378" s="6" t="str">
        <f>VLOOKUP(B378,Sheet3!$B$2:$E$311,3,)</f>
        <v>#N/A</v>
      </c>
      <c r="E378" s="6" t="str">
        <f>VLOOKUP(B378,Sheet3!$B$2:$E$311,4,)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VLOOKUP(B379,Sheet3!$B$2:$E$311,2,FALSE)</f>
        <v>#N/A</v>
      </c>
      <c r="D379" s="6" t="str">
        <f>VLOOKUP(B379,Sheet3!$B$2:$E$311,3,)</f>
        <v>#N/A</v>
      </c>
      <c r="E379" s="6" t="str">
        <f>VLOOKUP(B379,Sheet3!$B$2:$E$311,4,)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VLOOKUP(B380,Sheet3!$B$2:$E$311,2,FALSE)</f>
        <v>#N/A</v>
      </c>
      <c r="D380" s="6" t="str">
        <f>VLOOKUP(B380,Sheet3!$B$2:$E$311,3,)</f>
        <v>#N/A</v>
      </c>
      <c r="E380" s="6" t="str">
        <f>VLOOKUP(B380,Sheet3!$B$2:$E$311,4,)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VLOOKUP(B381,Sheet3!$B$2:$E$311,2,FALSE)</f>
        <v>#N/A</v>
      </c>
      <c r="D381" s="6" t="str">
        <f>VLOOKUP(B381,Sheet3!$B$2:$E$311,3,)</f>
        <v>#N/A</v>
      </c>
      <c r="E381" s="6" t="str">
        <f>VLOOKUP(B381,Sheet3!$B$2:$E$311,4,)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VLOOKUP(B382,Sheet3!$B$2:$E$311,2,FALSE)</f>
        <v>#N/A</v>
      </c>
      <c r="D382" s="6" t="str">
        <f>VLOOKUP(B382,Sheet3!$B$2:$E$311,3,)</f>
        <v>#N/A</v>
      </c>
      <c r="E382" s="6" t="str">
        <f>VLOOKUP(B382,Sheet3!$B$2:$E$311,4,)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VLOOKUP(B383,Sheet3!$B$2:$E$311,2,FALSE)</f>
        <v>#N/A</v>
      </c>
      <c r="D383" s="6" t="str">
        <f>VLOOKUP(B383,Sheet3!$B$2:$E$311,3,)</f>
        <v>#N/A</v>
      </c>
      <c r="E383" s="6" t="str">
        <f>VLOOKUP(B383,Sheet3!$B$2:$E$311,4,)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VLOOKUP(B384,Sheet3!$B$2:$E$311,2,FALSE)</f>
        <v>#N/A</v>
      </c>
      <c r="D384" s="6" t="str">
        <f>VLOOKUP(B384,Sheet3!$B$2:$E$311,3,)</f>
        <v>#N/A</v>
      </c>
      <c r="E384" s="6" t="str">
        <f>VLOOKUP(B384,Sheet3!$B$2:$E$311,4,)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VLOOKUP(B385,Sheet3!$B$2:$E$311,2,FALSE)</f>
        <v>#N/A</v>
      </c>
      <c r="D385" s="6" t="str">
        <f>VLOOKUP(B385,Sheet3!$B$2:$E$311,3,)</f>
        <v>#N/A</v>
      </c>
      <c r="E385" s="6" t="str">
        <f>VLOOKUP(B385,Sheet3!$B$2:$E$311,4,)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VLOOKUP(B386,Sheet3!$B$2:$E$311,2,FALSE)</f>
        <v>#N/A</v>
      </c>
      <c r="D386" s="6" t="str">
        <f>VLOOKUP(B386,Sheet3!$B$2:$E$311,3,)</f>
        <v>#N/A</v>
      </c>
      <c r="E386" s="6" t="str">
        <f>VLOOKUP(B386,Sheet3!$B$2:$E$311,4,)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VLOOKUP(B387,Sheet3!$B$2:$E$311,2,FALSE)</f>
        <v>#N/A</v>
      </c>
      <c r="D387" s="6" t="str">
        <f>VLOOKUP(B387,Sheet3!$B$2:$E$311,3,)</f>
        <v>#N/A</v>
      </c>
      <c r="E387" s="6" t="str">
        <f>VLOOKUP(B387,Sheet3!$B$2:$E$311,4,)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VLOOKUP(B388,Sheet3!$B$2:$E$311,2,FALSE)</f>
        <v>#N/A</v>
      </c>
      <c r="D388" s="6" t="str">
        <f>VLOOKUP(B388,Sheet3!$B$2:$E$311,3,)</f>
        <v>#N/A</v>
      </c>
      <c r="E388" s="6" t="str">
        <f>VLOOKUP(B388,Sheet3!$B$2:$E$311,4,)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VLOOKUP(B389,Sheet3!$B$2:$E$311,2,FALSE)</f>
        <v>#N/A</v>
      </c>
      <c r="D389" s="6" t="str">
        <f>VLOOKUP(B389,Sheet3!$B$2:$E$311,3,)</f>
        <v>#N/A</v>
      </c>
      <c r="E389" s="6" t="str">
        <f>VLOOKUP(B389,Sheet3!$B$2:$E$311,4,)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VLOOKUP(B390,Sheet3!$B$2:$E$311,2,FALSE)</f>
        <v>#N/A</v>
      </c>
      <c r="D390" s="6" t="str">
        <f>VLOOKUP(B390,Sheet3!$B$2:$E$311,3,)</f>
        <v>#N/A</v>
      </c>
      <c r="E390" s="6" t="str">
        <f>VLOOKUP(B390,Sheet3!$B$2:$E$311,4,)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VLOOKUP(B391,Sheet3!$B$2:$E$311,2,FALSE)</f>
        <v>#N/A</v>
      </c>
      <c r="D391" s="6" t="str">
        <f>VLOOKUP(B391,Sheet3!$B$2:$E$311,3,)</f>
        <v>#N/A</v>
      </c>
      <c r="E391" s="6" t="str">
        <f>VLOOKUP(B391,Sheet3!$B$2:$E$311,4,)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VLOOKUP(B392,Sheet3!$B$2:$E$311,2,FALSE)</f>
        <v>#N/A</v>
      </c>
      <c r="D392" s="6" t="str">
        <f>VLOOKUP(B392,Sheet3!$B$2:$E$311,3,)</f>
        <v>#N/A</v>
      </c>
      <c r="E392" s="6" t="str">
        <f>VLOOKUP(B392,Sheet3!$B$2:$E$311,4,)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VLOOKUP(B393,Sheet3!$B$2:$E$311,2,FALSE)</f>
        <v>#N/A</v>
      </c>
      <c r="D393" s="6" t="str">
        <f>VLOOKUP(B393,Sheet3!$B$2:$E$311,3,)</f>
        <v>#N/A</v>
      </c>
      <c r="E393" s="6" t="str">
        <f>VLOOKUP(B393,Sheet3!$B$2:$E$311,4,)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VLOOKUP(B394,Sheet3!$B$2:$E$311,2,FALSE)</f>
        <v>#N/A</v>
      </c>
      <c r="D394" s="6" t="str">
        <f>VLOOKUP(B394,Sheet3!$B$2:$E$311,3,)</f>
        <v>#N/A</v>
      </c>
      <c r="E394" s="6" t="str">
        <f>VLOOKUP(B394,Sheet3!$B$2:$E$311,4,)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VLOOKUP(B395,Sheet3!$B$2:$E$311,2,FALSE)</f>
        <v>#N/A</v>
      </c>
      <c r="D395" s="6" t="str">
        <f>VLOOKUP(B395,Sheet3!$B$2:$E$311,3,)</f>
        <v>#N/A</v>
      </c>
      <c r="E395" s="6" t="str">
        <f>VLOOKUP(B395,Sheet3!$B$2:$E$311,4,)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VLOOKUP(B396,Sheet3!$B$2:$E$311,2,FALSE)</f>
        <v>#N/A</v>
      </c>
      <c r="D396" s="6" t="str">
        <f>VLOOKUP(B396,Sheet3!$B$2:$E$311,3,)</f>
        <v>#N/A</v>
      </c>
      <c r="E396" s="6" t="str">
        <f>VLOOKUP(B396,Sheet3!$B$2:$E$311,4,)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VLOOKUP(B397,Sheet3!$B$2:$E$311,2,FALSE)</f>
        <v>#N/A</v>
      </c>
      <c r="D397" s="6" t="str">
        <f>VLOOKUP(B397,Sheet3!$B$2:$E$311,3,)</f>
        <v>#N/A</v>
      </c>
      <c r="E397" s="6" t="str">
        <f>VLOOKUP(B397,Sheet3!$B$2:$E$311,4,)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VLOOKUP(B398,Sheet3!$B$2:$E$311,2,FALSE)</f>
        <v>#N/A</v>
      </c>
      <c r="D398" s="6" t="str">
        <f>VLOOKUP(B398,Sheet3!$B$2:$E$311,3,)</f>
        <v>#N/A</v>
      </c>
      <c r="E398" s="6" t="str">
        <f>VLOOKUP(B398,Sheet3!$B$2:$E$311,4,)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VLOOKUP(B399,Sheet3!$B$2:$E$311,2,FALSE)</f>
        <v>#N/A</v>
      </c>
      <c r="D399" s="6" t="str">
        <f>VLOOKUP(B399,Sheet3!$B$2:$E$311,3,)</f>
        <v>#N/A</v>
      </c>
      <c r="E399" s="6" t="str">
        <f>VLOOKUP(B399,Sheet3!$B$2:$E$311,4,)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VLOOKUP(B400,Sheet3!$B$2:$E$311,2,FALSE)</f>
        <v>#N/A</v>
      </c>
      <c r="D400" s="6" t="str">
        <f>VLOOKUP(B400,Sheet3!$B$2:$E$311,3,)</f>
        <v>#N/A</v>
      </c>
      <c r="E400" s="6" t="str">
        <f>VLOOKUP(B400,Sheet3!$B$2:$E$311,4,)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VLOOKUP(B401,Sheet3!$B$2:$E$311,2,FALSE)</f>
        <v>#N/A</v>
      </c>
      <c r="D401" s="6" t="str">
        <f>VLOOKUP(B401,Sheet3!$B$2:$E$311,3,)</f>
        <v>#N/A</v>
      </c>
      <c r="E401" s="6" t="str">
        <f>VLOOKUP(B401,Sheet3!$B$2:$E$311,4,)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VLOOKUP(B402,Sheet3!$B$2:$E$311,2,FALSE)</f>
        <v>#N/A</v>
      </c>
      <c r="D402" s="6" t="str">
        <f>VLOOKUP(B402,Sheet3!$B$2:$E$311,3,)</f>
        <v>#N/A</v>
      </c>
      <c r="E402" s="6" t="str">
        <f>VLOOKUP(B402,Sheet3!$B$2:$E$311,4,)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VLOOKUP(B403,Sheet3!$B$2:$E$311,2,FALSE)</f>
        <v>#N/A</v>
      </c>
      <c r="D403" s="6" t="str">
        <f>VLOOKUP(B403,Sheet3!$B$2:$E$311,3,)</f>
        <v>#N/A</v>
      </c>
      <c r="E403" s="6" t="str">
        <f>VLOOKUP(B403,Sheet3!$B$2:$E$311,4,)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VLOOKUP(B404,Sheet3!$B$2:$E$311,2,FALSE)</f>
        <v>#N/A</v>
      </c>
      <c r="D404" s="6" t="str">
        <f>VLOOKUP(B404,Sheet3!$B$2:$E$311,3,)</f>
        <v>#N/A</v>
      </c>
      <c r="E404" s="6" t="str">
        <f>VLOOKUP(B404,Sheet3!$B$2:$E$311,4,)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VLOOKUP(B405,Sheet3!$B$2:$E$311,2,FALSE)</f>
        <v>#N/A</v>
      </c>
      <c r="D405" s="6" t="str">
        <f>VLOOKUP(B405,Sheet3!$B$2:$E$311,3,)</f>
        <v>#N/A</v>
      </c>
      <c r="E405" s="6" t="str">
        <f>VLOOKUP(B405,Sheet3!$B$2:$E$311,4,)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VLOOKUP(B406,Sheet3!$B$2:$E$311,2,FALSE)</f>
        <v>#N/A</v>
      </c>
      <c r="D406" s="6" t="str">
        <f>VLOOKUP(B406,Sheet3!$B$2:$E$311,3,)</f>
        <v>#N/A</v>
      </c>
      <c r="E406" s="6" t="str">
        <f>VLOOKUP(B406,Sheet3!$B$2:$E$311,4,)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VLOOKUP(B407,Sheet3!$B$2:$E$311,2,FALSE)</f>
        <v>#N/A</v>
      </c>
      <c r="D407" s="6" t="str">
        <f>VLOOKUP(B407,Sheet3!$B$2:$E$311,3,)</f>
        <v>#N/A</v>
      </c>
      <c r="E407" s="6" t="str">
        <f>VLOOKUP(B407,Sheet3!$B$2:$E$311,4,)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VLOOKUP(B408,Sheet3!$B$2:$E$311,2,FALSE)</f>
        <v>#N/A</v>
      </c>
      <c r="D408" s="6" t="str">
        <f>VLOOKUP(B408,Sheet3!$B$2:$E$311,3,)</f>
        <v>#N/A</v>
      </c>
      <c r="E408" s="6" t="str">
        <f>VLOOKUP(B408,Sheet3!$B$2:$E$311,4,)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VLOOKUP(B409,Sheet3!$B$2:$E$311,2,FALSE)</f>
        <v>#N/A</v>
      </c>
      <c r="D409" s="6" t="str">
        <f>VLOOKUP(B409,Sheet3!$B$2:$E$311,3,)</f>
        <v>#N/A</v>
      </c>
      <c r="E409" s="6" t="str">
        <f>VLOOKUP(B409,Sheet3!$B$2:$E$311,4,)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VLOOKUP(B410,Sheet3!$B$2:$E$311,2,FALSE)</f>
        <v>#N/A</v>
      </c>
      <c r="D410" s="6" t="str">
        <f>VLOOKUP(B410,Sheet3!$B$2:$E$311,3,)</f>
        <v>#N/A</v>
      </c>
      <c r="E410" s="6" t="str">
        <f>VLOOKUP(B410,Sheet3!$B$2:$E$311,4,)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VLOOKUP(B411,Sheet3!$B$2:$E$311,2,FALSE)</f>
        <v>#N/A</v>
      </c>
      <c r="D411" s="6" t="str">
        <f>VLOOKUP(B411,Sheet3!$B$2:$E$311,3,)</f>
        <v>#N/A</v>
      </c>
      <c r="E411" s="6" t="str">
        <f>VLOOKUP(B411,Sheet3!$B$2:$E$311,4,)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VLOOKUP(B412,Sheet3!$B$2:$E$311,2,FALSE)</f>
        <v>#N/A</v>
      </c>
      <c r="D412" s="6" t="str">
        <f>VLOOKUP(B412,Sheet3!$B$2:$E$311,3,)</f>
        <v>#N/A</v>
      </c>
      <c r="E412" s="6" t="str">
        <f>VLOOKUP(B412,Sheet3!$B$2:$E$311,4,)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VLOOKUP(B413,Sheet3!$B$2:$E$311,2,FALSE)</f>
        <v>#N/A</v>
      </c>
      <c r="D413" s="6" t="str">
        <f>VLOOKUP(B413,Sheet3!$B$2:$E$311,3,)</f>
        <v>#N/A</v>
      </c>
      <c r="E413" s="6" t="str">
        <f>VLOOKUP(B413,Sheet3!$B$2:$E$311,4,)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VLOOKUP(B414,Sheet3!$B$2:$E$311,2,FALSE)</f>
        <v>#N/A</v>
      </c>
      <c r="D414" s="6" t="str">
        <f>VLOOKUP(B414,Sheet3!$B$2:$E$311,3,)</f>
        <v>#N/A</v>
      </c>
      <c r="E414" s="6" t="str">
        <f>VLOOKUP(B414,Sheet3!$B$2:$E$311,4,)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VLOOKUP(B415,Sheet3!$B$2:$E$311,2,FALSE)</f>
        <v>#N/A</v>
      </c>
      <c r="D415" s="6" t="str">
        <f>VLOOKUP(B415,Sheet3!$B$2:$E$311,3,)</f>
        <v>#N/A</v>
      </c>
      <c r="E415" s="6" t="str">
        <f>VLOOKUP(B415,Sheet3!$B$2:$E$311,4,)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VLOOKUP(B416,Sheet3!$B$2:$E$311,2,FALSE)</f>
        <v>#N/A</v>
      </c>
      <c r="D416" s="6" t="str">
        <f>VLOOKUP(B416,Sheet3!$B$2:$E$311,3,)</f>
        <v>#N/A</v>
      </c>
      <c r="E416" s="6" t="str">
        <f>VLOOKUP(B416,Sheet3!$B$2:$E$311,4,)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VLOOKUP(B417,Sheet3!$B$2:$E$311,2,FALSE)</f>
        <v>#N/A</v>
      </c>
      <c r="D417" s="6" t="str">
        <f>VLOOKUP(B417,Sheet3!$B$2:$E$311,3,)</f>
        <v>#N/A</v>
      </c>
      <c r="E417" s="6" t="str">
        <f>VLOOKUP(B417,Sheet3!$B$2:$E$311,4,)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VLOOKUP(B418,Sheet3!$B$2:$E$311,2,FALSE)</f>
        <v>#N/A</v>
      </c>
      <c r="D418" s="6" t="str">
        <f>VLOOKUP(B418,Sheet3!$B$2:$E$311,3,)</f>
        <v>#N/A</v>
      </c>
      <c r="E418" s="6" t="str">
        <f>VLOOKUP(B418,Sheet3!$B$2:$E$311,4,)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VLOOKUP(B419,Sheet3!$B$2:$E$311,2,FALSE)</f>
        <v>#N/A</v>
      </c>
      <c r="D419" s="6" t="str">
        <f>VLOOKUP(B419,Sheet3!$B$2:$E$311,3,)</f>
        <v>#N/A</v>
      </c>
      <c r="E419" s="6" t="str">
        <f>VLOOKUP(B419,Sheet3!$B$2:$E$311,4,)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VLOOKUP(B420,Sheet3!$B$2:$E$311,2,FALSE)</f>
        <v>#N/A</v>
      </c>
      <c r="D420" s="6" t="str">
        <f>VLOOKUP(B420,Sheet3!$B$2:$E$311,3,)</f>
        <v>#N/A</v>
      </c>
      <c r="E420" s="6" t="str">
        <f>VLOOKUP(B420,Sheet3!$B$2:$E$311,4,)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VLOOKUP(B421,Sheet3!$B$2:$E$311,2,FALSE)</f>
        <v>#N/A</v>
      </c>
      <c r="D421" s="6" t="str">
        <f>VLOOKUP(B421,Sheet3!$B$2:$E$311,3,)</f>
        <v>#N/A</v>
      </c>
      <c r="E421" s="6" t="str">
        <f>VLOOKUP(B421,Sheet3!$B$2:$E$311,4,)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VLOOKUP(B422,Sheet3!$B$2:$E$311,2,FALSE)</f>
        <v>#N/A</v>
      </c>
      <c r="D422" s="6" t="str">
        <f>VLOOKUP(B422,Sheet3!$B$2:$E$311,3,)</f>
        <v>#N/A</v>
      </c>
      <c r="E422" s="6" t="str">
        <f>VLOOKUP(B422,Sheet3!$B$2:$E$311,4,)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VLOOKUP(B423,Sheet3!$B$2:$E$311,2,FALSE)</f>
        <v>#N/A</v>
      </c>
      <c r="D423" s="6" t="str">
        <f>VLOOKUP(B423,Sheet3!$B$2:$E$311,3,)</f>
        <v>#N/A</v>
      </c>
      <c r="E423" s="6" t="str">
        <f>VLOOKUP(B423,Sheet3!$B$2:$E$311,4,)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VLOOKUP(B424,Sheet3!$B$2:$E$311,2,FALSE)</f>
        <v>#N/A</v>
      </c>
      <c r="D424" s="6" t="str">
        <f>VLOOKUP(B424,Sheet3!$B$2:$E$311,3,)</f>
        <v>#N/A</v>
      </c>
      <c r="E424" s="6" t="str">
        <f>VLOOKUP(B424,Sheet3!$B$2:$E$311,4,)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VLOOKUP(B425,Sheet3!$B$2:$E$311,2,FALSE)</f>
        <v>#N/A</v>
      </c>
      <c r="D425" s="6" t="str">
        <f>VLOOKUP(B425,Sheet3!$B$2:$E$311,3,)</f>
        <v>#N/A</v>
      </c>
      <c r="E425" s="6" t="str">
        <f>VLOOKUP(B425,Sheet3!$B$2:$E$311,4,)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VLOOKUP(B426,Sheet3!$B$2:$E$311,2,FALSE)</f>
        <v>#N/A</v>
      </c>
      <c r="D426" s="6" t="str">
        <f>VLOOKUP(B426,Sheet3!$B$2:$E$311,3,)</f>
        <v>#N/A</v>
      </c>
      <c r="E426" s="6" t="str">
        <f>VLOOKUP(B426,Sheet3!$B$2:$E$311,4,)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VLOOKUP(B427,Sheet3!$B$2:$E$311,2,FALSE)</f>
        <v>#N/A</v>
      </c>
      <c r="D427" s="6" t="str">
        <f>VLOOKUP(B427,Sheet3!$B$2:$E$311,3,)</f>
        <v>#N/A</v>
      </c>
      <c r="E427" s="6" t="str">
        <f>VLOOKUP(B427,Sheet3!$B$2:$E$311,4,)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VLOOKUP(B428,Sheet3!$B$2:$E$311,2,FALSE)</f>
        <v>#N/A</v>
      </c>
      <c r="D428" s="6" t="str">
        <f>VLOOKUP(B428,Sheet3!$B$2:$E$311,3,)</f>
        <v>#N/A</v>
      </c>
      <c r="E428" s="6" t="str">
        <f>VLOOKUP(B428,Sheet3!$B$2:$E$311,4,)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VLOOKUP(B429,Sheet3!$B$2:$E$311,2,FALSE)</f>
        <v>#N/A</v>
      </c>
      <c r="D429" s="6" t="str">
        <f>VLOOKUP(B429,Sheet3!$B$2:$E$311,3,)</f>
        <v>#N/A</v>
      </c>
      <c r="E429" s="6" t="str">
        <f>VLOOKUP(B429,Sheet3!$B$2:$E$311,4,)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VLOOKUP(B430,Sheet3!$B$2:$E$311,2,FALSE)</f>
        <v>#N/A</v>
      </c>
      <c r="D430" s="6" t="str">
        <f>VLOOKUP(B430,Sheet3!$B$2:$E$311,3,)</f>
        <v>#N/A</v>
      </c>
      <c r="E430" s="6" t="str">
        <f>VLOOKUP(B430,Sheet3!$B$2:$E$311,4,)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VLOOKUP(B431,Sheet3!$B$2:$E$311,2,FALSE)</f>
        <v>#N/A</v>
      </c>
      <c r="D431" s="6" t="str">
        <f>VLOOKUP(B431,Sheet3!$B$2:$E$311,3,)</f>
        <v>#N/A</v>
      </c>
      <c r="E431" s="6" t="str">
        <f>VLOOKUP(B431,Sheet3!$B$2:$E$311,4,)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VLOOKUP(B432,Sheet3!$B$2:$E$311,2,FALSE)</f>
        <v>#N/A</v>
      </c>
      <c r="D432" s="6" t="str">
        <f>VLOOKUP(B432,Sheet3!$B$2:$E$311,3,)</f>
        <v>#N/A</v>
      </c>
      <c r="E432" s="6" t="str">
        <f>VLOOKUP(B432,Sheet3!$B$2:$E$311,4,)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VLOOKUP(B433,Sheet3!$B$2:$E$311,2,FALSE)</f>
        <v>#N/A</v>
      </c>
      <c r="D433" s="6" t="str">
        <f>VLOOKUP(B433,Sheet3!$B$2:$E$311,3,)</f>
        <v>#N/A</v>
      </c>
      <c r="E433" s="6" t="str">
        <f>VLOOKUP(B433,Sheet3!$B$2:$E$311,4,)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VLOOKUP(B434,Sheet3!$B$2:$E$311,2,FALSE)</f>
        <v>#N/A</v>
      </c>
      <c r="D434" s="6" t="str">
        <f>VLOOKUP(B434,Sheet3!$B$2:$E$311,3,)</f>
        <v>#N/A</v>
      </c>
      <c r="E434" s="6" t="str">
        <f>VLOOKUP(B434,Sheet3!$B$2:$E$311,4,)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VLOOKUP(B435,Sheet3!$B$2:$E$311,2,FALSE)</f>
        <v>#N/A</v>
      </c>
      <c r="D435" s="6" t="str">
        <f>VLOOKUP(B435,Sheet3!$B$2:$E$311,3,)</f>
        <v>#N/A</v>
      </c>
      <c r="E435" s="6" t="str">
        <f>VLOOKUP(B435,Sheet3!$B$2:$E$311,4,)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VLOOKUP(B436,Sheet3!$B$2:$E$311,2,FALSE)</f>
        <v>#N/A</v>
      </c>
      <c r="D436" s="6" t="str">
        <f>VLOOKUP(B436,Sheet3!$B$2:$E$311,3,)</f>
        <v>#N/A</v>
      </c>
      <c r="E436" s="6" t="str">
        <f>VLOOKUP(B436,Sheet3!$B$2:$E$311,4,)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VLOOKUP(B437,Sheet3!$B$2:$E$311,2,FALSE)</f>
        <v>#N/A</v>
      </c>
      <c r="D437" s="6" t="str">
        <f>VLOOKUP(B437,Sheet3!$B$2:$E$311,3,)</f>
        <v>#N/A</v>
      </c>
      <c r="E437" s="6" t="str">
        <f>VLOOKUP(B437,Sheet3!$B$2:$E$311,4,)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VLOOKUP(B438,Sheet3!$B$2:$E$311,2,FALSE)</f>
        <v>#N/A</v>
      </c>
      <c r="D438" s="6" t="str">
        <f>VLOOKUP(B438,Sheet3!$B$2:$E$311,3,)</f>
        <v>#N/A</v>
      </c>
      <c r="E438" s="6" t="str">
        <f>VLOOKUP(B438,Sheet3!$B$2:$E$311,4,)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VLOOKUP(B439,Sheet3!$B$2:$E$311,2,FALSE)</f>
        <v>#N/A</v>
      </c>
      <c r="D439" s="6" t="str">
        <f>VLOOKUP(B439,Sheet3!$B$2:$E$311,3,)</f>
        <v>#N/A</v>
      </c>
      <c r="E439" s="6" t="str">
        <f>VLOOKUP(B439,Sheet3!$B$2:$E$311,4,)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VLOOKUP(B440,Sheet3!$B$2:$E$311,2,FALSE)</f>
        <v>#N/A</v>
      </c>
      <c r="D440" s="6" t="str">
        <f>VLOOKUP(B440,Sheet3!$B$2:$E$311,3,)</f>
        <v>#N/A</v>
      </c>
      <c r="E440" s="6" t="str">
        <f>VLOOKUP(B440,Sheet3!$B$2:$E$311,4,)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VLOOKUP(B441,Sheet3!$B$2:$E$311,2,FALSE)</f>
        <v>#N/A</v>
      </c>
      <c r="D441" s="6" t="str">
        <f>VLOOKUP(B441,Sheet3!$B$2:$E$311,3,)</f>
        <v>#N/A</v>
      </c>
      <c r="E441" s="6" t="str">
        <f>VLOOKUP(B441,Sheet3!$B$2:$E$311,4,)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VLOOKUP(B442,Sheet3!$B$2:$E$311,2,FALSE)</f>
        <v>#N/A</v>
      </c>
      <c r="D442" s="6" t="str">
        <f>VLOOKUP(B442,Sheet3!$B$2:$E$311,3,)</f>
        <v>#N/A</v>
      </c>
      <c r="E442" s="6" t="str">
        <f>VLOOKUP(B442,Sheet3!$B$2:$E$311,4,)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VLOOKUP(B443,Sheet3!$B$2:$E$311,2,FALSE)</f>
        <v>#N/A</v>
      </c>
      <c r="D443" s="6" t="str">
        <f>VLOOKUP(B443,Sheet3!$B$2:$E$311,3,)</f>
        <v>#N/A</v>
      </c>
      <c r="E443" s="6" t="str">
        <f>VLOOKUP(B443,Sheet3!$B$2:$E$311,4,)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VLOOKUP(B444,Sheet3!$B$2:$E$311,2,FALSE)</f>
        <v>#N/A</v>
      </c>
      <c r="D444" s="6" t="str">
        <f>VLOOKUP(B444,Sheet3!$B$2:$E$311,3,)</f>
        <v>#N/A</v>
      </c>
      <c r="E444" s="6" t="str">
        <f>VLOOKUP(B444,Sheet3!$B$2:$E$311,4,)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VLOOKUP(B445,Sheet3!$B$2:$E$311,2,FALSE)</f>
        <v>#N/A</v>
      </c>
      <c r="D445" s="6" t="str">
        <f>VLOOKUP(B445,Sheet3!$B$2:$E$311,3,)</f>
        <v>#N/A</v>
      </c>
      <c r="E445" s="6" t="str">
        <f>VLOOKUP(B445,Sheet3!$B$2:$E$311,4,)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VLOOKUP(B446,Sheet3!$B$2:$E$311,2,FALSE)</f>
        <v>#N/A</v>
      </c>
      <c r="D446" s="6" t="str">
        <f>VLOOKUP(B446,Sheet3!$B$2:$E$311,3,)</f>
        <v>#N/A</v>
      </c>
      <c r="E446" s="6" t="str">
        <f>VLOOKUP(B446,Sheet3!$B$2:$E$311,4,)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VLOOKUP(B447,Sheet3!$B$2:$E$311,2,FALSE)</f>
        <v>#N/A</v>
      </c>
      <c r="D447" s="6" t="str">
        <f>VLOOKUP(B447,Sheet3!$B$2:$E$311,3,)</f>
        <v>#N/A</v>
      </c>
      <c r="E447" s="6" t="str">
        <f>VLOOKUP(B447,Sheet3!$B$2:$E$311,4,)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VLOOKUP(B448,Sheet3!$B$2:$E$311,2,FALSE)</f>
        <v>#N/A</v>
      </c>
      <c r="D448" s="6" t="str">
        <f>VLOOKUP(B448,Sheet3!$B$2:$E$311,3,)</f>
        <v>#N/A</v>
      </c>
      <c r="E448" s="6" t="str">
        <f>VLOOKUP(B448,Sheet3!$B$2:$E$311,4,)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VLOOKUP(B449,Sheet3!$B$2:$E$311,2,FALSE)</f>
        <v>#N/A</v>
      </c>
      <c r="D449" s="6" t="str">
        <f>VLOOKUP(B449,Sheet3!$B$2:$E$311,3,)</f>
        <v>#N/A</v>
      </c>
      <c r="E449" s="6" t="str">
        <f>VLOOKUP(B449,Sheet3!$B$2:$E$311,4,)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VLOOKUP(B450,Sheet3!$B$2:$E$311,2,FALSE)</f>
        <v>#N/A</v>
      </c>
      <c r="D450" s="6" t="str">
        <f>VLOOKUP(B450,Sheet3!$B$2:$E$311,3,)</f>
        <v>#N/A</v>
      </c>
      <c r="E450" s="6" t="str">
        <f>VLOOKUP(B450,Sheet3!$B$2:$E$311,4,)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VLOOKUP(B451,Sheet3!$B$2:$E$311,2,FALSE)</f>
        <v>#N/A</v>
      </c>
      <c r="D451" s="6" t="str">
        <f>VLOOKUP(B451,Sheet3!$B$2:$E$311,3,)</f>
        <v>#N/A</v>
      </c>
      <c r="E451" s="6" t="str">
        <f>VLOOKUP(B451,Sheet3!$B$2:$E$311,4,)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VLOOKUP(B452,Sheet3!$B$2:$E$311,2,FALSE)</f>
        <v>#N/A</v>
      </c>
      <c r="D452" s="6" t="str">
        <f>VLOOKUP(B452,Sheet3!$B$2:$E$311,3,)</f>
        <v>#N/A</v>
      </c>
      <c r="E452" s="6" t="str">
        <f>VLOOKUP(B452,Sheet3!$B$2:$E$311,4,)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VLOOKUP(B453,Sheet3!$B$2:$E$311,2,FALSE)</f>
        <v>#N/A</v>
      </c>
      <c r="D453" s="6" t="str">
        <f>VLOOKUP(B453,Sheet3!$B$2:$E$311,3,)</f>
        <v>#N/A</v>
      </c>
      <c r="E453" s="6" t="str">
        <f>VLOOKUP(B453,Sheet3!$B$2:$E$311,4,)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VLOOKUP(B454,Sheet3!$B$2:$E$311,2,FALSE)</f>
        <v>#N/A</v>
      </c>
      <c r="D454" s="6" t="str">
        <f>VLOOKUP(B454,Sheet3!$B$2:$E$311,3,)</f>
        <v>#N/A</v>
      </c>
      <c r="E454" s="6" t="str">
        <f>VLOOKUP(B454,Sheet3!$B$2:$E$311,4,)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VLOOKUP(B455,Sheet3!$B$2:$E$311,2,FALSE)</f>
        <v>#N/A</v>
      </c>
      <c r="D455" s="6" t="str">
        <f>VLOOKUP(B455,Sheet3!$B$2:$E$311,3,)</f>
        <v>#N/A</v>
      </c>
      <c r="E455" s="6" t="str">
        <f>VLOOKUP(B455,Sheet3!$B$2:$E$311,4,)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VLOOKUP(B456,Sheet3!$B$2:$E$311,2,FALSE)</f>
        <v>#N/A</v>
      </c>
      <c r="D456" s="6" t="str">
        <f>VLOOKUP(B456,Sheet3!$B$2:$E$311,3,)</f>
        <v>#N/A</v>
      </c>
      <c r="E456" s="6" t="str">
        <f>VLOOKUP(B456,Sheet3!$B$2:$E$311,4,)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VLOOKUP(B457,Sheet3!$B$2:$E$311,2,FALSE)</f>
        <v>#N/A</v>
      </c>
      <c r="D457" s="6" t="str">
        <f>VLOOKUP(B457,Sheet3!$B$2:$E$311,3,)</f>
        <v>#N/A</v>
      </c>
      <c r="E457" s="6" t="str">
        <f>VLOOKUP(B457,Sheet3!$B$2:$E$311,4,)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VLOOKUP(B458,Sheet3!$B$2:$E$311,2,FALSE)</f>
        <v>#N/A</v>
      </c>
      <c r="D458" s="6" t="str">
        <f>VLOOKUP(B458,Sheet3!$B$2:$E$311,3,)</f>
        <v>#N/A</v>
      </c>
      <c r="E458" s="6" t="str">
        <f>VLOOKUP(B458,Sheet3!$B$2:$E$311,4,)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VLOOKUP(B459,Sheet3!$B$2:$E$311,2,FALSE)</f>
        <v>#N/A</v>
      </c>
      <c r="D459" s="6" t="str">
        <f>VLOOKUP(B459,Sheet3!$B$2:$E$311,3,)</f>
        <v>#N/A</v>
      </c>
      <c r="E459" s="6" t="str">
        <f>VLOOKUP(B459,Sheet3!$B$2:$E$311,4,)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VLOOKUP(B460,Sheet3!$B$2:$E$311,2,FALSE)</f>
        <v>#N/A</v>
      </c>
      <c r="D460" s="6" t="str">
        <f>VLOOKUP(B460,Sheet3!$B$2:$E$311,3,)</f>
        <v>#N/A</v>
      </c>
      <c r="E460" s="6" t="str">
        <f>VLOOKUP(B460,Sheet3!$B$2:$E$311,4,)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VLOOKUP(B461,Sheet3!$B$2:$E$311,2,FALSE)</f>
        <v>#N/A</v>
      </c>
      <c r="D461" s="6" t="str">
        <f>VLOOKUP(B461,Sheet3!$B$2:$E$311,3,)</f>
        <v>#N/A</v>
      </c>
      <c r="E461" s="6" t="str">
        <f>VLOOKUP(B461,Sheet3!$B$2:$E$311,4,)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VLOOKUP(B462,Sheet3!$B$2:$E$311,2,FALSE)</f>
        <v>#N/A</v>
      </c>
      <c r="D462" s="6" t="str">
        <f>VLOOKUP(B462,Sheet3!$B$2:$E$311,3,)</f>
        <v>#N/A</v>
      </c>
      <c r="E462" s="6" t="str">
        <f>VLOOKUP(B462,Sheet3!$B$2:$E$311,4,)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VLOOKUP(B463,Sheet3!$B$2:$E$311,2,FALSE)</f>
        <v>#N/A</v>
      </c>
      <c r="D463" s="6" t="str">
        <f>VLOOKUP(B463,Sheet3!$B$2:$E$311,3,)</f>
        <v>#N/A</v>
      </c>
      <c r="E463" s="6" t="str">
        <f>VLOOKUP(B463,Sheet3!$B$2:$E$311,4,)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VLOOKUP(B464,Sheet3!$B$2:$E$311,2,FALSE)</f>
        <v>#N/A</v>
      </c>
      <c r="D464" s="6" t="str">
        <f>VLOOKUP(B464,Sheet3!$B$2:$E$311,3,)</f>
        <v>#N/A</v>
      </c>
      <c r="E464" s="6" t="str">
        <f>VLOOKUP(B464,Sheet3!$B$2:$E$311,4,)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VLOOKUP(B465,Sheet3!$B$2:$E$311,2,FALSE)</f>
        <v>#N/A</v>
      </c>
      <c r="D465" s="6" t="str">
        <f>VLOOKUP(B465,Sheet3!$B$2:$E$311,3,)</f>
        <v>#N/A</v>
      </c>
      <c r="E465" s="6" t="str">
        <f>VLOOKUP(B465,Sheet3!$B$2:$E$311,4,)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VLOOKUP(B466,Sheet3!$B$2:$E$311,2,FALSE)</f>
        <v>#N/A</v>
      </c>
      <c r="D466" s="6" t="str">
        <f>VLOOKUP(B466,Sheet3!$B$2:$E$311,3,)</f>
        <v>#N/A</v>
      </c>
      <c r="E466" s="6" t="str">
        <f>VLOOKUP(B466,Sheet3!$B$2:$E$311,4,)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VLOOKUP(B467,Sheet3!$B$2:$E$311,2,FALSE)</f>
        <v>#N/A</v>
      </c>
      <c r="D467" s="6" t="str">
        <f>VLOOKUP(B467,Sheet3!$B$2:$E$311,3,)</f>
        <v>#N/A</v>
      </c>
      <c r="E467" s="6" t="str">
        <f>VLOOKUP(B467,Sheet3!$B$2:$E$311,4,)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VLOOKUP(B468,Sheet3!$B$2:$E$311,2,FALSE)</f>
        <v>#N/A</v>
      </c>
      <c r="D468" s="6" t="str">
        <f>VLOOKUP(B468,Sheet3!$B$2:$E$311,3,)</f>
        <v>#N/A</v>
      </c>
      <c r="E468" s="6" t="str">
        <f>VLOOKUP(B468,Sheet3!$B$2:$E$311,4,)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VLOOKUP(B469,Sheet3!$B$2:$E$311,2,FALSE)</f>
        <v>#N/A</v>
      </c>
      <c r="D469" s="6" t="str">
        <f>VLOOKUP(B469,Sheet3!$B$2:$E$311,3,)</f>
        <v>#N/A</v>
      </c>
      <c r="E469" s="6" t="str">
        <f>VLOOKUP(B469,Sheet3!$B$2:$E$311,4,)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VLOOKUP(B470,Sheet3!$B$2:$E$311,2,FALSE)</f>
        <v>#N/A</v>
      </c>
      <c r="D470" s="6" t="str">
        <f>VLOOKUP(B470,Sheet3!$B$2:$E$311,3,)</f>
        <v>#N/A</v>
      </c>
      <c r="E470" s="6" t="str">
        <f>VLOOKUP(B470,Sheet3!$B$2:$E$311,4,)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VLOOKUP(B471,Sheet3!$B$2:$E$311,2,FALSE)</f>
        <v>#N/A</v>
      </c>
      <c r="D471" s="6" t="str">
        <f>VLOOKUP(B471,Sheet3!$B$2:$E$311,3,)</f>
        <v>#N/A</v>
      </c>
      <c r="E471" s="6" t="str">
        <f>VLOOKUP(B471,Sheet3!$B$2:$E$311,4,)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VLOOKUP(B472,Sheet3!$B$2:$E$311,2,FALSE)</f>
        <v>#N/A</v>
      </c>
      <c r="D472" s="6" t="str">
        <f>VLOOKUP(B472,Sheet3!$B$2:$E$311,3,)</f>
        <v>#N/A</v>
      </c>
      <c r="E472" s="6" t="str">
        <f>VLOOKUP(B472,Sheet3!$B$2:$E$311,4,)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VLOOKUP(B473,Sheet3!$B$2:$E$311,2,FALSE)</f>
        <v>#N/A</v>
      </c>
      <c r="D473" s="6" t="str">
        <f>VLOOKUP(B473,Sheet3!$B$2:$E$311,3,)</f>
        <v>#N/A</v>
      </c>
      <c r="E473" s="6" t="str">
        <f>VLOOKUP(B473,Sheet3!$B$2:$E$311,4,)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VLOOKUP(B474,Sheet3!$B$2:$E$311,2,FALSE)</f>
        <v>#N/A</v>
      </c>
      <c r="D474" s="6" t="str">
        <f>VLOOKUP(B474,Sheet3!$B$2:$E$311,3,)</f>
        <v>#N/A</v>
      </c>
      <c r="E474" s="6" t="str">
        <f>VLOOKUP(B474,Sheet3!$B$2:$E$311,4,)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VLOOKUP(B475,Sheet3!$B$2:$E$311,2,FALSE)</f>
        <v>#N/A</v>
      </c>
      <c r="D475" s="6" t="str">
        <f>VLOOKUP(B475,Sheet3!$B$2:$E$311,3,)</f>
        <v>#N/A</v>
      </c>
      <c r="E475" s="6" t="str">
        <f>VLOOKUP(B475,Sheet3!$B$2:$E$311,4,)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VLOOKUP(B476,Sheet3!$B$2:$E$311,2,FALSE)</f>
        <v>#N/A</v>
      </c>
      <c r="D476" s="6" t="str">
        <f>VLOOKUP(B476,Sheet3!$B$2:$E$311,3,)</f>
        <v>#N/A</v>
      </c>
      <c r="E476" s="6" t="str">
        <f>VLOOKUP(B476,Sheet3!$B$2:$E$311,4,)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VLOOKUP(B477,Sheet3!$B$2:$E$311,2,FALSE)</f>
        <v>#N/A</v>
      </c>
      <c r="D477" s="6" t="str">
        <f>VLOOKUP(B477,Sheet3!$B$2:$E$311,3,)</f>
        <v>#N/A</v>
      </c>
      <c r="E477" s="6" t="str">
        <f>VLOOKUP(B477,Sheet3!$B$2:$E$311,4,)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VLOOKUP(B478,Sheet3!$B$2:$E$311,2,FALSE)</f>
        <v>#N/A</v>
      </c>
      <c r="D478" s="6" t="str">
        <f>VLOOKUP(B478,Sheet3!$B$2:$E$311,3,)</f>
        <v>#N/A</v>
      </c>
      <c r="E478" s="6" t="str">
        <f>VLOOKUP(B478,Sheet3!$B$2:$E$311,4,)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VLOOKUP(B479,Sheet3!$B$2:$E$311,2,FALSE)</f>
        <v>#N/A</v>
      </c>
      <c r="D479" s="6" t="str">
        <f>VLOOKUP(B479,Sheet3!$B$2:$E$311,3,)</f>
        <v>#N/A</v>
      </c>
      <c r="E479" s="6" t="str">
        <f>VLOOKUP(B479,Sheet3!$B$2:$E$311,4,)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VLOOKUP(B480,Sheet3!$B$2:$E$311,2,FALSE)</f>
        <v>#N/A</v>
      </c>
      <c r="D480" s="6" t="str">
        <f>VLOOKUP(B480,Sheet3!$B$2:$E$311,3,)</f>
        <v>#N/A</v>
      </c>
      <c r="E480" s="6" t="str">
        <f>VLOOKUP(B480,Sheet3!$B$2:$E$311,4,)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VLOOKUP(B481,Sheet3!$B$2:$E$311,2,FALSE)</f>
        <v>#N/A</v>
      </c>
      <c r="D481" s="6" t="str">
        <f>VLOOKUP(B481,Sheet3!$B$2:$E$311,3,)</f>
        <v>#N/A</v>
      </c>
      <c r="E481" s="6" t="str">
        <f>VLOOKUP(B481,Sheet3!$B$2:$E$311,4,)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VLOOKUP(B482,Sheet3!$B$2:$E$311,2,FALSE)</f>
        <v>#N/A</v>
      </c>
      <c r="D482" s="6" t="str">
        <f>VLOOKUP(B482,Sheet3!$B$2:$E$311,3,)</f>
        <v>#N/A</v>
      </c>
      <c r="E482" s="6" t="str">
        <f>VLOOKUP(B482,Sheet3!$B$2:$E$311,4,)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VLOOKUP(B483,Sheet3!$B$2:$E$311,2,FALSE)</f>
        <v>#N/A</v>
      </c>
      <c r="D483" s="6" t="str">
        <f>VLOOKUP(B483,Sheet3!$B$2:$E$311,3,)</f>
        <v>#N/A</v>
      </c>
      <c r="E483" s="6" t="str">
        <f>VLOOKUP(B483,Sheet3!$B$2:$E$311,4,)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VLOOKUP(B484,Sheet3!$B$2:$E$311,2,FALSE)</f>
        <v>#N/A</v>
      </c>
      <c r="D484" s="6" t="str">
        <f>VLOOKUP(B484,Sheet3!$B$2:$E$311,3,)</f>
        <v>#N/A</v>
      </c>
      <c r="E484" s="6" t="str">
        <f>VLOOKUP(B484,Sheet3!$B$2:$E$311,4,)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VLOOKUP(B485,Sheet3!$B$2:$E$311,2,FALSE)</f>
        <v>#N/A</v>
      </c>
      <c r="D485" s="6" t="str">
        <f>VLOOKUP(B485,Sheet3!$B$2:$E$311,3,)</f>
        <v>#N/A</v>
      </c>
      <c r="E485" s="6" t="str">
        <f>VLOOKUP(B485,Sheet3!$B$2:$E$311,4,)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VLOOKUP(B486,Sheet3!$B$2:$E$311,2,FALSE)</f>
        <v>#N/A</v>
      </c>
      <c r="D486" s="6" t="str">
        <f>VLOOKUP(B486,Sheet3!$B$2:$E$311,3,)</f>
        <v>#N/A</v>
      </c>
      <c r="E486" s="6" t="str">
        <f>VLOOKUP(B486,Sheet3!$B$2:$E$311,4,)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VLOOKUP(B487,Sheet3!$B$2:$E$311,2,FALSE)</f>
        <v>#N/A</v>
      </c>
      <c r="D487" s="6" t="str">
        <f>VLOOKUP(B487,Sheet3!$B$2:$E$311,3,)</f>
        <v>#N/A</v>
      </c>
      <c r="E487" s="6" t="str">
        <f>VLOOKUP(B487,Sheet3!$B$2:$E$311,4,)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VLOOKUP(B488,Sheet3!$B$2:$E$311,2,FALSE)</f>
        <v>#N/A</v>
      </c>
      <c r="D488" s="6" t="str">
        <f>VLOOKUP(B488,Sheet3!$B$2:$E$311,3,)</f>
        <v>#N/A</v>
      </c>
      <c r="E488" s="6" t="str">
        <f>VLOOKUP(B488,Sheet3!$B$2:$E$311,4,)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VLOOKUP(B489,Sheet3!$B$2:$E$311,2,FALSE)</f>
        <v>#N/A</v>
      </c>
      <c r="D489" s="6" t="str">
        <f>VLOOKUP(B489,Sheet3!$B$2:$E$311,3,)</f>
        <v>#N/A</v>
      </c>
      <c r="E489" s="6" t="str">
        <f>VLOOKUP(B489,Sheet3!$B$2:$E$311,4,)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VLOOKUP(B490,Sheet3!$B$2:$E$311,2,FALSE)</f>
        <v>#N/A</v>
      </c>
      <c r="D490" s="6" t="str">
        <f>VLOOKUP(B490,Sheet3!$B$2:$E$311,3,)</f>
        <v>#N/A</v>
      </c>
      <c r="E490" s="6" t="str">
        <f>VLOOKUP(B490,Sheet3!$B$2:$E$311,4,)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VLOOKUP(B491,Sheet3!$B$2:$E$311,2,FALSE)</f>
        <v>#N/A</v>
      </c>
      <c r="D491" s="6" t="str">
        <f>VLOOKUP(B491,Sheet3!$B$2:$E$311,3,)</f>
        <v>#N/A</v>
      </c>
      <c r="E491" s="6" t="str">
        <f>VLOOKUP(B491,Sheet3!$B$2:$E$311,4,)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VLOOKUP(B492,Sheet3!$B$2:$E$311,2,FALSE)</f>
        <v>#N/A</v>
      </c>
      <c r="D492" s="6" t="str">
        <f>VLOOKUP(B492,Sheet3!$B$2:$E$311,3,)</f>
        <v>#N/A</v>
      </c>
      <c r="E492" s="6" t="str">
        <f>VLOOKUP(B492,Sheet3!$B$2:$E$311,4,)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VLOOKUP(B493,Sheet3!$B$2:$E$311,2,FALSE)</f>
        <v>#N/A</v>
      </c>
      <c r="D493" s="6" t="str">
        <f>VLOOKUP(B493,Sheet3!$B$2:$E$311,3,)</f>
        <v>#N/A</v>
      </c>
      <c r="E493" s="6" t="str">
        <f>VLOOKUP(B493,Sheet3!$B$2:$E$311,4,)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VLOOKUP(B494,Sheet3!$B$2:$E$311,2,FALSE)</f>
        <v>#N/A</v>
      </c>
      <c r="D494" s="6" t="str">
        <f>VLOOKUP(B494,Sheet3!$B$2:$E$311,3,)</f>
        <v>#N/A</v>
      </c>
      <c r="E494" s="6" t="str">
        <f>VLOOKUP(B494,Sheet3!$B$2:$E$311,4,)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VLOOKUP(B495,Sheet3!$B$2:$E$311,2,FALSE)</f>
        <v>#N/A</v>
      </c>
      <c r="D495" s="6" t="str">
        <f>VLOOKUP(B495,Sheet3!$B$2:$E$311,3,)</f>
        <v>#N/A</v>
      </c>
      <c r="E495" s="6" t="str">
        <f>VLOOKUP(B495,Sheet3!$B$2:$E$311,4,)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VLOOKUP(B496,Sheet3!$B$2:$E$311,2,FALSE)</f>
        <v>#N/A</v>
      </c>
      <c r="D496" s="6" t="str">
        <f>VLOOKUP(B496,Sheet3!$B$2:$E$311,3,)</f>
        <v>#N/A</v>
      </c>
      <c r="E496" s="6" t="str">
        <f>VLOOKUP(B496,Sheet3!$B$2:$E$311,4,)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VLOOKUP(B497,Sheet3!$B$2:$E$311,2,FALSE)</f>
        <v>#N/A</v>
      </c>
      <c r="D497" s="6" t="str">
        <f>VLOOKUP(B497,Sheet3!$B$2:$E$311,3,)</f>
        <v>#N/A</v>
      </c>
      <c r="E497" s="6" t="str">
        <f>VLOOKUP(B497,Sheet3!$B$2:$E$311,4,)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VLOOKUP(B498,Sheet3!$B$2:$E$311,2,FALSE)</f>
        <v>#N/A</v>
      </c>
      <c r="D498" s="6" t="str">
        <f>VLOOKUP(B498,Sheet3!$B$2:$E$311,3,)</f>
        <v>#N/A</v>
      </c>
      <c r="E498" s="6" t="str">
        <f>VLOOKUP(B498,Sheet3!$B$2:$E$311,4,)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VLOOKUP(B499,Sheet3!$B$2:$E$311,2,FALSE)</f>
        <v>#N/A</v>
      </c>
      <c r="D499" s="6" t="str">
        <f>VLOOKUP(B499,Sheet3!$B$2:$E$311,3,)</f>
        <v>#N/A</v>
      </c>
      <c r="E499" s="6" t="str">
        <f>VLOOKUP(B499,Sheet3!$B$2:$E$311,4,)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VLOOKUP(B500,Sheet3!$B$2:$E$311,2,FALSE)</f>
        <v>#N/A</v>
      </c>
      <c r="D500" s="6" t="str">
        <f>VLOOKUP(B500,Sheet3!$B$2:$E$311,3,)</f>
        <v>#N/A</v>
      </c>
      <c r="E500" s="6" t="str">
        <f>VLOOKUP(B500,Sheet3!$B$2:$E$311,4,)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VLOOKUP(B501,Sheet3!$B$2:$E$311,2,FALSE)</f>
        <v>#N/A</v>
      </c>
      <c r="D501" s="6" t="str">
        <f>VLOOKUP(B501,Sheet3!$B$2:$E$311,3,)</f>
        <v>#N/A</v>
      </c>
      <c r="E501" s="6" t="str">
        <f>VLOOKUP(B501,Sheet3!$B$2:$E$311,4,)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VLOOKUP(B502,Sheet3!$B$2:$E$311,2,FALSE)</f>
        <v>#N/A</v>
      </c>
      <c r="D502" s="6" t="str">
        <f>VLOOKUP(B502,Sheet3!$B$2:$E$311,3,)</f>
        <v>#N/A</v>
      </c>
      <c r="E502" s="6" t="str">
        <f>VLOOKUP(B502,Sheet3!$B$2:$E$311,4,)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VLOOKUP(B503,Sheet3!$B$2:$E$311,2,FALSE)</f>
        <v>#N/A</v>
      </c>
      <c r="D503" s="6" t="str">
        <f>VLOOKUP(B503,Sheet3!$B$2:$E$311,3,)</f>
        <v>#N/A</v>
      </c>
      <c r="E503" s="6" t="str">
        <f>VLOOKUP(B503,Sheet3!$B$2:$E$311,4,)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VLOOKUP(B504,Sheet3!$B$2:$E$311,2,FALSE)</f>
        <v>#N/A</v>
      </c>
      <c r="D504" s="6" t="str">
        <f>VLOOKUP(B504,Sheet3!$B$2:$E$311,3,)</f>
        <v>#N/A</v>
      </c>
      <c r="E504" s="6" t="str">
        <f>VLOOKUP(B504,Sheet3!$B$2:$E$311,4,)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VLOOKUP(B505,Sheet3!$B$2:$E$311,2,FALSE)</f>
        <v>#N/A</v>
      </c>
      <c r="D505" s="6" t="str">
        <f>VLOOKUP(B505,Sheet3!$B$2:$E$311,3,)</f>
        <v>#N/A</v>
      </c>
      <c r="E505" s="6" t="str">
        <f>VLOOKUP(B505,Sheet3!$B$2:$E$311,4,)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VLOOKUP(B506,Sheet3!$B$2:$E$311,2,FALSE)</f>
        <v>#N/A</v>
      </c>
      <c r="D506" s="6" t="str">
        <f>VLOOKUP(B506,Sheet3!$B$2:$E$311,3,)</f>
        <v>#N/A</v>
      </c>
      <c r="E506" s="6" t="str">
        <f>VLOOKUP(B506,Sheet3!$B$2:$E$311,4,)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VLOOKUP(B507,Sheet3!$B$2:$E$311,2,FALSE)</f>
        <v>#N/A</v>
      </c>
      <c r="D507" s="6" t="str">
        <f>VLOOKUP(B507,Sheet3!$B$2:$E$311,3,)</f>
        <v>#N/A</v>
      </c>
      <c r="E507" s="6" t="str">
        <f>VLOOKUP(B507,Sheet3!$B$2:$E$311,4,)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VLOOKUP(B508,Sheet3!$B$2:$E$311,2,FALSE)</f>
        <v>#N/A</v>
      </c>
      <c r="D508" s="6" t="str">
        <f>VLOOKUP(B508,Sheet3!$B$2:$E$311,3,)</f>
        <v>#N/A</v>
      </c>
      <c r="E508" s="6" t="str">
        <f>VLOOKUP(B508,Sheet3!$B$2:$E$311,4,)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VLOOKUP(B509,Sheet3!$B$2:$E$311,2,FALSE)</f>
        <v>#N/A</v>
      </c>
      <c r="D509" s="6" t="str">
        <f>VLOOKUP(B509,Sheet3!$B$2:$E$311,3,)</f>
        <v>#N/A</v>
      </c>
      <c r="E509" s="6" t="str">
        <f>VLOOKUP(B509,Sheet3!$B$2:$E$311,4,)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VLOOKUP(B510,Sheet3!$B$2:$E$311,2,FALSE)</f>
        <v>#N/A</v>
      </c>
      <c r="D510" s="6" t="str">
        <f>VLOOKUP(B510,Sheet3!$B$2:$E$311,3,)</f>
        <v>#N/A</v>
      </c>
      <c r="E510" s="6" t="str">
        <f>VLOOKUP(B510,Sheet3!$B$2:$E$311,4,)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VLOOKUP(B511,Sheet3!$B$2:$E$311,2,FALSE)</f>
        <v>#N/A</v>
      </c>
      <c r="D511" s="6" t="str">
        <f>VLOOKUP(B511,Sheet3!$B$2:$E$311,3,)</f>
        <v>#N/A</v>
      </c>
      <c r="E511" s="6" t="str">
        <f>VLOOKUP(B511,Sheet3!$B$2:$E$311,4,)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VLOOKUP(B512,Sheet3!$B$2:$E$311,2,FALSE)</f>
        <v>#N/A</v>
      </c>
      <c r="D512" s="6" t="str">
        <f>VLOOKUP(B512,Sheet3!$B$2:$E$311,3,)</f>
        <v>#N/A</v>
      </c>
      <c r="E512" s="6" t="str">
        <f>VLOOKUP(B512,Sheet3!$B$2:$E$311,4,)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VLOOKUP(B513,Sheet3!$B$2:$E$311,2,FALSE)</f>
        <v>#N/A</v>
      </c>
      <c r="D513" s="6" t="str">
        <f>VLOOKUP(B513,Sheet3!$B$2:$E$311,3,)</f>
        <v>#N/A</v>
      </c>
      <c r="E513" s="6" t="str">
        <f>VLOOKUP(B513,Sheet3!$B$2:$E$311,4,)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VLOOKUP(B514,Sheet3!$B$2:$E$311,2,FALSE)</f>
        <v>#N/A</v>
      </c>
      <c r="D514" s="6" t="str">
        <f>VLOOKUP(B514,Sheet3!$B$2:$E$311,3,)</f>
        <v>#N/A</v>
      </c>
      <c r="E514" s="6" t="str">
        <f>VLOOKUP(B514,Sheet3!$B$2:$E$311,4,)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VLOOKUP(B515,Sheet3!$B$2:$E$311,2,FALSE)</f>
        <v>#N/A</v>
      </c>
      <c r="D515" s="6" t="str">
        <f>VLOOKUP(B515,Sheet3!$B$2:$E$311,3,)</f>
        <v>#N/A</v>
      </c>
      <c r="E515" s="6" t="str">
        <f>VLOOKUP(B515,Sheet3!$B$2:$E$311,4,)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VLOOKUP(B516,Sheet3!$B$2:$E$311,2,FALSE)</f>
        <v>#N/A</v>
      </c>
      <c r="D516" s="6" t="str">
        <f>VLOOKUP(B516,Sheet3!$B$2:$E$311,3,)</f>
        <v>#N/A</v>
      </c>
      <c r="E516" s="6" t="str">
        <f>VLOOKUP(B516,Sheet3!$B$2:$E$311,4,)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VLOOKUP(B517,Sheet3!$B$2:$E$311,2,FALSE)</f>
        <v>#N/A</v>
      </c>
      <c r="D517" s="6" t="str">
        <f>VLOOKUP(B517,Sheet3!$B$2:$E$311,3,)</f>
        <v>#N/A</v>
      </c>
      <c r="E517" s="6" t="str">
        <f>VLOOKUP(B517,Sheet3!$B$2:$E$311,4,)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VLOOKUP(B518,Sheet3!$B$2:$E$311,2,FALSE)</f>
        <v>#N/A</v>
      </c>
      <c r="D518" s="6" t="str">
        <f>VLOOKUP(B518,Sheet3!$B$2:$E$311,3,)</f>
        <v>#N/A</v>
      </c>
      <c r="E518" s="6" t="str">
        <f>VLOOKUP(B518,Sheet3!$B$2:$E$311,4,)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VLOOKUP(B519,Sheet3!$B$2:$E$311,2,FALSE)</f>
        <v>#N/A</v>
      </c>
      <c r="D519" s="6" t="str">
        <f>VLOOKUP(B519,Sheet3!$B$2:$E$311,3,)</f>
        <v>#N/A</v>
      </c>
      <c r="E519" s="6" t="str">
        <f>VLOOKUP(B519,Sheet3!$B$2:$E$311,4,)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VLOOKUP(B520,Sheet3!$B$2:$E$311,2,FALSE)</f>
        <v>#N/A</v>
      </c>
      <c r="D520" s="6" t="str">
        <f>VLOOKUP(B520,Sheet3!$B$2:$E$311,3,)</f>
        <v>#N/A</v>
      </c>
      <c r="E520" s="6" t="str">
        <f>VLOOKUP(B520,Sheet3!$B$2:$E$311,4,)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VLOOKUP(B521,Sheet3!$B$2:$E$311,2,FALSE)</f>
        <v>#N/A</v>
      </c>
      <c r="D521" s="6" t="str">
        <f>VLOOKUP(B521,Sheet3!$B$2:$E$311,3,)</f>
        <v>#N/A</v>
      </c>
      <c r="E521" s="6" t="str">
        <f>VLOOKUP(B521,Sheet3!$B$2:$E$311,4,)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VLOOKUP(B522,Sheet3!$B$2:$E$311,2,FALSE)</f>
        <v>#N/A</v>
      </c>
      <c r="D522" s="6" t="str">
        <f>VLOOKUP(B522,Sheet3!$B$2:$E$311,3,)</f>
        <v>#N/A</v>
      </c>
      <c r="E522" s="6" t="str">
        <f>VLOOKUP(B522,Sheet3!$B$2:$E$311,4,)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VLOOKUP(B523,Sheet3!$B$2:$E$311,2,FALSE)</f>
        <v>#N/A</v>
      </c>
      <c r="D523" s="6" t="str">
        <f>VLOOKUP(B523,Sheet3!$B$2:$E$311,3,)</f>
        <v>#N/A</v>
      </c>
      <c r="E523" s="6" t="str">
        <f>VLOOKUP(B523,Sheet3!$B$2:$E$311,4,)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VLOOKUP(B524,Sheet3!$B$2:$E$311,2,FALSE)</f>
        <v>#N/A</v>
      </c>
      <c r="D524" s="6" t="str">
        <f>VLOOKUP(B524,Sheet3!$B$2:$E$311,3,)</f>
        <v>#N/A</v>
      </c>
      <c r="E524" s="6" t="str">
        <f>VLOOKUP(B524,Sheet3!$B$2:$E$311,4,)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VLOOKUP(B525,Sheet3!$B$2:$E$311,2,FALSE)</f>
        <v>#N/A</v>
      </c>
      <c r="D525" s="6" t="str">
        <f>VLOOKUP(B525,Sheet3!$B$2:$E$311,3,)</f>
        <v>#N/A</v>
      </c>
      <c r="E525" s="6" t="str">
        <f>VLOOKUP(B525,Sheet3!$B$2:$E$311,4,)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VLOOKUP(B526,Sheet3!$B$2:$E$311,2,FALSE)</f>
        <v>#N/A</v>
      </c>
      <c r="D526" s="6" t="str">
        <f>VLOOKUP(B526,Sheet3!$B$2:$E$311,3,)</f>
        <v>#N/A</v>
      </c>
      <c r="E526" s="6" t="str">
        <f>VLOOKUP(B526,Sheet3!$B$2:$E$311,4,)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VLOOKUP(B527,Sheet3!$B$2:$E$311,2,FALSE)</f>
        <v>#N/A</v>
      </c>
      <c r="D527" s="6" t="str">
        <f>VLOOKUP(B527,Sheet3!$B$2:$E$311,3,)</f>
        <v>#N/A</v>
      </c>
      <c r="E527" s="6" t="str">
        <f>VLOOKUP(B527,Sheet3!$B$2:$E$311,4,)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VLOOKUP(B528,Sheet3!$B$2:$E$311,2,FALSE)</f>
        <v>#N/A</v>
      </c>
      <c r="D528" s="6" t="str">
        <f>VLOOKUP(B528,Sheet3!$B$2:$E$311,3,)</f>
        <v>#N/A</v>
      </c>
      <c r="E528" s="6" t="str">
        <f>VLOOKUP(B528,Sheet3!$B$2:$E$311,4,)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VLOOKUP(B529,Sheet3!$B$2:$E$311,2,FALSE)</f>
        <v>#N/A</v>
      </c>
      <c r="D529" s="6" t="str">
        <f>VLOOKUP(B529,Sheet3!$B$2:$E$311,3,)</f>
        <v>#N/A</v>
      </c>
      <c r="E529" s="6" t="str">
        <f>VLOOKUP(B529,Sheet3!$B$2:$E$311,4,)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VLOOKUP(B530,Sheet3!$B$2:$E$311,2,FALSE)</f>
        <v>#N/A</v>
      </c>
      <c r="D530" s="6" t="str">
        <f>VLOOKUP(B530,Sheet3!$B$2:$E$311,3,)</f>
        <v>#N/A</v>
      </c>
      <c r="E530" s="6" t="str">
        <f>VLOOKUP(B530,Sheet3!$B$2:$E$311,4,)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VLOOKUP(B531,Sheet3!$B$2:$E$311,2,FALSE)</f>
        <v>#N/A</v>
      </c>
      <c r="D531" s="6" t="str">
        <f>VLOOKUP(B531,Sheet3!$B$2:$E$311,3,)</f>
        <v>#N/A</v>
      </c>
      <c r="E531" s="6" t="str">
        <f>VLOOKUP(B531,Sheet3!$B$2:$E$311,4,)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VLOOKUP(B532,Sheet3!$B$2:$E$311,2,FALSE)</f>
        <v>#N/A</v>
      </c>
      <c r="D532" s="6" t="str">
        <f>VLOOKUP(B532,Sheet3!$B$2:$E$311,3,)</f>
        <v>#N/A</v>
      </c>
      <c r="E532" s="6" t="str">
        <f>VLOOKUP(B532,Sheet3!$B$2:$E$311,4,)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VLOOKUP(B533,Sheet3!$B$2:$E$311,2,FALSE)</f>
        <v>#N/A</v>
      </c>
      <c r="D533" s="6" t="str">
        <f>VLOOKUP(B533,Sheet3!$B$2:$E$311,3,)</f>
        <v>#N/A</v>
      </c>
      <c r="E533" s="6" t="str">
        <f>VLOOKUP(B533,Sheet3!$B$2:$E$311,4,)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VLOOKUP(B534,Sheet3!$B$2:$E$311,2,FALSE)</f>
        <v>#N/A</v>
      </c>
      <c r="D534" s="6" t="str">
        <f>VLOOKUP(B534,Sheet3!$B$2:$E$311,3,)</f>
        <v>#N/A</v>
      </c>
      <c r="E534" s="6" t="str">
        <f>VLOOKUP(B534,Sheet3!$B$2:$E$311,4,)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VLOOKUP(B535,Sheet3!$B$2:$E$311,2,FALSE)</f>
        <v>#N/A</v>
      </c>
      <c r="D535" s="6" t="str">
        <f>VLOOKUP(B535,Sheet3!$B$2:$E$311,3,)</f>
        <v>#N/A</v>
      </c>
      <c r="E535" s="6" t="str">
        <f>VLOOKUP(B535,Sheet3!$B$2:$E$311,4,)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VLOOKUP(B536,Sheet3!$B$2:$E$311,2,FALSE)</f>
        <v>#N/A</v>
      </c>
      <c r="D536" s="6" t="str">
        <f>VLOOKUP(B536,Sheet3!$B$2:$E$311,3,)</f>
        <v>#N/A</v>
      </c>
      <c r="E536" s="6" t="str">
        <f>VLOOKUP(B536,Sheet3!$B$2:$E$311,4,)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VLOOKUP(B537,Sheet3!$B$2:$E$311,2,FALSE)</f>
        <v>#N/A</v>
      </c>
      <c r="D537" s="6" t="str">
        <f>VLOOKUP(B537,Sheet3!$B$2:$E$311,3,)</f>
        <v>#N/A</v>
      </c>
      <c r="E537" s="6" t="str">
        <f>VLOOKUP(B537,Sheet3!$B$2:$E$311,4,)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VLOOKUP(B538,Sheet3!$B$2:$E$311,2,FALSE)</f>
        <v>#N/A</v>
      </c>
      <c r="D538" s="6" t="str">
        <f>VLOOKUP(B538,Sheet3!$B$2:$E$311,3,)</f>
        <v>#N/A</v>
      </c>
      <c r="E538" s="6" t="str">
        <f>VLOOKUP(B538,Sheet3!$B$2:$E$311,4,)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VLOOKUP(B539,Sheet3!$B$2:$E$311,2,FALSE)</f>
        <v>#N/A</v>
      </c>
      <c r="D539" s="6" t="str">
        <f>VLOOKUP(B539,Sheet3!$B$2:$E$311,3,)</f>
        <v>#N/A</v>
      </c>
      <c r="E539" s="6" t="str">
        <f>VLOOKUP(B539,Sheet3!$B$2:$E$311,4,)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VLOOKUP(B540,Sheet3!$B$2:$E$311,2,FALSE)</f>
        <v>#N/A</v>
      </c>
      <c r="D540" s="6" t="str">
        <f>VLOOKUP(B540,Sheet3!$B$2:$E$311,3,)</f>
        <v>#N/A</v>
      </c>
      <c r="E540" s="6" t="str">
        <f>VLOOKUP(B540,Sheet3!$B$2:$E$311,4,)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VLOOKUP(B541,Sheet3!$B$2:$E$311,2,FALSE)</f>
        <v>#N/A</v>
      </c>
      <c r="D541" s="6" t="str">
        <f>VLOOKUP(B541,Sheet3!$B$2:$E$311,3,)</f>
        <v>#N/A</v>
      </c>
      <c r="E541" s="6" t="str">
        <f>VLOOKUP(B541,Sheet3!$B$2:$E$311,4,)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VLOOKUP(B542,Sheet3!$B$2:$E$311,2,FALSE)</f>
        <v>#N/A</v>
      </c>
      <c r="D542" s="6" t="str">
        <f>VLOOKUP(B542,Sheet3!$B$2:$E$311,3,)</f>
        <v>#N/A</v>
      </c>
      <c r="E542" s="6" t="str">
        <f>VLOOKUP(B542,Sheet3!$B$2:$E$311,4,)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VLOOKUP(B543,Sheet3!$B$2:$E$311,2,FALSE)</f>
        <v>#N/A</v>
      </c>
      <c r="D543" s="6" t="str">
        <f>VLOOKUP(B543,Sheet3!$B$2:$E$311,3,)</f>
        <v>#N/A</v>
      </c>
      <c r="E543" s="6" t="str">
        <f>VLOOKUP(B543,Sheet3!$B$2:$E$311,4,)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VLOOKUP(B544,Sheet3!$B$2:$E$311,2,FALSE)</f>
        <v>#N/A</v>
      </c>
      <c r="D544" s="6" t="str">
        <f>VLOOKUP(B544,Sheet3!$B$2:$E$311,3,)</f>
        <v>#N/A</v>
      </c>
      <c r="E544" s="6" t="str">
        <f>VLOOKUP(B544,Sheet3!$B$2:$E$311,4,)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VLOOKUP(B545,Sheet3!$B$2:$E$311,2,FALSE)</f>
        <v>#N/A</v>
      </c>
      <c r="D545" s="6" t="str">
        <f>VLOOKUP(B545,Sheet3!$B$2:$E$311,3,)</f>
        <v>#N/A</v>
      </c>
      <c r="E545" s="6" t="str">
        <f>VLOOKUP(B545,Sheet3!$B$2:$E$311,4,)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VLOOKUP(B546,Sheet3!$B$2:$E$311,2,FALSE)</f>
        <v>#N/A</v>
      </c>
      <c r="D546" s="6" t="str">
        <f>VLOOKUP(B546,Sheet3!$B$2:$E$311,3,)</f>
        <v>#N/A</v>
      </c>
      <c r="E546" s="6" t="str">
        <f>VLOOKUP(B546,Sheet3!$B$2:$E$311,4,)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VLOOKUP(B547,Sheet3!$B$2:$E$311,2,FALSE)</f>
        <v>#N/A</v>
      </c>
      <c r="D547" s="6" t="str">
        <f>VLOOKUP(B547,Sheet3!$B$2:$E$311,3,)</f>
        <v>#N/A</v>
      </c>
      <c r="E547" s="6" t="str">
        <f>VLOOKUP(B547,Sheet3!$B$2:$E$311,4,)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VLOOKUP(B548,Sheet3!$B$2:$E$311,2,FALSE)</f>
        <v>#N/A</v>
      </c>
      <c r="D548" s="6" t="str">
        <f>VLOOKUP(B548,Sheet3!$B$2:$E$311,3,)</f>
        <v>#N/A</v>
      </c>
      <c r="E548" s="6" t="str">
        <f>VLOOKUP(B548,Sheet3!$B$2:$E$311,4,)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VLOOKUP(B549,Sheet3!$B$2:$E$311,2,FALSE)</f>
        <v>#N/A</v>
      </c>
      <c r="D549" s="6" t="str">
        <f>VLOOKUP(B549,Sheet3!$B$2:$E$311,3,)</f>
        <v>#N/A</v>
      </c>
      <c r="E549" s="6" t="str">
        <f>VLOOKUP(B549,Sheet3!$B$2:$E$311,4,)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VLOOKUP(B550,Sheet3!$B$2:$E$311,2,FALSE)</f>
        <v>#N/A</v>
      </c>
      <c r="D550" s="6" t="str">
        <f>VLOOKUP(B550,Sheet3!$B$2:$E$311,3,)</f>
        <v>#N/A</v>
      </c>
      <c r="E550" s="6" t="str">
        <f>VLOOKUP(B550,Sheet3!$B$2:$E$311,4,)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VLOOKUP(B551,Sheet3!$B$2:$E$311,2,FALSE)</f>
        <v>#N/A</v>
      </c>
      <c r="D551" s="6" t="str">
        <f>VLOOKUP(B551,Sheet3!$B$2:$E$311,3,)</f>
        <v>#N/A</v>
      </c>
      <c r="E551" s="6" t="str">
        <f>VLOOKUP(B551,Sheet3!$B$2:$E$311,4,)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VLOOKUP(B552,Sheet3!$B$2:$E$311,2,FALSE)</f>
        <v>#N/A</v>
      </c>
      <c r="D552" s="6" t="str">
        <f>VLOOKUP(B552,Sheet3!$B$2:$E$311,3,)</f>
        <v>#N/A</v>
      </c>
      <c r="E552" s="6" t="str">
        <f>VLOOKUP(B552,Sheet3!$B$2:$E$311,4,)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VLOOKUP(B553,Sheet3!$B$2:$E$311,2,FALSE)</f>
        <v>#N/A</v>
      </c>
      <c r="D553" s="6" t="str">
        <f>VLOOKUP(B553,Sheet3!$B$2:$E$311,3,)</f>
        <v>#N/A</v>
      </c>
      <c r="E553" s="6" t="str">
        <f>VLOOKUP(B553,Sheet3!$B$2:$E$311,4,)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VLOOKUP(B554,Sheet3!$B$2:$E$311,2,FALSE)</f>
        <v>#N/A</v>
      </c>
      <c r="D554" s="6" t="str">
        <f>VLOOKUP(B554,Sheet3!$B$2:$E$311,3,)</f>
        <v>#N/A</v>
      </c>
      <c r="E554" s="6" t="str">
        <f>VLOOKUP(B554,Sheet3!$B$2:$E$311,4,)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VLOOKUP(B555,Sheet3!$B$2:$E$311,2,FALSE)</f>
        <v>#N/A</v>
      </c>
      <c r="D555" s="6" t="str">
        <f>VLOOKUP(B555,Sheet3!$B$2:$E$311,3,)</f>
        <v>#N/A</v>
      </c>
      <c r="E555" s="6" t="str">
        <f>VLOOKUP(B555,Sheet3!$B$2:$E$311,4,)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VLOOKUP(B556,Sheet3!$B$2:$E$311,2,FALSE)</f>
        <v>#N/A</v>
      </c>
      <c r="D556" s="6" t="str">
        <f>VLOOKUP(B556,Sheet3!$B$2:$E$311,3,)</f>
        <v>#N/A</v>
      </c>
      <c r="E556" s="6" t="str">
        <f>VLOOKUP(B556,Sheet3!$B$2:$E$311,4,)</f>
        <v>#N/A</v>
      </c>
      <c r="F556" s="6"/>
      <c r="G556" s="6"/>
      <c r="H556" s="6"/>
    </row>
    <row r="557" ht="15.75" customHeight="1">
      <c r="A557" s="6"/>
      <c r="B557" s="6"/>
      <c r="C557" s="6" t="str">
        <f>VLOOKUP(B557,Sheet3!$B$2:$E$311,2,FALSE)</f>
        <v>#N/A</v>
      </c>
      <c r="D557" s="6" t="str">
        <f>VLOOKUP(B557,Sheet3!$B$2:$E$311,3,)</f>
        <v>#N/A</v>
      </c>
      <c r="E557" s="6" t="str">
        <f>VLOOKUP(B557,Sheet3!$B$2:$E$311,4,)</f>
        <v>#N/A</v>
      </c>
      <c r="F557" s="6"/>
      <c r="G557" s="6"/>
      <c r="H557" s="6"/>
    </row>
    <row r="558" ht="15.75" customHeight="1">
      <c r="A558" s="6"/>
      <c r="B558" s="6"/>
      <c r="C558" s="6" t="str">
        <f>VLOOKUP(B558,Sheet3!$B$2:$E$311,2,FALSE)</f>
        <v>#N/A</v>
      </c>
      <c r="D558" s="6" t="str">
        <f>VLOOKUP(B558,Sheet3!$B$2:$E$311,3,)</f>
        <v>#N/A</v>
      </c>
      <c r="E558" s="6" t="str">
        <f>VLOOKUP(B558,Sheet3!$B$2:$E$311,4,)</f>
        <v>#N/A</v>
      </c>
      <c r="F558" s="6"/>
      <c r="G558" s="6"/>
      <c r="H558" s="6"/>
    </row>
    <row r="559" ht="15.75" customHeight="1">
      <c r="A559" s="6"/>
      <c r="B559" s="6"/>
      <c r="C559" s="6" t="str">
        <f>VLOOKUP(B559,Sheet3!$B$2:$E$311,2,FALSE)</f>
        <v>#N/A</v>
      </c>
      <c r="D559" s="6" t="str">
        <f>VLOOKUP(B559,Sheet3!$B$2:$E$311,3,)</f>
        <v>#N/A</v>
      </c>
      <c r="E559" s="6" t="str">
        <f>VLOOKUP(B559,Sheet3!$B$2:$E$311,4,)</f>
        <v>#N/A</v>
      </c>
      <c r="F559" s="6"/>
      <c r="G559" s="6"/>
      <c r="H559" s="6"/>
    </row>
    <row r="560" ht="15.75" customHeight="1">
      <c r="A560" s="6"/>
      <c r="B560" s="6"/>
      <c r="C560" s="6" t="str">
        <f>VLOOKUP(B560,Sheet3!$B$2:$E$311,2,FALSE)</f>
        <v>#N/A</v>
      </c>
      <c r="D560" s="6" t="str">
        <f>VLOOKUP(B560,Sheet3!$B$2:$E$311,3,)</f>
        <v>#N/A</v>
      </c>
      <c r="E560" s="6" t="str">
        <f>VLOOKUP(B560,Sheet3!$B$2:$E$311,4,)</f>
        <v>#N/A</v>
      </c>
      <c r="F560" s="6"/>
      <c r="G560" s="6"/>
      <c r="H560" s="6"/>
    </row>
    <row r="561" ht="15.75" customHeight="1">
      <c r="A561" s="6"/>
      <c r="B561" s="6"/>
      <c r="C561" s="6" t="str">
        <f>VLOOKUP(B561,Sheet3!$B$2:$E$311,2,FALSE)</f>
        <v>#N/A</v>
      </c>
      <c r="D561" s="6" t="str">
        <f>VLOOKUP(B561,Sheet3!$B$2:$E$311,3,)</f>
        <v>#N/A</v>
      </c>
      <c r="E561" s="6" t="str">
        <f>VLOOKUP(B561,Sheet3!$B$2:$E$311,4,)</f>
        <v>#N/A</v>
      </c>
      <c r="F561" s="6"/>
      <c r="G561" s="6"/>
      <c r="H561" s="6"/>
    </row>
    <row r="562" ht="15.75" customHeight="1">
      <c r="A562" s="6"/>
      <c r="B562" s="6"/>
      <c r="C562" s="6" t="str">
        <f>VLOOKUP(B562,Sheet3!$B$2:$E$311,2,FALSE)</f>
        <v>#N/A</v>
      </c>
      <c r="D562" s="6" t="str">
        <f>VLOOKUP(B562,Sheet3!$B$2:$E$311,3,)</f>
        <v>#N/A</v>
      </c>
      <c r="E562" s="6" t="str">
        <f>VLOOKUP(B562,Sheet3!$B$2:$E$311,4,)</f>
        <v>#N/A</v>
      </c>
      <c r="F562" s="6"/>
      <c r="G562" s="6"/>
      <c r="H562" s="6"/>
    </row>
    <row r="563" ht="15.75" customHeight="1">
      <c r="A563" s="6"/>
      <c r="B563" s="6"/>
      <c r="C563" s="6" t="str">
        <f>VLOOKUP(B563,Sheet3!$B$2:$E$311,2,FALSE)</f>
        <v>#N/A</v>
      </c>
      <c r="D563" s="6" t="str">
        <f>VLOOKUP(B563,Sheet3!$B$2:$E$311,3,)</f>
        <v>#N/A</v>
      </c>
      <c r="E563" s="6" t="str">
        <f>VLOOKUP(B563,Sheet3!$B$2:$E$311,4,)</f>
        <v>#N/A</v>
      </c>
      <c r="F563" s="6"/>
      <c r="G563" s="6"/>
      <c r="H563" s="6"/>
    </row>
    <row r="564" ht="15.75" customHeight="1">
      <c r="A564" s="6"/>
      <c r="B564" s="6"/>
      <c r="C564" s="6" t="str">
        <f>VLOOKUP(B564,Sheet3!$B$2:$E$311,2,FALSE)</f>
        <v>#N/A</v>
      </c>
      <c r="D564" s="6" t="str">
        <f>VLOOKUP(B564,Sheet3!$B$2:$E$311,3,)</f>
        <v>#N/A</v>
      </c>
      <c r="E564" s="6" t="str">
        <f>VLOOKUP(B564,Sheet3!$B$2:$E$311,4,)</f>
        <v>#N/A</v>
      </c>
      <c r="F564" s="6"/>
      <c r="G564" s="6"/>
      <c r="H564" s="6"/>
    </row>
    <row r="565" ht="15.75" customHeight="1">
      <c r="A565" s="6"/>
      <c r="B565" s="6"/>
      <c r="C565" s="6" t="str">
        <f>VLOOKUP(B565,Sheet3!$B$2:$E$311,2,FALSE)</f>
        <v>#N/A</v>
      </c>
      <c r="D565" s="6" t="str">
        <f>VLOOKUP(B565,Sheet3!$B$2:$E$311,3,)</f>
        <v>#N/A</v>
      </c>
      <c r="E565" s="6" t="str">
        <f>VLOOKUP(B565,Sheet3!$B$2:$E$311,4,)</f>
        <v>#N/A</v>
      </c>
      <c r="F565" s="6"/>
      <c r="G565" s="6"/>
      <c r="H565" s="6"/>
    </row>
    <row r="566" ht="15.75" customHeight="1">
      <c r="A566" s="6"/>
      <c r="B566" s="6"/>
      <c r="C566" s="6" t="str">
        <f>VLOOKUP(B566,Sheet3!$B$2:$E$311,2,FALSE)</f>
        <v>#N/A</v>
      </c>
      <c r="D566" s="6" t="str">
        <f>VLOOKUP(B566,Sheet3!$B$2:$E$311,3,)</f>
        <v>#N/A</v>
      </c>
      <c r="E566" s="6" t="str">
        <f>VLOOKUP(B566,Sheet3!$B$2:$E$311,4,)</f>
        <v>#N/A</v>
      </c>
      <c r="F566" s="6"/>
      <c r="G566" s="6"/>
      <c r="H566" s="6"/>
    </row>
    <row r="567" ht="15.75" customHeight="1">
      <c r="A567" s="6"/>
      <c r="B567" s="6"/>
      <c r="C567" s="6" t="str">
        <f>VLOOKUP(B567,Sheet3!$B$2:$E$311,2,FALSE)</f>
        <v>#N/A</v>
      </c>
      <c r="D567" s="6" t="str">
        <f>VLOOKUP(B567,Sheet3!$B$2:$E$311,3,)</f>
        <v>#N/A</v>
      </c>
      <c r="E567" s="6" t="str">
        <f>VLOOKUP(B567,Sheet3!$B$2:$E$311,4,)</f>
        <v>#N/A</v>
      </c>
      <c r="F567" s="6"/>
      <c r="G567" s="6"/>
      <c r="H567" s="6"/>
    </row>
    <row r="568" ht="15.75" customHeight="1">
      <c r="A568" s="6"/>
      <c r="B568" s="6"/>
      <c r="C568" s="6" t="str">
        <f>VLOOKUP(B568,Sheet3!$B$2:$E$311,2,FALSE)</f>
        <v>#N/A</v>
      </c>
      <c r="D568" s="6" t="str">
        <f>VLOOKUP(B568,Sheet3!$B$2:$E$311,3,)</f>
        <v>#N/A</v>
      </c>
      <c r="E568" s="6" t="str">
        <f>VLOOKUP(B568,Sheet3!$B$2:$E$311,4,)</f>
        <v>#N/A</v>
      </c>
      <c r="F568" s="6"/>
      <c r="G568" s="6"/>
      <c r="H568" s="6"/>
    </row>
    <row r="569" ht="15.75" customHeight="1">
      <c r="A569" s="6"/>
      <c r="B569" s="6"/>
      <c r="C569" s="6" t="str">
        <f>VLOOKUP(B569,Sheet3!$B$2:$E$311,2,FALSE)</f>
        <v>#N/A</v>
      </c>
      <c r="D569" s="6" t="str">
        <f>VLOOKUP(B569,Sheet3!$B$2:$E$311,3,)</f>
        <v>#N/A</v>
      </c>
      <c r="E569" s="6" t="str">
        <f>VLOOKUP(B569,Sheet3!$B$2:$E$311,4,)</f>
        <v>#N/A</v>
      </c>
      <c r="F569" s="6"/>
      <c r="G569" s="6"/>
      <c r="H569" s="6"/>
    </row>
    <row r="570" ht="15.75" customHeight="1">
      <c r="A570" s="6"/>
      <c r="B570" s="6"/>
      <c r="C570" s="6" t="str">
        <f>VLOOKUP(B570,Sheet3!$B$2:$E$311,2,FALSE)</f>
        <v>#N/A</v>
      </c>
      <c r="D570" s="6" t="str">
        <f>VLOOKUP(B570,Sheet3!$B$2:$E$311,3,)</f>
        <v>#N/A</v>
      </c>
      <c r="E570" s="6" t="str">
        <f>VLOOKUP(B570,Sheet3!$B$2:$E$311,4,)</f>
        <v>#N/A</v>
      </c>
      <c r="F570" s="6"/>
      <c r="G570" s="6"/>
      <c r="H570" s="6"/>
    </row>
    <row r="571" ht="15.75" customHeight="1">
      <c r="A571" s="6"/>
      <c r="B571" s="6"/>
      <c r="C571" s="6" t="str">
        <f>VLOOKUP(B571,Sheet3!$B$2:$E$311,2,FALSE)</f>
        <v>#N/A</v>
      </c>
      <c r="D571" s="6" t="str">
        <f>VLOOKUP(B571,Sheet3!$B$2:$E$311,3,)</f>
        <v>#N/A</v>
      </c>
      <c r="E571" s="6" t="str">
        <f>VLOOKUP(B571,Sheet3!$B$2:$E$311,4,)</f>
        <v>#N/A</v>
      </c>
      <c r="F571" s="6"/>
      <c r="G571" s="6"/>
      <c r="H571" s="6"/>
    </row>
    <row r="572" ht="15.75" customHeight="1">
      <c r="A572" s="6"/>
      <c r="B572" s="6"/>
      <c r="C572" s="6" t="str">
        <f>VLOOKUP(B572,Sheet3!$B$2:$E$311,2,FALSE)</f>
        <v>#N/A</v>
      </c>
      <c r="D572" s="6" t="str">
        <f>VLOOKUP(B572,Sheet3!$B$2:$E$311,3,)</f>
        <v>#N/A</v>
      </c>
      <c r="E572" s="6" t="str">
        <f>VLOOKUP(B572,Sheet3!$B$2:$E$311,4,)</f>
        <v>#N/A</v>
      </c>
      <c r="F572" s="6"/>
      <c r="G572" s="6"/>
      <c r="H572" s="6"/>
    </row>
    <row r="573" ht="15.75" customHeight="1">
      <c r="B573" s="21"/>
      <c r="C573" s="21" t="str">
        <f>VLOOKUP(B573,Sheet3!$B$2:$E$311,2,FALSE)</f>
        <v>#N/A</v>
      </c>
      <c r="D573" s="21" t="str">
        <f>VLOOKUP(B573,Sheet3!$B$2:$E$311,3,)</f>
        <v>#N/A</v>
      </c>
      <c r="E573" s="21" t="str">
        <f>VLOOKUP(B573,Sheet3!$B$2:$E$311,4,)</f>
        <v>#N/A</v>
      </c>
    </row>
    <row r="574" ht="15.75" customHeight="1">
      <c r="B574" s="21"/>
      <c r="C574" s="21" t="str">
        <f>VLOOKUP(B574,Sheet3!$B$2:$E$311,2,FALSE)</f>
        <v>#N/A</v>
      </c>
      <c r="D574" s="21" t="str">
        <f>VLOOKUP(B574,Sheet3!$B$2:$E$311,3,)</f>
        <v>#N/A</v>
      </c>
      <c r="E574" s="21" t="str">
        <f>VLOOKUP(B574,Sheet3!$B$2:$E$311,4,)</f>
        <v>#N/A</v>
      </c>
    </row>
    <row r="575" ht="15.75" customHeight="1">
      <c r="B575" s="21"/>
      <c r="C575" s="21" t="str">
        <f>VLOOKUP(B575,Sheet3!$B$2:$E$311,2,FALSE)</f>
        <v>#N/A</v>
      </c>
      <c r="D575" s="21" t="str">
        <f>VLOOKUP(B575,Sheet3!$B$2:$E$311,3,)</f>
        <v>#N/A</v>
      </c>
      <c r="E575" s="21" t="str">
        <f>VLOOKUP(B575,Sheet3!$B$2:$E$311,4,)</f>
        <v>#N/A</v>
      </c>
    </row>
    <row r="576" ht="15.75" customHeight="1">
      <c r="B576" s="21"/>
      <c r="C576" s="21" t="str">
        <f>VLOOKUP(B576,Sheet3!$B$2:$E$311,2,FALSE)</f>
        <v>#N/A</v>
      </c>
      <c r="D576" s="21" t="str">
        <f>VLOOKUP(B576,Sheet3!$B$2:$E$311,3,)</f>
        <v>#N/A</v>
      </c>
      <c r="E576" s="21" t="str">
        <f>VLOOKUP(B576,Sheet3!$B$2:$E$311,4,)</f>
        <v>#N/A</v>
      </c>
    </row>
    <row r="577" ht="15.75" customHeight="1">
      <c r="B577" s="21"/>
      <c r="C577" s="21" t="str">
        <f>VLOOKUP(B577,Sheet3!$B$2:$E$311,2,FALSE)</f>
        <v>#N/A</v>
      </c>
      <c r="D577" s="21" t="str">
        <f>VLOOKUP(B577,Sheet3!$B$2:$E$311,3,)</f>
        <v>#N/A</v>
      </c>
      <c r="E577" s="21" t="str">
        <f>VLOOKUP(B577,Sheet3!$B$2:$E$311,4,)</f>
        <v>#N/A</v>
      </c>
    </row>
    <row r="578" ht="15.75" customHeight="1">
      <c r="B578" s="21"/>
      <c r="C578" s="21" t="str">
        <f>VLOOKUP(B578,Sheet3!$B$2:$E$311,2,FALSE)</f>
        <v>#N/A</v>
      </c>
      <c r="D578" s="21" t="str">
        <f>VLOOKUP(B578,Sheet3!$B$2:$E$311,3,)</f>
        <v>#N/A</v>
      </c>
      <c r="E578" s="21" t="str">
        <f>VLOOKUP(B578,Sheet3!$B$2:$E$311,4,)</f>
        <v>#N/A</v>
      </c>
    </row>
    <row r="579" ht="15.75" customHeight="1">
      <c r="B579" s="21"/>
      <c r="C579" s="21" t="str">
        <f>VLOOKUP(B579,Sheet3!$B$2:$E$311,2,FALSE)</f>
        <v>#N/A</v>
      </c>
      <c r="D579" s="21" t="str">
        <f>VLOOKUP(B579,Sheet3!$B$2:$E$311,3,)</f>
        <v>#N/A</v>
      </c>
      <c r="E579" s="21" t="str">
        <f>VLOOKUP(B579,Sheet3!$B$2:$E$311,4,)</f>
        <v>#N/A</v>
      </c>
    </row>
    <row r="580" ht="15.75" customHeight="1">
      <c r="B580" s="21"/>
      <c r="C580" s="21" t="str">
        <f>VLOOKUP(B580,Sheet3!$B$2:$E$311,2,FALSE)</f>
        <v>#N/A</v>
      </c>
      <c r="D580" s="21" t="str">
        <f>VLOOKUP(B580,Sheet3!$B$2:$E$311,3,)</f>
        <v>#N/A</v>
      </c>
      <c r="E580" s="21" t="str">
        <f>VLOOKUP(B580,Sheet3!$B$2:$E$311,4,)</f>
        <v>#N/A</v>
      </c>
    </row>
    <row r="581" ht="15.75" customHeight="1">
      <c r="B581" s="21"/>
      <c r="C581" s="21" t="str">
        <f>VLOOKUP(B581,Sheet3!$B$2:$E$311,2,FALSE)</f>
        <v>#N/A</v>
      </c>
      <c r="D581" s="21" t="str">
        <f>VLOOKUP(B581,Sheet3!$B$2:$E$311,3,)</f>
        <v>#N/A</v>
      </c>
      <c r="E581" s="21" t="str">
        <f>VLOOKUP(B581,Sheet3!$B$2:$E$311,4,)</f>
        <v>#N/A</v>
      </c>
    </row>
    <row r="582" ht="15.75" customHeight="1">
      <c r="B582" s="21"/>
      <c r="C582" s="21" t="str">
        <f>VLOOKUP(B582,Sheet3!$B$2:$E$311,2,FALSE)</f>
        <v>#N/A</v>
      </c>
      <c r="D582" s="21" t="str">
        <f>VLOOKUP(B582,Sheet3!$B$2:$E$311,3,)</f>
        <v>#N/A</v>
      </c>
      <c r="E582" s="21" t="str">
        <f>VLOOKUP(B582,Sheet3!$B$2:$E$311,4,)</f>
        <v>#N/A</v>
      </c>
    </row>
    <row r="583" ht="15.75" customHeight="1">
      <c r="B583" s="21"/>
      <c r="C583" s="21" t="str">
        <f>VLOOKUP(B583,Sheet3!$B$2:$E$311,2,FALSE)</f>
        <v>#N/A</v>
      </c>
      <c r="D583" s="21" t="str">
        <f>VLOOKUP(B583,Sheet3!$B$2:$E$311,3,)</f>
        <v>#N/A</v>
      </c>
      <c r="E583" s="21" t="str">
        <f>VLOOKUP(B583,Sheet3!$B$2:$E$311,4,)</f>
        <v>#N/A</v>
      </c>
    </row>
    <row r="584" ht="15.75" customHeight="1">
      <c r="B584" s="21"/>
      <c r="C584" s="21" t="str">
        <f>VLOOKUP(B584,Sheet3!$B$2:$E$311,2,FALSE)</f>
        <v>#N/A</v>
      </c>
      <c r="D584" s="21" t="str">
        <f>VLOOKUP(B584,Sheet3!$B$2:$E$311,3,)</f>
        <v>#N/A</v>
      </c>
      <c r="E584" s="21" t="str">
        <f>VLOOKUP(B584,Sheet3!$B$2:$E$311,4,)</f>
        <v>#N/A</v>
      </c>
    </row>
    <row r="585" ht="15.75" customHeight="1">
      <c r="B585" s="21"/>
      <c r="C585" s="21" t="str">
        <f>VLOOKUP(B585,Sheet3!$B$2:$E$311,2,FALSE)</f>
        <v>#N/A</v>
      </c>
      <c r="D585" s="21" t="str">
        <f>VLOOKUP(B585,Sheet3!$B$2:$E$311,3,)</f>
        <v>#N/A</v>
      </c>
      <c r="E585" s="21" t="str">
        <f>VLOOKUP(B585,Sheet3!$B$2:$E$311,4,)</f>
        <v>#N/A</v>
      </c>
    </row>
    <row r="586" ht="15.75" customHeight="1">
      <c r="B586" s="21"/>
      <c r="C586" s="21" t="str">
        <f>VLOOKUP(B586,Sheet3!$B$2:$E$311,2,FALSE)</f>
        <v>#N/A</v>
      </c>
      <c r="D586" s="21" t="str">
        <f>VLOOKUP(B586,Sheet3!$B$2:$E$311,3,)</f>
        <v>#N/A</v>
      </c>
      <c r="E586" s="21" t="str">
        <f>VLOOKUP(B586,Sheet3!$B$2:$E$311,4,)</f>
        <v>#N/A</v>
      </c>
    </row>
    <row r="587" ht="15.75" customHeight="1">
      <c r="B587" s="21"/>
      <c r="C587" s="21" t="str">
        <f>VLOOKUP(B587,Sheet3!$B$2:$E$311,2,FALSE)</f>
        <v>#N/A</v>
      </c>
      <c r="D587" s="21" t="str">
        <f>VLOOKUP(B587,Sheet3!$B$2:$E$311,3,)</f>
        <v>#N/A</v>
      </c>
      <c r="E587" s="21" t="str">
        <f>VLOOKUP(B587,Sheet3!$B$2:$E$311,4,)</f>
        <v>#N/A</v>
      </c>
    </row>
    <row r="588" ht="15.75" customHeight="1">
      <c r="B588" s="21"/>
      <c r="C588" s="21" t="str">
        <f>VLOOKUP(B588,Sheet3!$B$2:$E$311,2,FALSE)</f>
        <v>#N/A</v>
      </c>
      <c r="D588" s="21" t="str">
        <f>VLOOKUP(B588,Sheet3!$B$2:$E$311,3,)</f>
        <v>#N/A</v>
      </c>
      <c r="E588" s="21" t="str">
        <f>VLOOKUP(B588,Sheet3!$B$2:$E$311,4,)</f>
        <v>#N/A</v>
      </c>
    </row>
    <row r="589" ht="15.75" customHeight="1">
      <c r="B589" s="21"/>
      <c r="C589" s="21" t="str">
        <f>VLOOKUP(B589,Sheet3!$B$2:$E$311,2,FALSE)</f>
        <v>#N/A</v>
      </c>
      <c r="D589" s="21" t="str">
        <f>VLOOKUP(B589,Sheet3!$B$2:$E$311,3,)</f>
        <v>#N/A</v>
      </c>
      <c r="E589" s="21" t="str">
        <f>VLOOKUP(B589,Sheet3!$B$2:$E$311,4,)</f>
        <v>#N/A</v>
      </c>
    </row>
    <row r="590" ht="15.75" customHeight="1">
      <c r="B590" s="21"/>
      <c r="C590" s="21" t="str">
        <f>VLOOKUP(B590,Sheet3!$B$2:$E$311,2,FALSE)</f>
        <v>#N/A</v>
      </c>
      <c r="D590" s="21" t="str">
        <f>VLOOKUP(B590,Sheet3!$B$2:$E$311,3,)</f>
        <v>#N/A</v>
      </c>
      <c r="E590" s="21" t="str">
        <f>VLOOKUP(B590,Sheet3!$B$2:$E$311,4,)</f>
        <v>#N/A</v>
      </c>
    </row>
    <row r="591" ht="15.75" customHeight="1">
      <c r="B591" s="21"/>
      <c r="C591" s="21" t="str">
        <f>VLOOKUP(B591,Sheet3!$B$2:$E$311,2,FALSE)</f>
        <v>#N/A</v>
      </c>
      <c r="D591" s="21" t="str">
        <f>VLOOKUP(B591,Sheet3!$B$2:$E$311,3,)</f>
        <v>#N/A</v>
      </c>
      <c r="E591" s="21" t="str">
        <f>VLOOKUP(B591,Sheet3!$B$2:$E$311,4,)</f>
        <v>#N/A</v>
      </c>
    </row>
    <row r="592" ht="15.75" customHeight="1">
      <c r="B592" s="21"/>
      <c r="C592" s="21" t="str">
        <f>VLOOKUP(B592,Sheet3!$B$2:$E$311,2,FALSE)</f>
        <v>#N/A</v>
      </c>
      <c r="D592" s="21" t="str">
        <f>VLOOKUP(B592,Sheet3!$B$2:$E$311,3,)</f>
        <v>#N/A</v>
      </c>
      <c r="E592" s="21" t="str">
        <f>VLOOKUP(B592,Sheet3!$B$2:$E$311,4,)</f>
        <v>#N/A</v>
      </c>
    </row>
    <row r="593" ht="15.75" customHeight="1">
      <c r="B593" s="21"/>
      <c r="C593" s="21" t="str">
        <f>VLOOKUP(B593,Sheet3!$B$2:$E$311,2,FALSE)</f>
        <v>#N/A</v>
      </c>
      <c r="D593" s="21" t="str">
        <f>VLOOKUP(B593,Sheet3!$B$2:$E$311,3,)</f>
        <v>#N/A</v>
      </c>
      <c r="E593" s="21" t="str">
        <f>VLOOKUP(B593,Sheet3!$B$2:$E$311,4,)</f>
        <v>#N/A</v>
      </c>
    </row>
    <row r="594" ht="15.75" customHeight="1">
      <c r="B594" s="21"/>
      <c r="C594" s="21" t="str">
        <f>VLOOKUP(B594,Sheet3!$B$2:$E$311,2,FALSE)</f>
        <v>#N/A</v>
      </c>
      <c r="D594" s="21" t="str">
        <f>VLOOKUP(B594,Sheet3!$B$2:$E$311,3,)</f>
        <v>#N/A</v>
      </c>
      <c r="E594" s="21" t="str">
        <f>VLOOKUP(B594,Sheet3!$B$2:$E$311,4,)</f>
        <v>#N/A</v>
      </c>
    </row>
    <row r="595" ht="15.75" customHeight="1">
      <c r="B595" s="21"/>
      <c r="C595" s="21" t="str">
        <f>VLOOKUP(B595,Sheet3!$B$2:$E$311,2,FALSE)</f>
        <v>#N/A</v>
      </c>
      <c r="D595" s="21" t="str">
        <f>VLOOKUP(B595,Sheet3!$B$2:$E$311,3,)</f>
        <v>#N/A</v>
      </c>
      <c r="E595" s="21" t="str">
        <f>VLOOKUP(B595,Sheet3!$B$2:$E$311,4,)</f>
        <v>#N/A</v>
      </c>
    </row>
    <row r="596" ht="15.75" customHeight="1">
      <c r="B596" s="21"/>
      <c r="C596" s="21" t="str">
        <f>VLOOKUP(B596,Sheet3!$B$2:$E$311,2,FALSE)</f>
        <v>#N/A</v>
      </c>
      <c r="D596" s="21" t="str">
        <f>VLOOKUP(B596,Sheet3!$B$2:$E$311,3,)</f>
        <v>#N/A</v>
      </c>
      <c r="E596" s="21" t="str">
        <f>VLOOKUP(B596,Sheet3!$B$2:$E$311,4,)</f>
        <v>#N/A</v>
      </c>
    </row>
    <row r="597" ht="15.75" customHeight="1">
      <c r="B597" s="21"/>
      <c r="C597" s="21" t="str">
        <f>VLOOKUP(B597,Sheet3!$B$2:$E$311,2,FALSE)</f>
        <v>#N/A</v>
      </c>
      <c r="D597" s="21" t="str">
        <f>VLOOKUP(B597,Sheet3!$B$2:$E$311,3,)</f>
        <v>#N/A</v>
      </c>
      <c r="E597" s="21" t="str">
        <f>VLOOKUP(B597,Sheet3!$B$2:$E$311,4,)</f>
        <v>#N/A</v>
      </c>
    </row>
    <row r="598" ht="15.75" customHeight="1">
      <c r="B598" s="21"/>
      <c r="C598" s="21" t="str">
        <f>VLOOKUP(B598,Sheet3!$B$2:$E$311,2,FALSE)</f>
        <v>#N/A</v>
      </c>
      <c r="D598" s="21" t="str">
        <f>VLOOKUP(B598,Sheet3!$B$2:$E$311,3,)</f>
        <v>#N/A</v>
      </c>
      <c r="E598" s="21" t="str">
        <f>VLOOKUP(B598,Sheet3!$B$2:$E$311,4,)</f>
        <v>#N/A</v>
      </c>
    </row>
    <row r="599" ht="15.75" customHeight="1">
      <c r="B599" s="21"/>
      <c r="C599" s="21" t="str">
        <f>VLOOKUP(B599,Sheet3!$B$2:$E$311,2,FALSE)</f>
        <v>#N/A</v>
      </c>
      <c r="D599" s="21" t="str">
        <f>VLOOKUP(B599,Sheet3!$B$2:$E$311,3,)</f>
        <v>#N/A</v>
      </c>
      <c r="E599" s="21" t="str">
        <f>VLOOKUP(B599,Sheet3!$B$2:$E$311,4,)</f>
        <v>#N/A</v>
      </c>
    </row>
    <row r="600" ht="15.75" customHeight="1">
      <c r="B600" s="21"/>
      <c r="C600" s="21" t="str">
        <f>VLOOKUP(B600,Sheet3!$B$2:$E$311,2,FALSE)</f>
        <v>#N/A</v>
      </c>
      <c r="D600" s="21" t="str">
        <f>VLOOKUP(B600,Sheet3!$B$2:$E$311,3,)</f>
        <v>#N/A</v>
      </c>
      <c r="E600" s="21" t="str">
        <f>VLOOKUP(B600,Sheet3!$B$2:$E$311,4,)</f>
        <v>#N/A</v>
      </c>
    </row>
    <row r="601" ht="15.75" customHeight="1">
      <c r="B601" s="21"/>
      <c r="C601" s="21" t="str">
        <f>VLOOKUP(B601,Sheet3!$B$2:$E$311,2,FALSE)</f>
        <v>#N/A</v>
      </c>
      <c r="D601" s="21" t="str">
        <f>VLOOKUP(B601,Sheet3!$B$2:$E$311,3,)</f>
        <v>#N/A</v>
      </c>
      <c r="E601" s="21" t="str">
        <f>VLOOKUP(B601,Sheet3!$B$2:$E$311,4,)</f>
        <v>#N/A</v>
      </c>
    </row>
    <row r="602" ht="15.75" customHeight="1">
      <c r="B602" s="21"/>
      <c r="C602" s="21" t="str">
        <f>VLOOKUP(B602,Sheet3!$B$2:$E$311,2,FALSE)</f>
        <v>#N/A</v>
      </c>
      <c r="D602" s="21" t="str">
        <f>VLOOKUP(B602,Sheet3!$B$2:$E$311,3,)</f>
        <v>#N/A</v>
      </c>
      <c r="E602" s="21" t="str">
        <f>VLOOKUP(B602,Sheet3!$B$2:$E$311,4,)</f>
        <v>#N/A</v>
      </c>
    </row>
    <row r="603" ht="15.75" customHeight="1">
      <c r="B603" s="21"/>
      <c r="C603" s="21" t="str">
        <f>VLOOKUP(B603,Sheet3!$B$2:$E$311,2,FALSE)</f>
        <v>#N/A</v>
      </c>
      <c r="D603" s="21" t="str">
        <f>VLOOKUP(B603,Sheet3!$B$2:$E$311,3,)</f>
        <v>#N/A</v>
      </c>
      <c r="E603" s="21" t="str">
        <f>VLOOKUP(B603,Sheet3!$B$2:$E$311,4,)</f>
        <v>#N/A</v>
      </c>
    </row>
    <row r="604" ht="15.75" customHeight="1">
      <c r="B604" s="21"/>
      <c r="C604" s="21" t="str">
        <f>VLOOKUP(B604,Sheet3!$B$2:$E$311,2,FALSE)</f>
        <v>#N/A</v>
      </c>
      <c r="D604" s="21" t="str">
        <f>VLOOKUP(B604,Sheet3!$B$2:$E$311,3,)</f>
        <v>#N/A</v>
      </c>
      <c r="E604" s="21" t="str">
        <f>VLOOKUP(B604,Sheet3!$B$2:$E$311,4,)</f>
        <v>#N/A</v>
      </c>
    </row>
    <row r="605" ht="15.75" customHeight="1">
      <c r="B605" s="21"/>
      <c r="C605" s="21" t="str">
        <f>VLOOKUP(B605,Sheet3!$B$2:$E$311,2,FALSE)</f>
        <v>#N/A</v>
      </c>
      <c r="D605" s="21" t="str">
        <f>VLOOKUP(B605,Sheet3!$B$2:$E$311,3,)</f>
        <v>#N/A</v>
      </c>
      <c r="E605" s="21" t="str">
        <f>VLOOKUP(B605,Sheet3!$B$2:$E$311,4,)</f>
        <v>#N/A</v>
      </c>
    </row>
    <row r="606" ht="15.75" customHeight="1">
      <c r="B606" s="21"/>
      <c r="C606" s="21" t="str">
        <f>VLOOKUP(B606,Sheet3!$B$2:$E$311,2,FALSE)</f>
        <v>#N/A</v>
      </c>
      <c r="D606" s="21" t="str">
        <f>VLOOKUP(B606,Sheet3!$B$2:$E$311,3,)</f>
        <v>#N/A</v>
      </c>
      <c r="E606" s="21" t="str">
        <f>VLOOKUP(B606,Sheet3!$B$2:$E$311,4,)</f>
        <v>#N/A</v>
      </c>
    </row>
    <row r="607" ht="15.75" customHeight="1">
      <c r="B607" s="21"/>
      <c r="C607" s="21" t="str">
        <f>VLOOKUP(B607,Sheet3!$B$2:$E$311,2,FALSE)</f>
        <v>#N/A</v>
      </c>
      <c r="D607" s="21" t="str">
        <f>VLOOKUP(B607,Sheet3!$B$2:$E$311,3,)</f>
        <v>#N/A</v>
      </c>
      <c r="E607" s="21" t="str">
        <f>VLOOKUP(B607,Sheet3!$B$2:$E$311,4,)</f>
        <v>#N/A</v>
      </c>
    </row>
    <row r="608" ht="15.75" customHeight="1">
      <c r="B608" s="21"/>
      <c r="C608" s="21" t="str">
        <f>VLOOKUP(B608,Sheet3!$B$2:$E$311,2,FALSE)</f>
        <v>#N/A</v>
      </c>
      <c r="D608" s="21" t="str">
        <f>VLOOKUP(B608,Sheet3!$B$2:$E$311,3,)</f>
        <v>#N/A</v>
      </c>
      <c r="E608" s="21" t="str">
        <f>VLOOKUP(B608,Sheet3!$B$2:$E$311,4,)</f>
        <v>#N/A</v>
      </c>
    </row>
    <row r="609" ht="15.75" customHeight="1">
      <c r="B609" s="21"/>
      <c r="C609" s="21" t="str">
        <f>VLOOKUP(B609,Sheet3!$B$2:$E$311,2,FALSE)</f>
        <v>#N/A</v>
      </c>
      <c r="D609" s="21" t="str">
        <f>VLOOKUP(B609,Sheet3!$B$2:$E$311,3,)</f>
        <v>#N/A</v>
      </c>
      <c r="E609" s="21" t="str">
        <f>VLOOKUP(B609,Sheet3!$B$2:$E$311,4,)</f>
        <v>#N/A</v>
      </c>
    </row>
    <row r="610" ht="15.75" customHeight="1">
      <c r="B610" s="21"/>
      <c r="C610" s="21" t="str">
        <f>VLOOKUP(B610,Sheet3!$B$2:$E$311,2,FALSE)</f>
        <v>#N/A</v>
      </c>
      <c r="D610" s="21" t="str">
        <f>VLOOKUP(B610,Sheet3!$B$2:$E$311,3,)</f>
        <v>#N/A</v>
      </c>
      <c r="E610" s="21" t="str">
        <f>VLOOKUP(B610,Sheet3!$B$2:$E$311,4,)</f>
        <v>#N/A</v>
      </c>
    </row>
    <row r="611" ht="15.75" customHeight="1">
      <c r="B611" s="21"/>
      <c r="C611" s="21" t="str">
        <f>VLOOKUP(B611,Sheet3!$B$2:$E$311,2,FALSE)</f>
        <v>#N/A</v>
      </c>
      <c r="D611" s="21" t="str">
        <f>VLOOKUP(B611,Sheet3!$B$2:$E$311,3,)</f>
        <v>#N/A</v>
      </c>
      <c r="E611" s="21" t="str">
        <f>VLOOKUP(B611,Sheet3!$B$2:$E$311,4,)</f>
        <v>#N/A</v>
      </c>
    </row>
    <row r="612" ht="15.75" customHeight="1">
      <c r="B612" s="21"/>
      <c r="C612" s="21" t="str">
        <f>VLOOKUP(B612,Sheet3!$B$2:$E$311,2,FALSE)</f>
        <v>#N/A</v>
      </c>
      <c r="D612" s="21" t="str">
        <f>VLOOKUP(B612,Sheet3!$B$2:$E$311,3,)</f>
        <v>#N/A</v>
      </c>
      <c r="E612" s="21" t="str">
        <f>VLOOKUP(B612,Sheet3!$B$2:$E$311,4,)</f>
        <v>#N/A</v>
      </c>
    </row>
    <row r="613" ht="15.75" customHeight="1">
      <c r="B613" s="21"/>
      <c r="C613" s="21" t="str">
        <f>VLOOKUP(B613,Sheet3!$B$2:$E$311,2,FALSE)</f>
        <v>#N/A</v>
      </c>
      <c r="D613" s="21" t="str">
        <f>VLOOKUP(B613,Sheet3!$B$2:$E$311,3,)</f>
        <v>#N/A</v>
      </c>
      <c r="E613" s="21" t="str">
        <f>VLOOKUP(B613,Sheet3!$B$2:$E$311,4,)</f>
        <v>#N/A</v>
      </c>
    </row>
    <row r="614" ht="15.75" customHeight="1">
      <c r="B614" s="21"/>
      <c r="C614" s="21" t="str">
        <f>VLOOKUP(B614,Sheet3!$B$2:$E$311,2,FALSE)</f>
        <v>#N/A</v>
      </c>
      <c r="D614" s="21" t="str">
        <f>VLOOKUP(B614,Sheet3!$B$2:$E$311,3,)</f>
        <v>#N/A</v>
      </c>
      <c r="E614" s="21" t="str">
        <f>VLOOKUP(B614,Sheet3!$B$2:$E$311,4,)</f>
        <v>#N/A</v>
      </c>
    </row>
    <row r="615" ht="15.75" customHeight="1">
      <c r="B615" s="21"/>
      <c r="C615" s="21" t="str">
        <f>VLOOKUP(B615,Sheet3!$B$2:$E$311,2,FALSE)</f>
        <v>#N/A</v>
      </c>
      <c r="D615" s="21" t="str">
        <f>VLOOKUP(B615,Sheet3!$B$2:$E$311,3,)</f>
        <v>#N/A</v>
      </c>
      <c r="E615" s="21" t="str">
        <f>VLOOKUP(B615,Sheet3!$B$2:$E$311,4,)</f>
        <v>#N/A</v>
      </c>
    </row>
    <row r="616" ht="15.75" customHeight="1">
      <c r="B616" s="21"/>
      <c r="C616" s="21" t="str">
        <f>VLOOKUP(B616,Sheet3!$B$2:$E$311,2,FALSE)</f>
        <v>#N/A</v>
      </c>
      <c r="D616" s="21" t="str">
        <f>VLOOKUP(B616,Sheet3!$B$2:$E$311,3,)</f>
        <v>#N/A</v>
      </c>
      <c r="E616" s="21" t="str">
        <f>VLOOKUP(B616,Sheet3!$B$2:$E$311,4,)</f>
        <v>#N/A</v>
      </c>
    </row>
    <row r="617" ht="15.75" customHeight="1">
      <c r="B617" s="21"/>
      <c r="C617" s="21" t="str">
        <f>VLOOKUP(B617,Sheet3!$B$2:$E$311,2,FALSE)</f>
        <v>#N/A</v>
      </c>
      <c r="D617" s="21" t="str">
        <f>VLOOKUP(B617,Sheet3!$B$2:$E$311,3,)</f>
        <v>#N/A</v>
      </c>
      <c r="E617" s="21" t="str">
        <f>VLOOKUP(B617,Sheet3!$B$2:$E$311,4,)</f>
        <v>#N/A</v>
      </c>
    </row>
    <row r="618" ht="15.75" customHeight="1">
      <c r="B618" s="21"/>
      <c r="C618" s="21" t="str">
        <f>VLOOKUP(B618,Sheet3!$B$2:$E$311,2,FALSE)</f>
        <v>#N/A</v>
      </c>
      <c r="D618" s="21" t="str">
        <f>VLOOKUP(B618,Sheet3!$B$2:$E$311,3,)</f>
        <v>#N/A</v>
      </c>
      <c r="E618" s="21" t="str">
        <f>VLOOKUP(B618,Sheet3!$B$2:$E$311,4,)</f>
        <v>#N/A</v>
      </c>
    </row>
    <row r="619" ht="15.75" customHeight="1">
      <c r="B619" s="21"/>
      <c r="C619" s="21" t="str">
        <f>VLOOKUP(B619,Sheet3!$B$2:$E$311,2,FALSE)</f>
        <v>#N/A</v>
      </c>
      <c r="D619" s="21" t="str">
        <f>VLOOKUP(B619,Sheet3!$B$2:$E$311,3,)</f>
        <v>#N/A</v>
      </c>
      <c r="E619" s="21" t="str">
        <f>VLOOKUP(B619,Sheet3!$B$2:$E$311,4,)</f>
        <v>#N/A</v>
      </c>
    </row>
    <row r="620" ht="15.75" customHeight="1">
      <c r="B620" s="21"/>
      <c r="C620" s="21" t="str">
        <f>VLOOKUP(B620,Sheet3!$B$2:$E$311,2,FALSE)</f>
        <v>#N/A</v>
      </c>
      <c r="D620" s="21" t="str">
        <f>VLOOKUP(B620,Sheet3!$B$2:$E$311,3,)</f>
        <v>#N/A</v>
      </c>
      <c r="E620" s="21" t="str">
        <f>VLOOKUP(B620,Sheet3!$B$2:$E$311,4,)</f>
        <v>#N/A</v>
      </c>
    </row>
    <row r="621" ht="15.75" customHeight="1">
      <c r="B621" s="21"/>
      <c r="C621" s="21" t="str">
        <f>VLOOKUP(B621,Sheet3!$B$2:$E$311,2,FALSE)</f>
        <v>#N/A</v>
      </c>
      <c r="D621" s="21" t="str">
        <f>VLOOKUP(B621,Sheet3!$B$2:$E$311,3,)</f>
        <v>#N/A</v>
      </c>
      <c r="E621" s="21" t="str">
        <f>VLOOKUP(B621,Sheet3!$B$2:$E$311,4,)</f>
        <v>#N/A</v>
      </c>
    </row>
    <row r="622" ht="15.75" customHeight="1">
      <c r="B622" s="21"/>
      <c r="C622" s="21" t="str">
        <f>VLOOKUP(B622,Sheet3!$B$2:$E$311,2,FALSE)</f>
        <v>#N/A</v>
      </c>
      <c r="D622" s="21" t="str">
        <f>VLOOKUP(B622,Sheet3!$B$2:$E$311,3,)</f>
        <v>#N/A</v>
      </c>
      <c r="E622" s="21" t="str">
        <f>VLOOKUP(B622,Sheet3!$B$2:$E$311,4,)</f>
        <v>#N/A</v>
      </c>
    </row>
    <row r="623" ht="15.75" customHeight="1">
      <c r="B623" s="21"/>
      <c r="C623" s="21" t="str">
        <f>VLOOKUP(B623,Sheet3!$B$2:$E$311,2,FALSE)</f>
        <v>#N/A</v>
      </c>
      <c r="D623" s="21" t="str">
        <f>VLOOKUP(B623,Sheet3!$B$2:$E$311,3,)</f>
        <v>#N/A</v>
      </c>
      <c r="E623" s="21" t="str">
        <f>VLOOKUP(B623,Sheet3!$B$2:$E$311,4,)</f>
        <v>#N/A</v>
      </c>
    </row>
    <row r="624" ht="15.75" customHeight="1">
      <c r="B624" s="21"/>
      <c r="C624" s="21" t="str">
        <f>VLOOKUP(B624,Sheet3!$B$2:$E$311,2,FALSE)</f>
        <v>#N/A</v>
      </c>
      <c r="D624" s="21" t="str">
        <f>VLOOKUP(B624,Sheet3!$B$2:$E$311,3,)</f>
        <v>#N/A</v>
      </c>
      <c r="E624" s="21" t="str">
        <f>VLOOKUP(B624,Sheet3!$B$2:$E$311,4,)</f>
        <v>#N/A</v>
      </c>
    </row>
    <row r="625" ht="15.75" customHeight="1">
      <c r="B625" s="21"/>
      <c r="C625" s="21" t="str">
        <f>VLOOKUP(B625,Sheet3!$B$2:$E$311,2,FALSE)</f>
        <v>#N/A</v>
      </c>
      <c r="D625" s="21" t="str">
        <f>VLOOKUP(B625,Sheet3!$B$2:$E$311,3,)</f>
        <v>#N/A</v>
      </c>
      <c r="E625" s="21" t="str">
        <f>VLOOKUP(B625,Sheet3!$B$2:$E$311,4,)</f>
        <v>#N/A</v>
      </c>
    </row>
    <row r="626" ht="15.75" customHeight="1">
      <c r="B626" s="21"/>
      <c r="C626" s="21" t="str">
        <f>VLOOKUP(B626,Sheet3!$B$2:$E$311,2,FALSE)</f>
        <v>#N/A</v>
      </c>
      <c r="D626" s="21" t="str">
        <f>VLOOKUP(B626,Sheet3!$B$2:$E$311,3,)</f>
        <v>#N/A</v>
      </c>
      <c r="E626" s="21" t="str">
        <f>VLOOKUP(B626,Sheet3!$B$2:$E$311,4,)</f>
        <v>#N/A</v>
      </c>
    </row>
    <row r="627" ht="15.75" customHeight="1">
      <c r="B627" s="21"/>
      <c r="C627" s="21" t="str">
        <f>VLOOKUP(B627,Sheet3!$B$2:$E$311,2,FALSE)</f>
        <v>#N/A</v>
      </c>
      <c r="D627" s="21" t="str">
        <f>VLOOKUP(B627,Sheet3!$B$2:$E$311,3,)</f>
        <v>#N/A</v>
      </c>
      <c r="E627" s="21" t="str">
        <f>VLOOKUP(B627,Sheet3!$B$2:$E$311,4,)</f>
        <v>#N/A</v>
      </c>
    </row>
    <row r="628" ht="15.75" customHeight="1">
      <c r="B628" s="21"/>
      <c r="C628" s="21" t="str">
        <f>VLOOKUP(B628,Sheet3!$B$2:$E$311,2,FALSE)</f>
        <v>#N/A</v>
      </c>
      <c r="D628" s="21" t="str">
        <f>VLOOKUP(B628,Sheet3!$B$2:$E$311,3,)</f>
        <v>#N/A</v>
      </c>
      <c r="E628" s="21" t="str">
        <f>VLOOKUP(B628,Sheet3!$B$2:$E$311,4,)</f>
        <v>#N/A</v>
      </c>
    </row>
    <row r="629" ht="15.75" customHeight="1">
      <c r="B629" s="21"/>
      <c r="C629" s="21" t="str">
        <f>VLOOKUP(B629,Sheet3!$B$2:$E$311,2,FALSE)</f>
        <v>#N/A</v>
      </c>
      <c r="D629" s="21" t="str">
        <f>VLOOKUP(B629,Sheet3!$B$2:$E$311,3,)</f>
        <v>#N/A</v>
      </c>
      <c r="E629" s="21" t="str">
        <f>VLOOKUP(B629,Sheet3!$B$2:$E$311,4,)</f>
        <v>#N/A</v>
      </c>
    </row>
    <row r="630" ht="15.75" customHeight="1">
      <c r="B630" s="21"/>
      <c r="C630" s="21" t="str">
        <f>VLOOKUP(B630,Sheet3!$B$2:$E$311,2,FALSE)</f>
        <v>#N/A</v>
      </c>
      <c r="D630" s="21" t="str">
        <f>VLOOKUP(B630,Sheet3!$B$2:$E$311,3,)</f>
        <v>#N/A</v>
      </c>
      <c r="E630" s="21" t="str">
        <f>VLOOKUP(B630,Sheet3!$B$2:$E$311,4,)</f>
        <v>#N/A</v>
      </c>
    </row>
    <row r="631" ht="15.75" customHeight="1">
      <c r="B631" s="21"/>
      <c r="C631" s="21" t="str">
        <f>VLOOKUP(B631,Sheet3!$B$2:$E$311,2,FALSE)</f>
        <v>#N/A</v>
      </c>
      <c r="D631" s="21" t="str">
        <f>VLOOKUP(B631,Sheet3!$B$2:$E$311,3,)</f>
        <v>#N/A</v>
      </c>
      <c r="E631" s="21" t="str">
        <f>VLOOKUP(B631,Sheet3!$B$2:$E$311,4,)</f>
        <v>#N/A</v>
      </c>
    </row>
    <row r="632" ht="15.75" customHeight="1">
      <c r="B632" s="21"/>
      <c r="C632" s="21" t="str">
        <f>VLOOKUP(B632,Sheet3!$B$2:$E$311,2,FALSE)</f>
        <v>#N/A</v>
      </c>
      <c r="D632" s="21" t="str">
        <f>VLOOKUP(B632,Sheet3!$B$2:$E$311,3,)</f>
        <v>#N/A</v>
      </c>
      <c r="E632" s="21" t="str">
        <f>VLOOKUP(B632,Sheet3!$B$2:$E$311,4,)</f>
        <v>#N/A</v>
      </c>
    </row>
    <row r="633" ht="15.75" customHeight="1">
      <c r="B633" s="21"/>
      <c r="C633" s="21" t="str">
        <f>VLOOKUP(B633,Sheet3!$B$2:$E$311,2,FALSE)</f>
        <v>#N/A</v>
      </c>
      <c r="D633" s="21" t="str">
        <f>VLOOKUP(B633,Sheet3!$B$2:$E$311,3,)</f>
        <v>#N/A</v>
      </c>
      <c r="E633" s="21" t="str">
        <f>VLOOKUP(B633,Sheet3!$B$2:$E$311,4,)</f>
        <v>#N/A</v>
      </c>
    </row>
    <row r="634" ht="15.75" customHeight="1">
      <c r="B634" s="21"/>
      <c r="C634" s="21" t="str">
        <f>VLOOKUP(B634,Sheet3!$B$2:$E$311,2,FALSE)</f>
        <v>#N/A</v>
      </c>
      <c r="D634" s="21" t="str">
        <f>VLOOKUP(B634,Sheet3!$B$2:$E$311,3,)</f>
        <v>#N/A</v>
      </c>
      <c r="E634" s="21" t="str">
        <f>VLOOKUP(B634,Sheet3!$B$2:$E$311,4,)</f>
        <v>#N/A</v>
      </c>
    </row>
    <row r="635" ht="15.75" customHeight="1">
      <c r="B635" s="21"/>
      <c r="C635" s="21" t="str">
        <f>VLOOKUP(B635,Sheet3!$B$2:$E$311,2,FALSE)</f>
        <v>#N/A</v>
      </c>
      <c r="D635" s="21" t="str">
        <f>VLOOKUP(B635,Sheet3!$B$2:$E$311,3,)</f>
        <v>#N/A</v>
      </c>
      <c r="E635" s="21" t="str">
        <f>VLOOKUP(B635,Sheet3!$B$2:$E$311,4,)</f>
        <v>#N/A</v>
      </c>
    </row>
    <row r="636" ht="15.75" customHeight="1">
      <c r="B636" s="21"/>
      <c r="C636" s="21" t="str">
        <f>VLOOKUP(B636,Sheet3!$B$2:$E$311,2,FALSE)</f>
        <v>#N/A</v>
      </c>
      <c r="D636" s="21" t="str">
        <f>VLOOKUP(B636,Sheet3!$B$2:$E$311,3,)</f>
        <v>#N/A</v>
      </c>
      <c r="E636" s="21" t="str">
        <f>VLOOKUP(B636,Sheet3!$B$2:$E$311,4,)</f>
        <v>#N/A</v>
      </c>
    </row>
    <row r="637" ht="15.75" customHeight="1">
      <c r="B637" s="21"/>
      <c r="C637" s="21" t="str">
        <f>VLOOKUP(B637,Sheet3!$B$2:$E$311,2,FALSE)</f>
        <v>#N/A</v>
      </c>
      <c r="D637" s="21" t="str">
        <f>VLOOKUP(B637,Sheet3!$B$2:$E$311,3,)</f>
        <v>#N/A</v>
      </c>
      <c r="E637" s="21" t="str">
        <f>VLOOKUP(B637,Sheet3!$B$2:$E$311,4,)</f>
        <v>#N/A</v>
      </c>
    </row>
    <row r="638" ht="15.75" customHeight="1">
      <c r="B638" s="21"/>
      <c r="C638" s="21" t="str">
        <f>VLOOKUP(B638,Sheet3!$B$2:$E$311,2,FALSE)</f>
        <v>#N/A</v>
      </c>
      <c r="D638" s="21" t="str">
        <f>VLOOKUP(B638,Sheet3!$B$2:$E$311,3,)</f>
        <v>#N/A</v>
      </c>
      <c r="E638" s="21" t="str">
        <f>VLOOKUP(B638,Sheet3!$B$2:$E$311,4,)</f>
        <v>#N/A</v>
      </c>
    </row>
    <row r="639" ht="15.75" customHeight="1">
      <c r="B639" s="21"/>
      <c r="C639" s="21" t="str">
        <f>VLOOKUP(B639,Sheet3!$B$2:$E$311,2,FALSE)</f>
        <v>#N/A</v>
      </c>
      <c r="D639" s="21" t="str">
        <f>VLOOKUP(B639,Sheet3!$B$2:$E$311,3,)</f>
        <v>#N/A</v>
      </c>
      <c r="E639" s="21" t="str">
        <f>VLOOKUP(B639,Sheet3!$B$2:$E$311,4,)</f>
        <v>#N/A</v>
      </c>
    </row>
    <row r="640" ht="15.75" customHeight="1">
      <c r="B640" s="21"/>
      <c r="C640" s="21" t="str">
        <f>VLOOKUP(B640,Sheet3!$B$2:$E$311,2,FALSE)</f>
        <v>#N/A</v>
      </c>
      <c r="D640" s="21" t="str">
        <f>VLOOKUP(B640,Sheet3!$B$2:$E$311,3,)</f>
        <v>#N/A</v>
      </c>
      <c r="E640" s="21" t="str">
        <f>VLOOKUP(B640,Sheet3!$B$2:$E$311,4,)</f>
        <v>#N/A</v>
      </c>
    </row>
    <row r="641" ht="15.75" customHeight="1">
      <c r="B641" s="21"/>
      <c r="C641" s="21" t="str">
        <f>VLOOKUP(B641,Sheet3!$B$2:$E$311,2,FALSE)</f>
        <v>#N/A</v>
      </c>
      <c r="D641" s="21" t="str">
        <f>VLOOKUP(B641,Sheet3!$B$2:$E$311,3,)</f>
        <v>#N/A</v>
      </c>
      <c r="E641" s="21" t="str">
        <f>VLOOKUP(B641,Sheet3!$B$2:$E$311,4,)</f>
        <v>#N/A</v>
      </c>
    </row>
    <row r="642" ht="15.75" customHeight="1">
      <c r="B642" s="21"/>
      <c r="C642" s="21" t="str">
        <f>VLOOKUP(B642,Sheet3!$B$2:$E$311,2,FALSE)</f>
        <v>#N/A</v>
      </c>
      <c r="D642" s="21" t="str">
        <f>VLOOKUP(B642,Sheet3!$B$2:$E$311,3,)</f>
        <v>#N/A</v>
      </c>
      <c r="E642" s="21" t="str">
        <f>VLOOKUP(B642,Sheet3!$B$2:$E$311,4,)</f>
        <v>#N/A</v>
      </c>
    </row>
    <row r="643" ht="15.75" customHeight="1">
      <c r="B643" s="21"/>
      <c r="C643" s="21" t="str">
        <f>VLOOKUP(B643,Sheet3!$B$2:$E$311,2,FALSE)</f>
        <v>#N/A</v>
      </c>
      <c r="D643" s="21" t="str">
        <f>VLOOKUP(B643,Sheet3!$B$2:$E$311,3,)</f>
        <v>#N/A</v>
      </c>
      <c r="E643" s="21" t="str">
        <f>VLOOKUP(B643,Sheet3!$B$2:$E$311,4,)</f>
        <v>#N/A</v>
      </c>
    </row>
    <row r="644" ht="15.75" customHeight="1">
      <c r="B644" s="21"/>
      <c r="C644" s="21" t="str">
        <f>VLOOKUP(B644,Sheet3!$B$2:$E$311,2,FALSE)</f>
        <v>#N/A</v>
      </c>
      <c r="D644" s="21" t="str">
        <f>VLOOKUP(B644,Sheet3!$B$2:$E$311,3,)</f>
        <v>#N/A</v>
      </c>
      <c r="E644" s="21" t="str">
        <f>VLOOKUP(B644,Sheet3!$B$2:$E$311,4,)</f>
        <v>#N/A</v>
      </c>
    </row>
    <row r="645" ht="15.75" customHeight="1">
      <c r="B645" s="21"/>
      <c r="C645" s="21" t="str">
        <f>VLOOKUP(B645,Sheet3!$B$2:$E$311,2,FALSE)</f>
        <v>#N/A</v>
      </c>
      <c r="D645" s="21" t="str">
        <f>VLOOKUP(B645,Sheet3!$B$2:$E$311,3,)</f>
        <v>#N/A</v>
      </c>
      <c r="E645" s="21" t="str">
        <f>VLOOKUP(B645,Sheet3!$B$2:$E$311,4,)</f>
        <v>#N/A</v>
      </c>
    </row>
    <row r="646" ht="15.75" customHeight="1">
      <c r="B646" s="21"/>
      <c r="C646" s="21" t="str">
        <f>VLOOKUP(B646,Sheet3!$B$2:$E$311,2,FALSE)</f>
        <v>#N/A</v>
      </c>
      <c r="D646" s="21" t="str">
        <f>VLOOKUP(B646,Sheet3!$B$2:$E$311,3,)</f>
        <v>#N/A</v>
      </c>
      <c r="E646" s="21" t="str">
        <f>VLOOKUP(B646,Sheet3!$B$2:$E$311,4,)</f>
        <v>#N/A</v>
      </c>
    </row>
    <row r="647" ht="15.75" customHeight="1">
      <c r="B647" s="21"/>
      <c r="C647" s="21" t="str">
        <f>VLOOKUP(B647,Sheet3!$B$2:$E$311,2,FALSE)</f>
        <v>#N/A</v>
      </c>
      <c r="D647" s="21" t="str">
        <f>VLOOKUP(B647,Sheet3!$B$2:$E$311,3,)</f>
        <v>#N/A</v>
      </c>
      <c r="E647" s="21" t="str">
        <f>VLOOKUP(B647,Sheet3!$B$2:$E$311,4,)</f>
        <v>#N/A</v>
      </c>
    </row>
    <row r="648" ht="15.75" customHeight="1">
      <c r="B648" s="21"/>
      <c r="C648" s="21" t="str">
        <f>VLOOKUP(B648,Sheet3!$B$2:$E$311,2,FALSE)</f>
        <v>#N/A</v>
      </c>
      <c r="D648" s="21" t="str">
        <f>VLOOKUP(B648,Sheet3!$B$2:$E$311,3,)</f>
        <v>#N/A</v>
      </c>
      <c r="E648" s="21" t="str">
        <f>VLOOKUP(B648,Sheet3!$B$2:$E$311,4,)</f>
        <v>#N/A</v>
      </c>
    </row>
    <row r="649" ht="15.75" customHeight="1">
      <c r="B649" s="21"/>
      <c r="C649" s="21" t="str">
        <f>VLOOKUP(B649,Sheet3!$B$2:$E$311,2,FALSE)</f>
        <v>#N/A</v>
      </c>
      <c r="D649" s="21" t="str">
        <f>VLOOKUP(B649,Sheet3!$B$2:$E$311,3,)</f>
        <v>#N/A</v>
      </c>
      <c r="E649" s="21" t="str">
        <f>VLOOKUP(B649,Sheet3!$B$2:$E$311,4,)</f>
        <v>#N/A</v>
      </c>
    </row>
    <row r="650" ht="15.75" customHeight="1">
      <c r="B650" s="21"/>
      <c r="C650" s="21" t="str">
        <f>VLOOKUP(B650,Sheet3!$B$2:$E$311,2,FALSE)</f>
        <v>#N/A</v>
      </c>
      <c r="D650" s="21" t="str">
        <f>VLOOKUP(B650,Sheet3!$B$2:$E$311,3,)</f>
        <v>#N/A</v>
      </c>
      <c r="E650" s="21" t="str">
        <f>VLOOKUP(B650,Sheet3!$B$2:$E$311,4,)</f>
        <v>#N/A</v>
      </c>
    </row>
    <row r="651" ht="15.75" customHeight="1">
      <c r="B651" s="21"/>
      <c r="C651" s="21" t="str">
        <f>VLOOKUP(B651,Sheet3!$B$2:$E$311,2,FALSE)</f>
        <v>#N/A</v>
      </c>
      <c r="D651" s="21" t="str">
        <f>VLOOKUP(B651,Sheet3!$B$2:$E$311,3,)</f>
        <v>#N/A</v>
      </c>
      <c r="E651" s="21" t="str">
        <f>VLOOKUP(B651,Sheet3!$B$2:$E$311,4,)</f>
        <v>#N/A</v>
      </c>
    </row>
    <row r="652" ht="15.75" customHeight="1">
      <c r="B652" s="21"/>
      <c r="C652" s="21" t="str">
        <f>VLOOKUP(B652,Sheet3!$B$2:$E$311,2,FALSE)</f>
        <v>#N/A</v>
      </c>
      <c r="D652" s="21" t="str">
        <f>VLOOKUP(B652,Sheet3!$B$2:$E$311,3,)</f>
        <v>#N/A</v>
      </c>
      <c r="E652" s="21" t="str">
        <f>VLOOKUP(B652,Sheet3!$B$2:$E$311,4,)</f>
        <v>#N/A</v>
      </c>
    </row>
    <row r="653" ht="15.75" customHeight="1">
      <c r="B653" s="21"/>
      <c r="C653" s="21" t="str">
        <f>VLOOKUP(B653,Sheet3!$B$2:$E$311,2,FALSE)</f>
        <v>#N/A</v>
      </c>
      <c r="D653" s="21" t="str">
        <f>VLOOKUP(B653,Sheet3!$B$2:$E$311,3,)</f>
        <v>#N/A</v>
      </c>
      <c r="E653" s="21" t="str">
        <f>VLOOKUP(B653,Sheet3!$B$2:$E$311,4,)</f>
        <v>#N/A</v>
      </c>
    </row>
    <row r="654" ht="15.75" customHeight="1">
      <c r="B654" s="21"/>
      <c r="C654" s="21" t="str">
        <f>VLOOKUP(B654,Sheet3!$B$2:$E$311,2,FALSE)</f>
        <v>#N/A</v>
      </c>
      <c r="D654" s="21" t="str">
        <f>VLOOKUP(B654,Sheet3!$B$2:$E$311,3,)</f>
        <v>#N/A</v>
      </c>
      <c r="E654" s="21" t="str">
        <f>VLOOKUP(B654,Sheet3!$B$2:$E$311,4,)</f>
        <v>#N/A</v>
      </c>
    </row>
    <row r="655" ht="15.75" customHeight="1">
      <c r="B655" s="21"/>
      <c r="C655" s="21" t="str">
        <f>VLOOKUP(B655,Sheet3!$B$2:$E$311,2,FALSE)</f>
        <v>#N/A</v>
      </c>
      <c r="D655" s="21" t="str">
        <f>VLOOKUP(B655,Sheet3!$B$2:$E$311,3,)</f>
        <v>#N/A</v>
      </c>
      <c r="E655" s="21" t="str">
        <f>VLOOKUP(B655,Sheet3!$B$2:$E$311,4,)</f>
        <v>#N/A</v>
      </c>
    </row>
    <row r="656" ht="15.75" customHeight="1">
      <c r="B656" s="21"/>
      <c r="C656" s="21" t="str">
        <f>VLOOKUP(B656,Sheet3!$B$2:$E$311,2,FALSE)</f>
        <v>#N/A</v>
      </c>
      <c r="D656" s="21" t="str">
        <f>VLOOKUP(B656,Sheet3!$B$2:$E$311,3,)</f>
        <v>#N/A</v>
      </c>
      <c r="E656" s="21" t="str">
        <f>VLOOKUP(B656,Sheet3!$B$2:$E$311,4,)</f>
        <v>#N/A</v>
      </c>
    </row>
    <row r="657" ht="15.75" customHeight="1">
      <c r="B657" s="21"/>
      <c r="C657" s="21" t="str">
        <f>VLOOKUP(B657,Sheet3!$B$2:$E$311,2,FALSE)</f>
        <v>#N/A</v>
      </c>
      <c r="D657" s="21" t="str">
        <f>VLOOKUP(B657,Sheet3!$B$2:$E$311,3,)</f>
        <v>#N/A</v>
      </c>
      <c r="E657" s="21" t="str">
        <f>VLOOKUP(B657,Sheet3!$B$2:$E$311,4,)</f>
        <v>#N/A</v>
      </c>
    </row>
    <row r="658" ht="15.75" customHeight="1">
      <c r="B658" s="21"/>
      <c r="C658" s="21" t="str">
        <f>VLOOKUP(B658,Sheet3!$B$2:$E$311,2,FALSE)</f>
        <v>#N/A</v>
      </c>
      <c r="D658" s="21" t="str">
        <f>VLOOKUP(B658,Sheet3!$B$2:$E$311,3,)</f>
        <v>#N/A</v>
      </c>
      <c r="E658" s="21" t="str">
        <f>VLOOKUP(B658,Sheet3!$B$2:$E$311,4,)</f>
        <v>#N/A</v>
      </c>
    </row>
    <row r="659" ht="15.75" customHeight="1">
      <c r="B659" s="21"/>
      <c r="C659" s="21" t="str">
        <f>VLOOKUP(B659,Sheet3!$B$2:$E$311,2,FALSE)</f>
        <v>#N/A</v>
      </c>
      <c r="D659" s="21" t="str">
        <f>VLOOKUP(B659,Sheet3!$B$2:$E$311,3,)</f>
        <v>#N/A</v>
      </c>
      <c r="E659" s="21" t="str">
        <f>VLOOKUP(B659,Sheet3!$B$2:$E$311,4,)</f>
        <v>#N/A</v>
      </c>
    </row>
    <row r="660" ht="15.75" customHeight="1">
      <c r="B660" s="21"/>
      <c r="C660" s="21" t="str">
        <f>VLOOKUP(B660,Sheet3!$B$2:$E$311,2,FALSE)</f>
        <v>#N/A</v>
      </c>
      <c r="D660" s="21" t="str">
        <f>VLOOKUP(B660,Sheet3!$B$2:$E$311,3,)</f>
        <v>#N/A</v>
      </c>
      <c r="E660" s="21" t="str">
        <f>VLOOKUP(B660,Sheet3!$B$2:$E$311,4,)</f>
        <v>#N/A</v>
      </c>
    </row>
    <row r="661" ht="15.75" customHeight="1">
      <c r="B661" s="21"/>
      <c r="C661" s="21" t="str">
        <f>VLOOKUP(B661,Sheet3!$B$2:$E$311,2,FALSE)</f>
        <v>#N/A</v>
      </c>
      <c r="D661" s="21" t="str">
        <f>VLOOKUP(B661,Sheet3!$B$2:$E$311,3,)</f>
        <v>#N/A</v>
      </c>
      <c r="E661" s="21" t="str">
        <f>VLOOKUP(B661,Sheet3!$B$2:$E$311,4,)</f>
        <v>#N/A</v>
      </c>
    </row>
    <row r="662" ht="15.75" customHeight="1">
      <c r="B662" s="21"/>
      <c r="C662" s="21" t="str">
        <f>VLOOKUP(B662,Sheet3!$B$2:$E$311,2,FALSE)</f>
        <v>#N/A</v>
      </c>
      <c r="D662" s="21" t="str">
        <f>VLOOKUP(B662,Sheet3!$B$2:$E$311,3,)</f>
        <v>#N/A</v>
      </c>
      <c r="E662" s="21" t="str">
        <f>VLOOKUP(B662,Sheet3!$B$2:$E$311,4,)</f>
        <v>#N/A</v>
      </c>
    </row>
    <row r="663" ht="15.75" customHeight="1">
      <c r="B663" s="21"/>
      <c r="C663" s="21" t="str">
        <f>VLOOKUP(B663,Sheet3!$B$2:$E$311,2,FALSE)</f>
        <v>#N/A</v>
      </c>
      <c r="D663" s="21" t="str">
        <f>VLOOKUP(B663,Sheet3!$B$2:$E$311,3,)</f>
        <v>#N/A</v>
      </c>
      <c r="E663" s="21" t="str">
        <f>VLOOKUP(B663,Sheet3!$B$2:$E$311,4,)</f>
        <v>#N/A</v>
      </c>
    </row>
    <row r="664" ht="15.75" customHeight="1">
      <c r="B664" s="21"/>
      <c r="C664" s="21" t="str">
        <f>VLOOKUP(B664,Sheet3!$B$2:$E$311,2,FALSE)</f>
        <v>#N/A</v>
      </c>
      <c r="D664" s="21" t="str">
        <f>VLOOKUP(B664,Sheet3!$B$2:$E$311,3,)</f>
        <v>#N/A</v>
      </c>
      <c r="E664" s="21" t="str">
        <f>VLOOKUP(B664,Sheet3!$B$2:$E$311,4,)</f>
        <v>#N/A</v>
      </c>
    </row>
    <row r="665" ht="15.75" customHeight="1">
      <c r="B665" s="21"/>
      <c r="C665" s="21" t="str">
        <f>VLOOKUP(B665,Sheet3!$B$2:$E$311,2,FALSE)</f>
        <v>#N/A</v>
      </c>
      <c r="D665" s="21" t="str">
        <f>VLOOKUP(B665,Sheet3!$B$2:$E$311,3,)</f>
        <v>#N/A</v>
      </c>
      <c r="E665" s="21" t="str">
        <f>VLOOKUP(B665,Sheet3!$B$2:$E$311,4,)</f>
        <v>#N/A</v>
      </c>
    </row>
    <row r="666" ht="15.75" customHeight="1">
      <c r="B666" s="21"/>
      <c r="C666" s="21" t="str">
        <f>VLOOKUP(B666,Sheet3!$B$2:$E$311,2,FALSE)</f>
        <v>#N/A</v>
      </c>
      <c r="D666" s="21" t="str">
        <f>VLOOKUP(B666,Sheet3!$B$2:$E$311,3,)</f>
        <v>#N/A</v>
      </c>
      <c r="E666" s="21" t="str">
        <f>VLOOKUP(B666,Sheet3!$B$2:$E$311,4,)</f>
        <v>#N/A</v>
      </c>
    </row>
    <row r="667" ht="15.75" customHeight="1">
      <c r="B667" s="21"/>
      <c r="C667" s="21" t="str">
        <f>VLOOKUP(B667,Sheet3!$B$2:$E$311,2,FALSE)</f>
        <v>#N/A</v>
      </c>
      <c r="D667" s="21" t="str">
        <f>VLOOKUP(B667,Sheet3!$B$2:$E$311,3,)</f>
        <v>#N/A</v>
      </c>
      <c r="E667" s="21" t="str">
        <f>VLOOKUP(B667,Sheet3!$B$2:$E$311,4,)</f>
        <v>#N/A</v>
      </c>
    </row>
    <row r="668" ht="15.75" customHeight="1">
      <c r="B668" s="21"/>
      <c r="C668" s="21" t="str">
        <f>VLOOKUP(B668,Sheet3!$B$2:$E$311,2,FALSE)</f>
        <v>#N/A</v>
      </c>
      <c r="D668" s="21" t="str">
        <f>VLOOKUP(B668,Sheet3!$B$2:$E$311,3,)</f>
        <v>#N/A</v>
      </c>
      <c r="E668" s="21" t="str">
        <f>VLOOKUP(B668,Sheet3!$B$2:$E$311,4,)</f>
        <v>#N/A</v>
      </c>
    </row>
    <row r="669" ht="15.75" customHeight="1">
      <c r="B669" s="21"/>
      <c r="C669" s="21" t="str">
        <f>VLOOKUP(B669,Sheet3!$B$2:$E$311,2,FALSE)</f>
        <v>#N/A</v>
      </c>
      <c r="D669" s="21" t="str">
        <f>VLOOKUP(B669,Sheet3!$B$2:$E$311,3,)</f>
        <v>#N/A</v>
      </c>
      <c r="E669" s="21" t="str">
        <f>VLOOKUP(B669,Sheet3!$B$2:$E$311,4,)</f>
        <v>#N/A</v>
      </c>
    </row>
    <row r="670" ht="15.75" customHeight="1">
      <c r="B670" s="21"/>
      <c r="C670" s="21" t="str">
        <f>VLOOKUP(B670,Sheet3!$B$2:$E$311,2,FALSE)</f>
        <v>#N/A</v>
      </c>
      <c r="D670" s="21" t="str">
        <f>VLOOKUP(B670,Sheet3!$B$2:$E$311,3,)</f>
        <v>#N/A</v>
      </c>
      <c r="E670" s="21" t="str">
        <f>VLOOKUP(B670,Sheet3!$B$2:$E$311,4,)</f>
        <v>#N/A</v>
      </c>
    </row>
    <row r="671" ht="15.75" customHeight="1">
      <c r="B671" s="21"/>
      <c r="C671" s="21" t="str">
        <f>VLOOKUP(B671,Sheet3!$B$2:$E$311,2,FALSE)</f>
        <v>#N/A</v>
      </c>
      <c r="D671" s="21" t="str">
        <f>VLOOKUP(B671,Sheet3!$B$2:$E$311,3,)</f>
        <v>#N/A</v>
      </c>
      <c r="E671" s="21" t="str">
        <f>VLOOKUP(B671,Sheet3!$B$2:$E$311,4,)</f>
        <v>#N/A</v>
      </c>
    </row>
    <row r="672" ht="15.75" customHeight="1">
      <c r="B672" s="21"/>
      <c r="C672" s="21" t="str">
        <f>VLOOKUP(B672,Sheet3!$B$2:$E$311,2,FALSE)</f>
        <v>#N/A</v>
      </c>
      <c r="D672" s="21" t="str">
        <f>VLOOKUP(B672,Sheet3!$B$2:$E$311,3,)</f>
        <v>#N/A</v>
      </c>
      <c r="E672" s="21" t="str">
        <f>VLOOKUP(B672,Sheet3!$B$2:$E$311,4,)</f>
        <v>#N/A</v>
      </c>
    </row>
    <row r="673" ht="15.75" customHeight="1">
      <c r="B673" s="21"/>
      <c r="C673" s="21" t="str">
        <f>VLOOKUP(B673,Sheet3!$B$2:$E$311,2,FALSE)</f>
        <v>#N/A</v>
      </c>
      <c r="D673" s="21" t="str">
        <f>VLOOKUP(B673,Sheet3!$B$2:$E$311,3,)</f>
        <v>#N/A</v>
      </c>
      <c r="E673" s="21" t="str">
        <f>VLOOKUP(B673,Sheet3!$B$2:$E$311,4,)</f>
        <v>#N/A</v>
      </c>
    </row>
    <row r="674" ht="15.75" customHeight="1">
      <c r="B674" s="21"/>
      <c r="C674" s="21" t="str">
        <f>VLOOKUP(B674,Sheet3!$B$2:$E$311,2,FALSE)</f>
        <v>#N/A</v>
      </c>
      <c r="D674" s="21" t="str">
        <f>VLOOKUP(B674,Sheet3!$B$2:$E$311,3,)</f>
        <v>#N/A</v>
      </c>
      <c r="E674" s="21" t="str">
        <f>VLOOKUP(B674,Sheet3!$B$2:$E$311,4,)</f>
        <v>#N/A</v>
      </c>
    </row>
    <row r="675" ht="15.75" customHeight="1">
      <c r="B675" s="21"/>
      <c r="C675" s="21" t="str">
        <f>VLOOKUP(B675,Sheet3!$B$2:$E$311,2,FALSE)</f>
        <v>#N/A</v>
      </c>
      <c r="D675" s="21" t="str">
        <f>VLOOKUP(B675,Sheet3!$B$2:$E$311,3,)</f>
        <v>#N/A</v>
      </c>
      <c r="E675" s="21" t="str">
        <f>VLOOKUP(B675,Sheet3!$B$2:$E$311,4,)</f>
        <v>#N/A</v>
      </c>
    </row>
    <row r="676" ht="15.75" customHeight="1">
      <c r="B676" s="21"/>
      <c r="C676" s="21" t="str">
        <f>VLOOKUP(B676,Sheet3!$B$2:$E$311,2,FALSE)</f>
        <v>#N/A</v>
      </c>
      <c r="D676" s="21" t="str">
        <f>VLOOKUP(B676,Sheet3!$B$2:$E$311,3,)</f>
        <v>#N/A</v>
      </c>
      <c r="E676" s="21" t="str">
        <f>VLOOKUP(B676,Sheet3!$B$2:$E$311,4,)</f>
        <v>#N/A</v>
      </c>
    </row>
    <row r="677" ht="15.75" customHeight="1">
      <c r="B677" s="21"/>
      <c r="C677" s="21" t="str">
        <f>VLOOKUP(B677,Sheet3!$B$2:$E$311,2,FALSE)</f>
        <v>#N/A</v>
      </c>
      <c r="D677" s="21" t="str">
        <f>VLOOKUP(B677,Sheet3!$B$2:$E$311,3,)</f>
        <v>#N/A</v>
      </c>
      <c r="E677" s="21" t="str">
        <f>VLOOKUP(B677,Sheet3!$B$2:$E$311,4,)</f>
        <v>#N/A</v>
      </c>
    </row>
    <row r="678" ht="15.75" customHeight="1">
      <c r="B678" s="21"/>
      <c r="C678" s="21" t="str">
        <f>VLOOKUP(B678,Sheet3!$B$2:$E$311,2,FALSE)</f>
        <v>#N/A</v>
      </c>
      <c r="D678" s="21" t="str">
        <f>VLOOKUP(B678,Sheet3!$B$2:$E$311,3,)</f>
        <v>#N/A</v>
      </c>
      <c r="E678" s="21" t="str">
        <f>VLOOKUP(B678,Sheet3!$B$2:$E$311,4,)</f>
        <v>#N/A</v>
      </c>
    </row>
    <row r="679" ht="15.75" customHeight="1">
      <c r="B679" s="21"/>
      <c r="C679" s="21" t="str">
        <f>VLOOKUP(B679,Sheet3!$B$2:$E$311,2,FALSE)</f>
        <v>#N/A</v>
      </c>
      <c r="D679" s="21" t="str">
        <f>VLOOKUP(B679,Sheet3!$B$2:$E$311,3,)</f>
        <v>#N/A</v>
      </c>
      <c r="E679" s="21" t="str">
        <f>VLOOKUP(B679,Sheet3!$B$2:$E$311,4,)</f>
        <v>#N/A</v>
      </c>
    </row>
    <row r="680" ht="15.75" customHeight="1">
      <c r="B680" s="21"/>
      <c r="C680" s="21" t="str">
        <f>VLOOKUP(B680,Sheet3!$B$2:$E$311,2,FALSE)</f>
        <v>#N/A</v>
      </c>
      <c r="D680" s="21" t="str">
        <f>VLOOKUP(B680,Sheet3!$B$2:$E$311,3,)</f>
        <v>#N/A</v>
      </c>
      <c r="E680" s="21" t="str">
        <f>VLOOKUP(B680,Sheet3!$B$2:$E$311,4,)</f>
        <v>#N/A</v>
      </c>
    </row>
    <row r="681" ht="15.75" customHeight="1">
      <c r="B681" s="21"/>
      <c r="C681" s="21" t="str">
        <f>VLOOKUP(B681,Sheet3!$B$2:$E$311,2,FALSE)</f>
        <v>#N/A</v>
      </c>
      <c r="D681" s="21" t="str">
        <f>VLOOKUP(B681,Sheet3!$B$2:$E$311,3,)</f>
        <v>#N/A</v>
      </c>
      <c r="E681" s="21" t="str">
        <f>VLOOKUP(B681,Sheet3!$B$2:$E$311,4,)</f>
        <v>#N/A</v>
      </c>
    </row>
    <row r="682" ht="15.75" customHeight="1">
      <c r="B682" s="21"/>
      <c r="C682" s="21" t="str">
        <f>VLOOKUP(B682,Sheet3!$B$2:$E$311,2,FALSE)</f>
        <v>#N/A</v>
      </c>
      <c r="D682" s="21" t="str">
        <f>VLOOKUP(B682,Sheet3!$B$2:$E$311,3,)</f>
        <v>#N/A</v>
      </c>
      <c r="E682" s="21" t="str">
        <f>VLOOKUP(B682,Sheet3!$B$2:$E$311,4,)</f>
        <v>#N/A</v>
      </c>
    </row>
    <row r="683" ht="15.75" customHeight="1">
      <c r="B683" s="21"/>
      <c r="C683" s="21" t="str">
        <f>VLOOKUP(B683,Sheet3!$B$2:$E$311,2,FALSE)</f>
        <v>#N/A</v>
      </c>
      <c r="D683" s="21" t="str">
        <f>VLOOKUP(B683,Sheet3!$B$2:$E$311,3,)</f>
        <v>#N/A</v>
      </c>
      <c r="E683" s="21" t="str">
        <f>VLOOKUP(B683,Sheet3!$B$2:$E$311,4,)</f>
        <v>#N/A</v>
      </c>
    </row>
    <row r="684" ht="15.75" customHeight="1">
      <c r="B684" s="21"/>
      <c r="C684" s="21" t="str">
        <f>VLOOKUP(B684,Sheet3!$B$2:$E$311,2,FALSE)</f>
        <v>#N/A</v>
      </c>
      <c r="D684" s="21" t="str">
        <f>VLOOKUP(B684,Sheet3!$B$2:$E$311,3,)</f>
        <v>#N/A</v>
      </c>
      <c r="E684" s="21" t="str">
        <f>VLOOKUP(B684,Sheet3!$B$2:$E$311,4,)</f>
        <v>#N/A</v>
      </c>
    </row>
    <row r="685" ht="15.75" customHeight="1">
      <c r="B685" s="21"/>
      <c r="C685" s="21" t="str">
        <f>VLOOKUP(B685,Sheet3!$B$2:$E$311,2,FALSE)</f>
        <v>#N/A</v>
      </c>
      <c r="D685" s="21" t="str">
        <f>VLOOKUP(B685,Sheet3!$B$2:$E$311,3,)</f>
        <v>#N/A</v>
      </c>
      <c r="E685" s="21" t="str">
        <f>VLOOKUP(B685,Sheet3!$B$2:$E$311,4,)</f>
        <v>#N/A</v>
      </c>
    </row>
    <row r="686" ht="15.75" customHeight="1">
      <c r="B686" s="21"/>
      <c r="C686" s="21" t="str">
        <f>VLOOKUP(B686,Sheet3!$B$2:$E$311,2,FALSE)</f>
        <v>#N/A</v>
      </c>
      <c r="D686" s="21" t="str">
        <f>VLOOKUP(B686,Sheet3!$B$2:$E$311,3,)</f>
        <v>#N/A</v>
      </c>
      <c r="E686" s="21" t="str">
        <f>VLOOKUP(B686,Sheet3!$B$2:$E$311,4,)</f>
        <v>#N/A</v>
      </c>
    </row>
    <row r="687" ht="15.75" customHeight="1">
      <c r="B687" s="21"/>
      <c r="C687" s="21" t="str">
        <f>VLOOKUP(B687,Sheet3!$B$2:$E$311,2,FALSE)</f>
        <v>#N/A</v>
      </c>
      <c r="D687" s="21" t="str">
        <f>VLOOKUP(B687,Sheet3!$B$2:$E$311,3,)</f>
        <v>#N/A</v>
      </c>
      <c r="E687" s="21" t="str">
        <f>VLOOKUP(B687,Sheet3!$B$2:$E$311,4,)</f>
        <v>#N/A</v>
      </c>
    </row>
    <row r="688" ht="15.75" customHeight="1">
      <c r="B688" s="21"/>
      <c r="C688" s="21" t="str">
        <f>VLOOKUP(B688,Sheet3!$B$2:$E$311,2,FALSE)</f>
        <v>#N/A</v>
      </c>
      <c r="D688" s="21" t="str">
        <f>VLOOKUP(B688,Sheet3!$B$2:$E$311,3,)</f>
        <v>#N/A</v>
      </c>
      <c r="E688" s="21" t="str">
        <f>VLOOKUP(B688,Sheet3!$B$2:$E$311,4,)</f>
        <v>#N/A</v>
      </c>
    </row>
    <row r="689" ht="15.75" customHeight="1">
      <c r="B689" s="21"/>
      <c r="C689" s="21" t="str">
        <f>VLOOKUP(B689,Sheet3!$B$2:$E$311,2,FALSE)</f>
        <v>#N/A</v>
      </c>
      <c r="D689" s="21" t="str">
        <f>VLOOKUP(B689,Sheet3!$B$2:$E$311,3,)</f>
        <v>#N/A</v>
      </c>
      <c r="E689" s="21" t="str">
        <f>VLOOKUP(B689,Sheet3!$B$2:$E$311,4,)</f>
        <v>#N/A</v>
      </c>
    </row>
    <row r="690" ht="15.75" customHeight="1">
      <c r="B690" s="21"/>
      <c r="C690" s="21" t="str">
        <f>VLOOKUP(B690,Sheet3!$B$2:$E$311,2,FALSE)</f>
        <v>#N/A</v>
      </c>
      <c r="D690" s="21" t="str">
        <f>VLOOKUP(B690,Sheet3!$B$2:$E$311,3,)</f>
        <v>#N/A</v>
      </c>
      <c r="E690" s="21" t="str">
        <f>VLOOKUP(B690,Sheet3!$B$2:$E$311,4,)</f>
        <v>#N/A</v>
      </c>
    </row>
    <row r="691" ht="15.75" customHeight="1">
      <c r="B691" s="21"/>
      <c r="C691" s="21" t="str">
        <f>VLOOKUP(B691,Sheet3!$B$2:$E$311,2,FALSE)</f>
        <v>#N/A</v>
      </c>
      <c r="D691" s="21" t="str">
        <f>VLOOKUP(B691,Sheet3!$B$2:$E$311,3,)</f>
        <v>#N/A</v>
      </c>
      <c r="E691" s="21" t="str">
        <f>VLOOKUP(B691,Sheet3!$B$2:$E$311,4,)</f>
        <v>#N/A</v>
      </c>
    </row>
    <row r="692" ht="15.75" customHeight="1">
      <c r="B692" s="21"/>
      <c r="C692" s="21" t="str">
        <f>VLOOKUP(B692,Sheet3!$B$2:$E$311,2,FALSE)</f>
        <v>#N/A</v>
      </c>
      <c r="D692" s="21" t="str">
        <f>VLOOKUP(B692,Sheet3!$B$2:$E$311,3,)</f>
        <v>#N/A</v>
      </c>
      <c r="E692" s="21" t="str">
        <f>VLOOKUP(B692,Sheet3!$B$2:$E$311,4,)</f>
        <v>#N/A</v>
      </c>
    </row>
    <row r="693" ht="15.75" customHeight="1">
      <c r="B693" s="21"/>
      <c r="C693" s="21" t="str">
        <f>VLOOKUP(B693,Sheet3!$B$2:$E$311,2,FALSE)</f>
        <v>#N/A</v>
      </c>
      <c r="D693" s="21" t="str">
        <f>VLOOKUP(B693,Sheet3!$B$2:$E$311,3,)</f>
        <v>#N/A</v>
      </c>
      <c r="E693" s="21" t="str">
        <f>VLOOKUP(B693,Sheet3!$B$2:$E$311,4,)</f>
        <v>#N/A</v>
      </c>
    </row>
    <row r="694" ht="15.75" customHeight="1">
      <c r="B694" s="21"/>
      <c r="C694" s="21" t="str">
        <f>VLOOKUP(B694,Sheet3!$B$2:$E$311,2,FALSE)</f>
        <v>#N/A</v>
      </c>
      <c r="D694" s="21" t="str">
        <f>VLOOKUP(B694,Sheet3!$B$2:$E$311,3,)</f>
        <v>#N/A</v>
      </c>
      <c r="E694" s="21" t="str">
        <f>VLOOKUP(B694,Sheet3!$B$2:$E$311,4,)</f>
        <v>#N/A</v>
      </c>
    </row>
    <row r="695" ht="15.75" customHeight="1">
      <c r="B695" s="21"/>
      <c r="C695" s="21" t="str">
        <f>VLOOKUP(B695,Sheet3!$B$2:$E$311,2,FALSE)</f>
        <v>#N/A</v>
      </c>
      <c r="D695" s="21" t="str">
        <f>VLOOKUP(B695,Sheet3!$B$2:$E$311,3,)</f>
        <v>#N/A</v>
      </c>
      <c r="E695" s="21" t="str">
        <f>VLOOKUP(B695,Sheet3!$B$2:$E$311,4,)</f>
        <v>#N/A</v>
      </c>
    </row>
    <row r="696" ht="15.75" customHeight="1">
      <c r="B696" s="21"/>
      <c r="C696" s="21" t="str">
        <f>VLOOKUP(B696,Sheet3!$B$2:$E$311,2,FALSE)</f>
        <v>#N/A</v>
      </c>
      <c r="D696" s="21" t="str">
        <f>VLOOKUP(B696,Sheet3!$B$2:$E$311,3,)</f>
        <v>#N/A</v>
      </c>
      <c r="E696" s="21" t="str">
        <f>VLOOKUP(B696,Sheet3!$B$2:$E$311,4,)</f>
        <v>#N/A</v>
      </c>
    </row>
    <row r="697" ht="15.75" customHeight="1">
      <c r="B697" s="21"/>
      <c r="C697" s="21" t="str">
        <f>VLOOKUP(B697,Sheet3!$B$2:$E$311,2,FALSE)</f>
        <v>#N/A</v>
      </c>
      <c r="D697" s="21" t="str">
        <f>VLOOKUP(B697,Sheet3!$B$2:$E$311,3,)</f>
        <v>#N/A</v>
      </c>
      <c r="E697" s="21" t="str">
        <f>VLOOKUP(B697,Sheet3!$B$2:$E$311,4,)</f>
        <v>#N/A</v>
      </c>
    </row>
    <row r="698" ht="15.75" customHeight="1">
      <c r="B698" s="21"/>
      <c r="C698" s="21" t="str">
        <f>VLOOKUP(B698,Sheet3!$B$2:$E$311,2,FALSE)</f>
        <v>#N/A</v>
      </c>
      <c r="D698" s="21" t="str">
        <f>VLOOKUP(B698,Sheet3!$B$2:$E$311,3,)</f>
        <v>#N/A</v>
      </c>
      <c r="E698" s="21" t="str">
        <f>VLOOKUP(B698,Sheet3!$B$2:$E$311,4,)</f>
        <v>#N/A</v>
      </c>
    </row>
    <row r="699" ht="15.75" customHeight="1">
      <c r="B699" s="21"/>
      <c r="C699" s="21" t="str">
        <f>VLOOKUP(B699,Sheet3!$B$2:$E$311,2,FALSE)</f>
        <v>#N/A</v>
      </c>
      <c r="D699" s="21" t="str">
        <f>VLOOKUP(B699,Sheet3!$B$2:$E$311,3,)</f>
        <v>#N/A</v>
      </c>
      <c r="E699" s="21" t="str">
        <f>VLOOKUP(B699,Sheet3!$B$2:$E$311,4,)</f>
        <v>#N/A</v>
      </c>
    </row>
    <row r="700" ht="15.75" customHeight="1">
      <c r="B700" s="21"/>
      <c r="C700" s="21" t="str">
        <f>VLOOKUP(B700,Sheet3!$B$2:$E$311,2,FALSE)</f>
        <v>#N/A</v>
      </c>
      <c r="D700" s="21" t="str">
        <f>VLOOKUP(B700,Sheet3!$B$2:$E$311,3,)</f>
        <v>#N/A</v>
      </c>
      <c r="E700" s="21" t="str">
        <f>VLOOKUP(B700,Sheet3!$B$2:$E$311,4,)</f>
        <v>#N/A</v>
      </c>
    </row>
    <row r="701" ht="15.75" customHeight="1">
      <c r="B701" s="21"/>
      <c r="C701" s="21" t="str">
        <f>VLOOKUP(B701,Sheet3!$B$2:$E$311,2,FALSE)</f>
        <v>#N/A</v>
      </c>
      <c r="D701" s="21" t="str">
        <f>VLOOKUP(B701,Sheet3!$B$2:$E$311,3,)</f>
        <v>#N/A</v>
      </c>
      <c r="E701" s="21" t="str">
        <f>VLOOKUP(B701,Sheet3!$B$2:$E$311,4,)</f>
        <v>#N/A</v>
      </c>
    </row>
    <row r="702" ht="15.75" customHeight="1">
      <c r="B702" s="21"/>
      <c r="C702" s="21" t="str">
        <f>VLOOKUP(B702,Sheet3!$B$2:$E$311,2,FALSE)</f>
        <v>#N/A</v>
      </c>
      <c r="D702" s="21" t="str">
        <f>VLOOKUP(B702,Sheet3!$B$2:$E$311,3,)</f>
        <v>#N/A</v>
      </c>
      <c r="E702" s="21" t="str">
        <f>VLOOKUP(B702,Sheet3!$B$2:$E$311,4,)</f>
        <v>#N/A</v>
      </c>
    </row>
    <row r="703" ht="15.75" customHeight="1">
      <c r="B703" s="21"/>
      <c r="C703" s="21" t="str">
        <f>VLOOKUP(B703,Sheet3!$B$2:$E$311,2,FALSE)</f>
        <v>#N/A</v>
      </c>
      <c r="D703" s="21" t="str">
        <f>VLOOKUP(B703,Sheet3!$B$2:$E$311,3,)</f>
        <v>#N/A</v>
      </c>
      <c r="E703" s="21" t="str">
        <f>VLOOKUP(B703,Sheet3!$B$2:$E$311,4,)</f>
        <v>#N/A</v>
      </c>
    </row>
    <row r="704" ht="15.75" customHeight="1">
      <c r="B704" s="21"/>
      <c r="C704" s="21" t="str">
        <f>VLOOKUP(B704,Sheet3!$B$2:$E$311,2,FALSE)</f>
        <v>#N/A</v>
      </c>
      <c r="D704" s="21" t="str">
        <f>VLOOKUP(B704,Sheet3!$B$2:$E$311,3,)</f>
        <v>#N/A</v>
      </c>
      <c r="E704" s="21" t="str">
        <f>VLOOKUP(B704,Sheet3!$B$2:$E$311,4,)</f>
        <v>#N/A</v>
      </c>
    </row>
    <row r="705" ht="15.75" customHeight="1">
      <c r="B705" s="21"/>
      <c r="C705" s="21" t="str">
        <f>VLOOKUP(B705,Sheet3!$B$2:$E$311,2,FALSE)</f>
        <v>#N/A</v>
      </c>
      <c r="D705" s="21" t="str">
        <f>VLOOKUP(B705,Sheet3!$B$2:$E$311,3,)</f>
        <v>#N/A</v>
      </c>
      <c r="E705" s="21" t="str">
        <f>VLOOKUP(B705,Sheet3!$B$2:$E$311,4,)</f>
        <v>#N/A</v>
      </c>
    </row>
    <row r="706" ht="15.75" customHeight="1">
      <c r="B706" s="21"/>
      <c r="C706" s="21" t="str">
        <f>VLOOKUP(B706,Sheet3!$B$2:$E$311,2,FALSE)</f>
        <v>#N/A</v>
      </c>
      <c r="D706" s="21" t="str">
        <f>VLOOKUP(B706,Sheet3!$B$2:$E$311,3,)</f>
        <v>#N/A</v>
      </c>
      <c r="E706" s="21" t="str">
        <f>VLOOKUP(B706,Sheet3!$B$2:$E$311,4,)</f>
        <v>#N/A</v>
      </c>
    </row>
    <row r="707" ht="15.75" customHeight="1">
      <c r="B707" s="21"/>
      <c r="C707" s="21" t="str">
        <f>VLOOKUP(B707,Sheet3!$B$2:$E$311,2,FALSE)</f>
        <v>#N/A</v>
      </c>
      <c r="D707" s="21" t="str">
        <f>VLOOKUP(B707,Sheet3!$B$2:$E$311,3,)</f>
        <v>#N/A</v>
      </c>
      <c r="E707" s="21" t="str">
        <f>VLOOKUP(B707,Sheet3!$B$2:$E$311,4,)</f>
        <v>#N/A</v>
      </c>
    </row>
    <row r="708" ht="15.75" customHeight="1">
      <c r="B708" s="21"/>
      <c r="C708" s="21" t="str">
        <f>VLOOKUP(B708,Sheet3!$B$2:$E$311,2,FALSE)</f>
        <v>#N/A</v>
      </c>
      <c r="D708" s="21" t="str">
        <f>VLOOKUP(B708,Sheet3!$B$2:$E$311,3,)</f>
        <v>#N/A</v>
      </c>
      <c r="E708" s="21" t="str">
        <f>VLOOKUP(B708,Sheet3!$B$2:$E$311,4,)</f>
        <v>#N/A</v>
      </c>
    </row>
    <row r="709" ht="15.75" customHeight="1">
      <c r="B709" s="21"/>
      <c r="C709" s="21" t="str">
        <f>VLOOKUP(B709,Sheet3!$B$2:$E$311,2,FALSE)</f>
        <v>#N/A</v>
      </c>
      <c r="D709" s="21" t="str">
        <f>VLOOKUP(B709,Sheet3!$B$2:$E$311,3,)</f>
        <v>#N/A</v>
      </c>
      <c r="E709" s="21" t="str">
        <f>VLOOKUP(B709,Sheet3!$B$2:$E$311,4,)</f>
        <v>#N/A</v>
      </c>
    </row>
    <row r="710" ht="15.75" customHeight="1">
      <c r="B710" s="21"/>
      <c r="C710" s="21" t="str">
        <f>VLOOKUP(B710,Sheet3!$B$2:$E$311,2,FALSE)</f>
        <v>#N/A</v>
      </c>
      <c r="D710" s="21" t="str">
        <f>VLOOKUP(B710,Sheet3!$B$2:$E$311,3,)</f>
        <v>#N/A</v>
      </c>
      <c r="E710" s="21" t="str">
        <f>VLOOKUP(B710,Sheet3!$B$2:$E$311,4,)</f>
        <v>#N/A</v>
      </c>
    </row>
    <row r="711" ht="15.75" customHeight="1">
      <c r="B711" s="21"/>
      <c r="C711" s="21" t="str">
        <f>VLOOKUP(B711,Sheet3!$B$2:$E$311,2,FALSE)</f>
        <v>#N/A</v>
      </c>
      <c r="D711" s="21" t="str">
        <f>VLOOKUP(B711,Sheet3!$B$2:$E$311,3,)</f>
        <v>#N/A</v>
      </c>
      <c r="E711" s="21" t="str">
        <f>VLOOKUP(B711,Sheet3!$B$2:$E$311,4,)</f>
        <v>#N/A</v>
      </c>
    </row>
    <row r="712" ht="15.75" customHeight="1">
      <c r="B712" s="21"/>
      <c r="C712" s="21" t="str">
        <f>VLOOKUP(B712,Sheet3!$B$2:$E$311,2,FALSE)</f>
        <v>#N/A</v>
      </c>
      <c r="D712" s="21" t="str">
        <f>VLOOKUP(B712,Sheet3!$B$2:$E$311,3,)</f>
        <v>#N/A</v>
      </c>
      <c r="E712" s="21" t="str">
        <f>VLOOKUP(B712,Sheet3!$B$2:$E$311,4,)</f>
        <v>#N/A</v>
      </c>
    </row>
    <row r="713" ht="15.75" customHeight="1">
      <c r="B713" s="21"/>
      <c r="C713" s="21" t="str">
        <f>VLOOKUP(B713,Sheet3!$B$2:$E$311,2,FALSE)</f>
        <v>#N/A</v>
      </c>
      <c r="D713" s="21" t="str">
        <f>VLOOKUP(B713,Sheet3!$B$2:$E$311,3,)</f>
        <v>#N/A</v>
      </c>
      <c r="E713" s="21" t="str">
        <f>VLOOKUP(B713,Sheet3!$B$2:$E$311,4,)</f>
        <v>#N/A</v>
      </c>
    </row>
    <row r="714" ht="15.75" customHeight="1">
      <c r="B714" s="21"/>
      <c r="C714" s="21" t="str">
        <f>VLOOKUP(B714,Sheet3!$B$2:$E$311,2,FALSE)</f>
        <v>#N/A</v>
      </c>
      <c r="D714" s="21" t="str">
        <f>VLOOKUP(B714,Sheet3!$B$2:$E$311,3,)</f>
        <v>#N/A</v>
      </c>
      <c r="E714" s="21" t="str">
        <f>VLOOKUP(B714,Sheet3!$B$2:$E$311,4,)</f>
        <v>#N/A</v>
      </c>
    </row>
    <row r="715" ht="15.75" customHeight="1">
      <c r="B715" s="21"/>
      <c r="C715" s="21" t="str">
        <f>VLOOKUP(B715,Sheet3!$B$2:$E$311,2,FALSE)</f>
        <v>#N/A</v>
      </c>
      <c r="D715" s="21" t="str">
        <f>VLOOKUP(B715,Sheet3!$B$2:$E$311,3,)</f>
        <v>#N/A</v>
      </c>
      <c r="E715" s="21" t="str">
        <f>VLOOKUP(B715,Sheet3!$B$2:$E$311,4,)</f>
        <v>#N/A</v>
      </c>
    </row>
    <row r="716" ht="15.75" customHeight="1">
      <c r="B716" s="21"/>
      <c r="C716" s="21" t="str">
        <f>VLOOKUP(B716,Sheet3!$B$2:$E$311,2,FALSE)</f>
        <v>#N/A</v>
      </c>
      <c r="D716" s="21" t="str">
        <f>VLOOKUP(B716,Sheet3!$B$2:$E$311,3,)</f>
        <v>#N/A</v>
      </c>
      <c r="E716" s="21" t="str">
        <f>VLOOKUP(B716,Sheet3!$B$2:$E$311,4,)</f>
        <v>#N/A</v>
      </c>
    </row>
    <row r="717" ht="15.75" customHeight="1">
      <c r="B717" s="21"/>
      <c r="C717" s="21" t="str">
        <f>VLOOKUP(B717,Sheet3!$B$2:$E$311,2,FALSE)</f>
        <v>#N/A</v>
      </c>
      <c r="D717" s="21" t="str">
        <f>VLOOKUP(B717,Sheet3!$B$2:$E$311,3,)</f>
        <v>#N/A</v>
      </c>
      <c r="E717" s="21" t="str">
        <f>VLOOKUP(B717,Sheet3!$B$2:$E$311,4,)</f>
        <v>#N/A</v>
      </c>
    </row>
    <row r="718" ht="15.75" customHeight="1">
      <c r="B718" s="21"/>
      <c r="C718" s="21" t="str">
        <f>VLOOKUP(B718,Sheet3!$B$2:$E$311,2,FALSE)</f>
        <v>#N/A</v>
      </c>
      <c r="D718" s="21" t="str">
        <f>VLOOKUP(B718,Sheet3!$B$2:$E$311,3,)</f>
        <v>#N/A</v>
      </c>
      <c r="E718" s="21" t="str">
        <f>VLOOKUP(B718,Sheet3!$B$2:$E$311,4,)</f>
        <v>#N/A</v>
      </c>
    </row>
    <row r="719" ht="15.75" customHeight="1">
      <c r="B719" s="21"/>
      <c r="C719" s="21" t="str">
        <f>VLOOKUP(B719,Sheet3!$B$2:$E$311,2,FALSE)</f>
        <v>#N/A</v>
      </c>
      <c r="D719" s="21" t="str">
        <f>VLOOKUP(B719,Sheet3!$B$2:$E$311,3,)</f>
        <v>#N/A</v>
      </c>
      <c r="E719" s="21" t="str">
        <f>VLOOKUP(B719,Sheet3!$B$2:$E$311,4,)</f>
        <v>#N/A</v>
      </c>
    </row>
    <row r="720" ht="15.75" customHeight="1">
      <c r="B720" s="21"/>
      <c r="C720" s="21" t="str">
        <f>VLOOKUP(B720,Sheet3!$B$2:$E$311,2,FALSE)</f>
        <v>#N/A</v>
      </c>
      <c r="D720" s="21" t="str">
        <f>VLOOKUP(B720,Sheet3!$B$2:$E$311,3,)</f>
        <v>#N/A</v>
      </c>
      <c r="E720" s="21" t="str">
        <f>VLOOKUP(B720,Sheet3!$B$2:$E$311,4,)</f>
        <v>#N/A</v>
      </c>
    </row>
    <row r="721" ht="15.75" customHeight="1">
      <c r="B721" s="21"/>
      <c r="C721" s="21" t="str">
        <f>VLOOKUP(B721,Sheet3!$B$2:$E$311,2,FALSE)</f>
        <v>#N/A</v>
      </c>
      <c r="D721" s="21" t="str">
        <f>VLOOKUP(B721,Sheet3!$B$2:$E$311,3,)</f>
        <v>#N/A</v>
      </c>
      <c r="E721" s="21" t="str">
        <f>VLOOKUP(B721,Sheet3!$B$2:$E$311,4,)</f>
        <v>#N/A</v>
      </c>
    </row>
    <row r="722" ht="15.75" customHeight="1">
      <c r="B722" s="21"/>
      <c r="C722" s="21" t="str">
        <f>VLOOKUP(B722,Sheet3!$B$2:$E$311,2,FALSE)</f>
        <v>#N/A</v>
      </c>
      <c r="D722" s="21" t="str">
        <f>VLOOKUP(B722,Sheet3!$B$2:$E$311,3,)</f>
        <v>#N/A</v>
      </c>
      <c r="E722" s="21" t="str">
        <f>VLOOKUP(B722,Sheet3!$B$2:$E$311,4,)</f>
        <v>#N/A</v>
      </c>
    </row>
    <row r="723" ht="15.75" customHeight="1">
      <c r="B723" s="21"/>
      <c r="C723" s="21" t="str">
        <f>VLOOKUP(B723,Sheet3!$B$2:$E$311,2,FALSE)</f>
        <v>#N/A</v>
      </c>
      <c r="D723" s="21" t="str">
        <f>VLOOKUP(B723,Sheet3!$B$2:$E$311,3,)</f>
        <v>#N/A</v>
      </c>
      <c r="E723" s="21" t="str">
        <f>VLOOKUP(B723,Sheet3!$B$2:$E$311,4,)</f>
        <v>#N/A</v>
      </c>
    </row>
    <row r="724" ht="15.75" customHeight="1">
      <c r="B724" s="21"/>
      <c r="C724" s="21" t="str">
        <f>VLOOKUP(B724,Sheet3!$B$2:$E$311,2,FALSE)</f>
        <v>#N/A</v>
      </c>
      <c r="D724" s="21" t="str">
        <f>VLOOKUP(B724,Sheet3!$B$2:$E$311,3,)</f>
        <v>#N/A</v>
      </c>
      <c r="E724" s="21" t="str">
        <f>VLOOKUP(B724,Sheet3!$B$2:$E$311,4,)</f>
        <v>#N/A</v>
      </c>
    </row>
    <row r="725" ht="15.75" customHeight="1">
      <c r="B725" s="21"/>
      <c r="C725" s="21" t="str">
        <f>VLOOKUP(B725,Sheet3!$B$2:$E$311,2,FALSE)</f>
        <v>#N/A</v>
      </c>
      <c r="D725" s="21" t="str">
        <f>VLOOKUP(B725,Sheet3!$B$2:$E$311,3,)</f>
        <v>#N/A</v>
      </c>
      <c r="E725" s="21" t="str">
        <f>VLOOKUP(B725,Sheet3!$B$2:$E$311,4,)</f>
        <v>#N/A</v>
      </c>
    </row>
    <row r="726" ht="15.75" customHeight="1">
      <c r="B726" s="21"/>
      <c r="C726" s="21" t="str">
        <f>VLOOKUP(B726,Sheet3!$B$2:$E$311,2,FALSE)</f>
        <v>#N/A</v>
      </c>
      <c r="D726" s="21" t="str">
        <f>VLOOKUP(B726,Sheet3!$B$2:$E$311,3,)</f>
        <v>#N/A</v>
      </c>
      <c r="E726" s="21" t="str">
        <f>VLOOKUP(B726,Sheet3!$B$2:$E$311,4,)</f>
        <v>#N/A</v>
      </c>
    </row>
    <row r="727" ht="15.75" customHeight="1">
      <c r="B727" s="21"/>
      <c r="C727" s="21" t="str">
        <f>VLOOKUP(B727,Sheet3!$B$2:$E$311,2,FALSE)</f>
        <v>#N/A</v>
      </c>
      <c r="D727" s="21" t="str">
        <f>VLOOKUP(B727,Sheet3!$B$2:$E$311,3,)</f>
        <v>#N/A</v>
      </c>
      <c r="E727" s="21" t="str">
        <f>VLOOKUP(B727,Sheet3!$B$2:$E$311,4,)</f>
        <v>#N/A</v>
      </c>
    </row>
    <row r="728" ht="15.75" customHeight="1">
      <c r="B728" s="21"/>
      <c r="C728" s="21" t="str">
        <f>VLOOKUP(B728,Sheet3!$B$2:$E$311,2,FALSE)</f>
        <v>#N/A</v>
      </c>
      <c r="D728" s="21" t="str">
        <f>VLOOKUP(B728,Sheet3!$B$2:$E$311,3,)</f>
        <v>#N/A</v>
      </c>
      <c r="E728" s="21" t="str">
        <f>VLOOKUP(B728,Sheet3!$B$2:$E$311,4,)</f>
        <v>#N/A</v>
      </c>
    </row>
    <row r="729" ht="15.75" customHeight="1">
      <c r="B729" s="21"/>
      <c r="C729" s="21" t="str">
        <f>VLOOKUP(B729,Sheet3!$B$2:$E$311,2,FALSE)</f>
        <v>#N/A</v>
      </c>
      <c r="D729" s="21" t="str">
        <f>VLOOKUP(B729,Sheet3!$B$2:$E$311,3,)</f>
        <v>#N/A</v>
      </c>
      <c r="E729" s="21" t="str">
        <f>VLOOKUP(B729,Sheet3!$B$2:$E$311,4,)</f>
        <v>#N/A</v>
      </c>
    </row>
    <row r="730" ht="15.75" customHeight="1">
      <c r="B730" s="21"/>
      <c r="C730" s="21" t="str">
        <f>VLOOKUP(B730,Sheet3!$B$2:$E$311,2,FALSE)</f>
        <v>#N/A</v>
      </c>
      <c r="D730" s="21" t="str">
        <f>VLOOKUP(B730,Sheet3!$B$2:$E$311,3,)</f>
        <v>#N/A</v>
      </c>
      <c r="E730" s="21" t="str">
        <f>VLOOKUP(B730,Sheet3!$B$2:$E$311,4,)</f>
        <v>#N/A</v>
      </c>
    </row>
    <row r="731" ht="15.75" customHeight="1">
      <c r="B731" s="21"/>
      <c r="C731" s="21" t="str">
        <f>VLOOKUP(B731,Sheet3!$B$2:$E$311,2,FALSE)</f>
        <v>#N/A</v>
      </c>
      <c r="D731" s="21" t="str">
        <f>VLOOKUP(B731,Sheet3!$B$2:$E$311,3,)</f>
        <v>#N/A</v>
      </c>
      <c r="E731" s="21" t="str">
        <f>VLOOKUP(B731,Sheet3!$B$2:$E$311,4,)</f>
        <v>#N/A</v>
      </c>
    </row>
    <row r="732" ht="15.75" customHeight="1">
      <c r="B732" s="21"/>
      <c r="C732" s="21" t="str">
        <f>VLOOKUP(B732,Sheet3!$B$2:$E$311,2,FALSE)</f>
        <v>#N/A</v>
      </c>
      <c r="D732" s="21" t="str">
        <f>VLOOKUP(B732,Sheet3!$B$2:$E$311,3,)</f>
        <v>#N/A</v>
      </c>
      <c r="E732" s="21" t="str">
        <f>VLOOKUP(B732,Sheet3!$B$2:$E$311,4,)</f>
        <v>#N/A</v>
      </c>
    </row>
    <row r="733" ht="15.75" customHeight="1">
      <c r="B733" s="21"/>
      <c r="C733" s="21" t="str">
        <f>VLOOKUP(B733,Sheet3!$B$2:$E$311,2,FALSE)</f>
        <v>#N/A</v>
      </c>
      <c r="D733" s="21" t="str">
        <f>VLOOKUP(B733,Sheet3!$B$2:$E$311,3,)</f>
        <v>#N/A</v>
      </c>
      <c r="E733" s="21" t="str">
        <f>VLOOKUP(B733,Sheet3!$B$2:$E$311,4,)</f>
        <v>#N/A</v>
      </c>
    </row>
    <row r="734" ht="15.75" customHeight="1">
      <c r="B734" s="21"/>
      <c r="C734" s="21" t="str">
        <f>VLOOKUP(B734,Sheet3!$B$2:$E$311,2,FALSE)</f>
        <v>#N/A</v>
      </c>
      <c r="D734" s="21" t="str">
        <f>VLOOKUP(B734,Sheet3!$B$2:$E$311,3,)</f>
        <v>#N/A</v>
      </c>
      <c r="E734" s="21" t="str">
        <f>VLOOKUP(B734,Sheet3!$B$2:$E$311,4,)</f>
        <v>#N/A</v>
      </c>
    </row>
    <row r="735" ht="15.75" customHeight="1">
      <c r="B735" s="21"/>
      <c r="C735" s="21" t="str">
        <f>VLOOKUP(B735,Sheet3!$B$2:$E$311,2,FALSE)</f>
        <v>#N/A</v>
      </c>
      <c r="D735" s="21" t="str">
        <f>VLOOKUP(B735,Sheet3!$B$2:$E$311,3,)</f>
        <v>#N/A</v>
      </c>
      <c r="E735" s="21" t="str">
        <f>VLOOKUP(B735,Sheet3!$B$2:$E$311,4,)</f>
        <v>#N/A</v>
      </c>
    </row>
    <row r="736" ht="15.75" customHeight="1">
      <c r="B736" s="21"/>
      <c r="C736" s="21" t="str">
        <f>VLOOKUP(B736,Sheet3!$B$2:$E$311,2,FALSE)</f>
        <v>#N/A</v>
      </c>
      <c r="D736" s="21" t="str">
        <f>VLOOKUP(B736,Sheet3!$B$2:$E$311,3,)</f>
        <v>#N/A</v>
      </c>
      <c r="E736" s="21" t="str">
        <f>VLOOKUP(B736,Sheet3!$B$2:$E$311,4,)</f>
        <v>#N/A</v>
      </c>
    </row>
    <row r="737" ht="15.75" customHeight="1">
      <c r="B737" s="21"/>
      <c r="C737" s="21" t="str">
        <f>VLOOKUP(B737,Sheet3!$B$2:$E$311,2,FALSE)</f>
        <v>#N/A</v>
      </c>
      <c r="D737" s="21" t="str">
        <f>VLOOKUP(B737,Sheet3!$B$2:$E$311,3,)</f>
        <v>#N/A</v>
      </c>
      <c r="E737" s="21" t="str">
        <f>VLOOKUP(B737,Sheet3!$B$2:$E$311,4,)</f>
        <v>#N/A</v>
      </c>
    </row>
    <row r="738" ht="15.75" customHeight="1">
      <c r="B738" s="21"/>
      <c r="C738" s="21" t="str">
        <f>VLOOKUP(B738,Sheet3!$B$2:$E$311,2,FALSE)</f>
        <v>#N/A</v>
      </c>
      <c r="D738" s="21" t="str">
        <f>VLOOKUP(B738,Sheet3!$B$2:$E$311,3,)</f>
        <v>#N/A</v>
      </c>
      <c r="E738" s="21" t="str">
        <f>VLOOKUP(B738,Sheet3!$B$2:$E$311,4,)</f>
        <v>#N/A</v>
      </c>
    </row>
    <row r="739" ht="15.75" customHeight="1">
      <c r="B739" s="21"/>
      <c r="C739" s="21" t="str">
        <f>VLOOKUP(B739,Sheet3!$B$2:$E$311,2,FALSE)</f>
        <v>#N/A</v>
      </c>
      <c r="D739" s="21" t="str">
        <f>VLOOKUP(B739,Sheet3!$B$2:$E$311,3,)</f>
        <v>#N/A</v>
      </c>
      <c r="E739" s="21" t="str">
        <f>VLOOKUP(B739,Sheet3!$B$2:$E$311,4,)</f>
        <v>#N/A</v>
      </c>
    </row>
    <row r="740" ht="15.75" customHeight="1">
      <c r="B740" s="21"/>
      <c r="C740" s="21" t="str">
        <f>VLOOKUP(B740,Sheet3!$B$2:$E$311,2,FALSE)</f>
        <v>#N/A</v>
      </c>
      <c r="D740" s="21" t="str">
        <f>VLOOKUP(B740,Sheet3!$B$2:$E$311,3,)</f>
        <v>#N/A</v>
      </c>
      <c r="E740" s="21" t="str">
        <f>VLOOKUP(B740,Sheet3!$B$2:$E$311,4,)</f>
        <v>#N/A</v>
      </c>
    </row>
    <row r="741" ht="15.75" customHeight="1">
      <c r="B741" s="21"/>
      <c r="C741" s="21" t="str">
        <f>VLOOKUP(B741,Sheet3!$B$2:$E$311,2,FALSE)</f>
        <v>#N/A</v>
      </c>
      <c r="D741" s="21" t="str">
        <f>VLOOKUP(B741,Sheet3!$B$2:$E$311,3,)</f>
        <v>#N/A</v>
      </c>
      <c r="E741" s="21" t="str">
        <f>VLOOKUP(B741,Sheet3!$B$2:$E$311,4,)</f>
        <v>#N/A</v>
      </c>
    </row>
    <row r="742" ht="15.75" customHeight="1">
      <c r="B742" s="21"/>
      <c r="C742" s="21" t="str">
        <f>VLOOKUP(B742,Sheet3!$B$2:$E$311,2,FALSE)</f>
        <v>#N/A</v>
      </c>
      <c r="D742" s="21" t="str">
        <f>VLOOKUP(B742,Sheet3!$B$2:$E$311,3,)</f>
        <v>#N/A</v>
      </c>
      <c r="E742" s="21" t="str">
        <f>VLOOKUP(B742,Sheet3!$B$2:$E$311,4,)</f>
        <v>#N/A</v>
      </c>
    </row>
    <row r="743" ht="15.75" customHeight="1">
      <c r="B743" s="21"/>
      <c r="C743" s="21" t="str">
        <f>VLOOKUP(B743,Sheet3!$B$2:$E$311,2,FALSE)</f>
        <v>#N/A</v>
      </c>
      <c r="D743" s="21" t="str">
        <f>VLOOKUP(B743,Sheet3!$B$2:$E$311,3,)</f>
        <v>#N/A</v>
      </c>
      <c r="E743" s="21" t="str">
        <f>VLOOKUP(B743,Sheet3!$B$2:$E$311,4,)</f>
        <v>#N/A</v>
      </c>
    </row>
    <row r="744" ht="15.75" customHeight="1">
      <c r="B744" s="21"/>
      <c r="C744" s="21" t="str">
        <f>VLOOKUP(B744,Sheet3!$B$2:$E$311,2,FALSE)</f>
        <v>#N/A</v>
      </c>
      <c r="D744" s="21" t="str">
        <f>VLOOKUP(B744,Sheet3!$B$2:$E$311,3,)</f>
        <v>#N/A</v>
      </c>
      <c r="E744" s="21" t="str">
        <f>VLOOKUP(B744,Sheet3!$B$2:$E$311,4,)</f>
        <v>#N/A</v>
      </c>
    </row>
    <row r="745" ht="15.75" customHeight="1">
      <c r="B745" s="21"/>
      <c r="C745" s="21" t="str">
        <f>VLOOKUP(B745,Sheet3!$B$2:$E$311,2,FALSE)</f>
        <v>#N/A</v>
      </c>
      <c r="D745" s="21" t="str">
        <f>VLOOKUP(B745,Sheet3!$B$2:$E$311,3,)</f>
        <v>#N/A</v>
      </c>
      <c r="E745" s="21" t="str">
        <f>VLOOKUP(B745,Sheet3!$B$2:$E$311,4,)</f>
        <v>#N/A</v>
      </c>
    </row>
    <row r="746" ht="15.75" customHeight="1">
      <c r="B746" s="21"/>
      <c r="C746" s="21" t="str">
        <f>VLOOKUP(B746,Sheet3!$B$2:$E$311,2,FALSE)</f>
        <v>#N/A</v>
      </c>
      <c r="D746" s="21" t="str">
        <f>VLOOKUP(B746,Sheet3!$B$2:$E$311,3,)</f>
        <v>#N/A</v>
      </c>
      <c r="E746" s="21" t="str">
        <f>VLOOKUP(B746,Sheet3!$B$2:$E$311,4,)</f>
        <v>#N/A</v>
      </c>
    </row>
    <row r="747" ht="15.75" customHeight="1">
      <c r="B747" s="21"/>
      <c r="C747" s="21" t="str">
        <f>VLOOKUP(B747,Sheet3!$B$2:$E$311,2,FALSE)</f>
        <v>#N/A</v>
      </c>
      <c r="D747" s="21" t="str">
        <f>VLOOKUP(B747,Sheet3!$B$2:$E$311,3,)</f>
        <v>#N/A</v>
      </c>
      <c r="E747" s="21" t="str">
        <f>VLOOKUP(B747,Sheet3!$B$2:$E$311,4,)</f>
        <v>#N/A</v>
      </c>
    </row>
    <row r="748" ht="15.75" customHeight="1">
      <c r="B748" s="21"/>
      <c r="C748" s="21" t="str">
        <f>VLOOKUP(B748,Sheet3!$B$2:$E$311,2,FALSE)</f>
        <v>#N/A</v>
      </c>
      <c r="D748" s="21" t="str">
        <f>VLOOKUP(B748,Sheet3!$B$2:$E$311,3,)</f>
        <v>#N/A</v>
      </c>
      <c r="E748" s="21" t="str">
        <f>VLOOKUP(B748,Sheet3!$B$2:$E$311,4,)</f>
        <v>#N/A</v>
      </c>
    </row>
    <row r="749" ht="15.75" customHeight="1">
      <c r="B749" s="21"/>
      <c r="C749" s="21" t="str">
        <f>VLOOKUP(B749,Sheet3!$B$2:$E$311,2,FALSE)</f>
        <v>#N/A</v>
      </c>
      <c r="D749" s="21" t="str">
        <f>VLOOKUP(B749,Sheet3!$B$2:$E$311,3,)</f>
        <v>#N/A</v>
      </c>
      <c r="E749" s="21" t="str">
        <f>VLOOKUP(B749,Sheet3!$B$2:$E$311,4,)</f>
        <v>#N/A</v>
      </c>
    </row>
    <row r="750" ht="15.75" customHeight="1">
      <c r="B750" s="21"/>
      <c r="C750" s="21" t="str">
        <f>VLOOKUP(B750,Sheet3!$B$2:$E$311,2,FALSE)</f>
        <v>#N/A</v>
      </c>
      <c r="D750" s="21" t="str">
        <f>VLOOKUP(B750,Sheet3!$B$2:$E$311,3,)</f>
        <v>#N/A</v>
      </c>
      <c r="E750" s="21" t="str">
        <f>VLOOKUP(B750,Sheet3!$B$2:$E$311,4,)</f>
        <v>#N/A</v>
      </c>
    </row>
    <row r="751" ht="15.75" customHeight="1">
      <c r="B751" s="21"/>
      <c r="C751" s="21" t="str">
        <f>VLOOKUP(B751,Sheet3!$B$2:$E$311,2,FALSE)</f>
        <v>#N/A</v>
      </c>
      <c r="D751" s="21" t="str">
        <f>VLOOKUP(B751,Sheet3!$B$2:$E$311,3,)</f>
        <v>#N/A</v>
      </c>
      <c r="E751" s="21" t="str">
        <f>VLOOKUP(B751,Sheet3!$B$2:$E$311,4,)</f>
        <v>#N/A</v>
      </c>
    </row>
    <row r="752" ht="15.75" customHeight="1">
      <c r="B752" s="21"/>
      <c r="C752" s="21" t="str">
        <f>VLOOKUP(B752,Sheet3!$B$2:$E$311,2,FALSE)</f>
        <v>#N/A</v>
      </c>
      <c r="D752" s="21" t="str">
        <f>VLOOKUP(B752,Sheet3!$B$2:$E$311,3,)</f>
        <v>#N/A</v>
      </c>
      <c r="E752" s="21" t="str">
        <f>VLOOKUP(B752,Sheet3!$B$2:$E$311,4,)</f>
        <v>#N/A</v>
      </c>
    </row>
    <row r="753" ht="15.75" customHeight="1">
      <c r="B753" s="21"/>
      <c r="C753" s="21" t="str">
        <f>VLOOKUP(B753,Sheet3!$B$2:$E$311,2,FALSE)</f>
        <v>#N/A</v>
      </c>
      <c r="D753" s="21" t="str">
        <f>VLOOKUP(B753,Sheet3!$B$2:$E$311,3,)</f>
        <v>#N/A</v>
      </c>
      <c r="E753" s="21" t="str">
        <f>VLOOKUP(B753,Sheet3!$B$2:$E$311,4,)</f>
        <v>#N/A</v>
      </c>
    </row>
    <row r="754" ht="15.75" customHeight="1">
      <c r="B754" s="21"/>
      <c r="C754" s="21" t="str">
        <f>VLOOKUP(B754,Sheet3!$B$2:$E$311,2,FALSE)</f>
        <v>#N/A</v>
      </c>
      <c r="D754" s="21" t="str">
        <f>VLOOKUP(B754,Sheet3!$B$2:$E$311,3,)</f>
        <v>#N/A</v>
      </c>
    </row>
    <row r="755" ht="15.75" customHeight="1">
      <c r="B755" s="21"/>
      <c r="C755" s="21" t="str">
        <f>VLOOKUP(B755,Sheet3!$B$2:$E$311,2,FALSE)</f>
        <v>#N/A</v>
      </c>
      <c r="D755" s="21" t="str">
        <f>VLOOKUP(B755,Sheet3!$B$2:$E$311,3,)</f>
        <v>#N/A</v>
      </c>
    </row>
    <row r="756" ht="15.75" customHeight="1">
      <c r="B756" s="21"/>
      <c r="C756" s="21" t="str">
        <f>VLOOKUP(B756,Sheet3!$B$2:$E$311,2,FALSE)</f>
        <v>#N/A</v>
      </c>
      <c r="D756" s="21" t="str">
        <f>VLOOKUP(B756,Sheet3!$B$2:$E$311,3,)</f>
        <v>#N/A</v>
      </c>
    </row>
    <row r="757" ht="15.75" customHeight="1">
      <c r="B757" s="21"/>
      <c r="C757" s="21" t="str">
        <f>VLOOKUP(B757,Sheet3!$B$2:$E$311,2,FALSE)</f>
        <v>#N/A</v>
      </c>
      <c r="D757" s="21" t="str">
        <f>VLOOKUP(B757,Sheet3!$B$2:$E$311,3,)</f>
        <v>#N/A</v>
      </c>
    </row>
    <row r="758" ht="15.75" customHeight="1">
      <c r="B758" s="21"/>
      <c r="C758" s="21" t="str">
        <f>VLOOKUP(B758,Sheet3!$B$2:$E$311,2,FALSE)</f>
        <v>#N/A</v>
      </c>
      <c r="D758" s="21" t="str">
        <f>VLOOKUP(B758,Sheet3!$B$2:$E$311,3,)</f>
        <v>#N/A</v>
      </c>
    </row>
    <row r="759" ht="15.75" customHeight="1">
      <c r="B759" s="21"/>
      <c r="C759" s="21" t="str">
        <f>VLOOKUP(B759,Sheet3!$B$2:$E$311,2,FALSE)</f>
        <v>#N/A</v>
      </c>
      <c r="D759" s="21" t="str">
        <f>VLOOKUP(B759,Sheet3!$B$2:$E$311,3,)</f>
        <v>#N/A</v>
      </c>
    </row>
    <row r="760" ht="15.75" customHeight="1">
      <c r="B760" s="21"/>
      <c r="C760" s="21" t="str">
        <f>VLOOKUP(B760,Sheet3!$B$2:$E$311,2,FALSE)</f>
        <v>#N/A</v>
      </c>
      <c r="D760" s="21" t="str">
        <f>VLOOKUP(B760,Sheet3!$B$2:$E$311,3,)</f>
        <v>#N/A</v>
      </c>
    </row>
    <row r="761" ht="15.75" customHeight="1">
      <c r="B761" s="21"/>
      <c r="C761" s="21" t="str">
        <f>VLOOKUP(B761,Sheet3!$B$2:$E$311,2,FALSE)</f>
        <v>#N/A</v>
      </c>
      <c r="D761" s="21" t="str">
        <f>VLOOKUP(B761,Sheet3!$B$2:$E$311,3,)</f>
        <v>#N/A</v>
      </c>
    </row>
    <row r="762" ht="15.75" customHeight="1">
      <c r="B762" s="21"/>
      <c r="C762" s="21" t="str">
        <f>VLOOKUP(B762,Sheet3!$B$2:$E$311,2,FALSE)</f>
        <v>#N/A</v>
      </c>
    </row>
    <row r="763" ht="15.75" customHeight="1">
      <c r="B763" s="21"/>
      <c r="C763" s="21" t="str">
        <f>VLOOKUP(B763,Sheet3!$B$2:$E$311,2,FALSE)</f>
        <v>#N/A</v>
      </c>
    </row>
    <row r="764" ht="15.75" customHeight="1">
      <c r="B764" s="21"/>
    </row>
    <row r="765" ht="15.75" customHeight="1">
      <c r="B765" s="21"/>
    </row>
    <row r="766" ht="15.75" customHeight="1">
      <c r="B766" s="21"/>
    </row>
    <row r="767" ht="15.75" customHeight="1">
      <c r="B767" s="21"/>
    </row>
    <row r="768" ht="15.75" customHeight="1">
      <c r="B768" s="21"/>
    </row>
    <row r="769" ht="15.75" customHeight="1">
      <c r="B769" s="21"/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dataValidations>
    <dataValidation type="list" allowBlank="1" showErrorMessage="1" sqref="B2:B50 B52:B90 B92:B147 B149:B152 B154:B194 B196:B230 B232:B249 B251:B769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3.14"/>
    <col customWidth="1" min="6" max="6" width="11.86"/>
    <col customWidth="1" min="7" max="7" width="21.0"/>
    <col customWidth="1" min="8" max="8" width="16.71"/>
    <col customWidth="1" min="9" max="9" width="12.0"/>
    <col customWidth="1" min="10" max="26" width="8.71"/>
  </cols>
  <sheetData>
    <row r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0" t="s">
        <v>534</v>
      </c>
    </row>
    <row r="2">
      <c r="A2" s="29">
        <v>46117.0</v>
      </c>
      <c r="B2" s="27" t="s">
        <v>53</v>
      </c>
      <c r="C2" s="6" t="str">
        <f>VLOOKUP(B2,Sheet3!$B$2:$E$311,2,FALSE)</f>
        <v>B004</v>
      </c>
      <c r="D2" s="19" t="str">
        <f>VLOOKUP(B2,Sheet3!$B$2:$E$311,3,)</f>
        <v>BAHAN BAKU LUUCA</v>
      </c>
      <c r="E2" s="19" t="str">
        <f>VLOOKUP(B2,Sheet3!$B$2:$E$311,4,)</f>
        <v>GR</v>
      </c>
      <c r="F2" s="28" t="s">
        <v>539</v>
      </c>
      <c r="G2" s="28" t="s">
        <v>540</v>
      </c>
      <c r="H2" s="28" t="s">
        <v>541</v>
      </c>
    </row>
    <row r="3">
      <c r="A3" s="29">
        <v>46117.0</v>
      </c>
      <c r="B3" s="27" t="s">
        <v>53</v>
      </c>
      <c r="C3" s="6" t="str">
        <f>VLOOKUP(B3,Sheet3!$B$2:$E$311,2,FALSE)</f>
        <v>B004</v>
      </c>
      <c r="D3" s="19" t="str">
        <f>VLOOKUP(B3,Sheet3!$B$2:$E$311,3,)</f>
        <v>BAHAN BAKU LUUCA</v>
      </c>
      <c r="E3" s="19" t="str">
        <f>VLOOKUP(B3,Sheet3!$B$2:$E$311,4,)</f>
        <v>GR</v>
      </c>
      <c r="F3" s="28" t="s">
        <v>543</v>
      </c>
      <c r="G3" s="28" t="s">
        <v>540</v>
      </c>
      <c r="H3" s="28" t="s">
        <v>541</v>
      </c>
    </row>
    <row r="4">
      <c r="A4" s="29">
        <v>46117.0</v>
      </c>
      <c r="B4" s="27" t="s">
        <v>109</v>
      </c>
      <c r="C4" s="6" t="str">
        <f>VLOOKUP(B4,Sheet3!$B$2:$E$311,2,FALSE)</f>
        <v>B004</v>
      </c>
      <c r="D4" s="19" t="str">
        <f>VLOOKUP(B4,Sheet3!$B$2:$E$311,3,)</f>
        <v>BAHAN BAKU LUUCA</v>
      </c>
      <c r="E4" s="19" t="str">
        <f>VLOOKUP(B4,Sheet3!$B$2:$E$311,4,)</f>
        <v>GR</v>
      </c>
      <c r="F4" s="28" t="s">
        <v>545</v>
      </c>
      <c r="G4" s="28" t="s">
        <v>496</v>
      </c>
      <c r="H4" s="28" t="s">
        <v>541</v>
      </c>
    </row>
    <row r="5">
      <c r="A5" s="27" t="s">
        <v>546</v>
      </c>
      <c r="B5" s="27" t="s">
        <v>109</v>
      </c>
      <c r="C5" s="6" t="str">
        <f>VLOOKUP(B5,Sheet3!$B$2:$E$311,2,FALSE)</f>
        <v>B004</v>
      </c>
      <c r="D5" s="19" t="str">
        <f>VLOOKUP(B5,Sheet3!$B$2:$E$311,3,)</f>
        <v>BAHAN BAKU LUUCA</v>
      </c>
      <c r="E5" s="19" t="str">
        <f>VLOOKUP(B5,Sheet3!$B$2:$E$311,4,)</f>
        <v>GR</v>
      </c>
      <c r="F5" s="28" t="s">
        <v>548</v>
      </c>
      <c r="G5" s="28" t="s">
        <v>540</v>
      </c>
      <c r="H5" s="28" t="s">
        <v>541</v>
      </c>
    </row>
    <row r="6">
      <c r="A6" s="27" t="s">
        <v>546</v>
      </c>
      <c r="B6" s="27" t="s">
        <v>108</v>
      </c>
      <c r="C6" s="6" t="str">
        <f>VLOOKUP(B6,Sheet3!$B$2:$E$311,2,FALSE)</f>
        <v>B004</v>
      </c>
      <c r="D6" s="19" t="str">
        <f>VLOOKUP(B6,Sheet3!$B$2:$E$311,3,)</f>
        <v>BAHAN BAKU LUUCA</v>
      </c>
      <c r="E6" s="19" t="str">
        <f>VLOOKUP(B6,Sheet3!$B$2:$E$311,4,)</f>
        <v>GR</v>
      </c>
      <c r="F6" s="28" t="s">
        <v>551</v>
      </c>
      <c r="G6" s="28" t="s">
        <v>496</v>
      </c>
      <c r="H6" s="28" t="s">
        <v>541</v>
      </c>
    </row>
    <row r="7">
      <c r="A7" s="27" t="s">
        <v>546</v>
      </c>
      <c r="B7" s="27" t="s">
        <v>108</v>
      </c>
      <c r="C7" s="6" t="str">
        <f>VLOOKUP(B7,Sheet3!$B$2:$E$311,2,FALSE)</f>
        <v>B004</v>
      </c>
      <c r="D7" s="19" t="str">
        <f>VLOOKUP(B7,Sheet3!$B$2:$E$311,3,)</f>
        <v>BAHAN BAKU LUUCA</v>
      </c>
      <c r="E7" s="19" t="str">
        <f>VLOOKUP(B7,Sheet3!$B$2:$E$311,4,)</f>
        <v>GR</v>
      </c>
      <c r="F7" s="28">
        <v>45.0</v>
      </c>
      <c r="G7" s="28" t="s">
        <v>540</v>
      </c>
      <c r="H7" s="28" t="s">
        <v>541</v>
      </c>
    </row>
    <row r="8">
      <c r="A8" s="27" t="s">
        <v>546</v>
      </c>
      <c r="B8" s="27" t="s">
        <v>108</v>
      </c>
      <c r="C8" s="6" t="str">
        <f>VLOOKUP(B8,Sheet3!$B$2:$E$311,2,FALSE)</f>
        <v>B004</v>
      </c>
      <c r="D8" s="19" t="str">
        <f>VLOOKUP(B8,Sheet3!$B$2:$E$311,3,)</f>
        <v>BAHAN BAKU LUUCA</v>
      </c>
      <c r="E8" s="19" t="str">
        <f>VLOOKUP(B8,Sheet3!$B$2:$E$311,4,)</f>
        <v>GR</v>
      </c>
      <c r="F8" s="28">
        <v>15.0</v>
      </c>
      <c r="G8" s="28" t="s">
        <v>540</v>
      </c>
      <c r="H8" s="28" t="s">
        <v>553</v>
      </c>
    </row>
    <row r="9">
      <c r="A9" s="27" t="s">
        <v>546</v>
      </c>
      <c r="B9" s="27" t="s">
        <v>53</v>
      </c>
      <c r="C9" s="6" t="str">
        <f>VLOOKUP(B9,Sheet3!$B$2:$E$311,2,FALSE)</f>
        <v>B004</v>
      </c>
      <c r="D9" s="19" t="str">
        <f>VLOOKUP(B9,Sheet3!$B$2:$E$311,3,)</f>
        <v>BAHAN BAKU LUUCA</v>
      </c>
      <c r="E9" s="19" t="str">
        <f>VLOOKUP(B9,Sheet3!$B$2:$E$311,4,)</f>
        <v>GR</v>
      </c>
      <c r="F9" s="28">
        <v>35.0</v>
      </c>
      <c r="G9" s="28" t="s">
        <v>540</v>
      </c>
      <c r="H9" s="28" t="s">
        <v>553</v>
      </c>
    </row>
    <row r="10">
      <c r="A10" s="27" t="s">
        <v>546</v>
      </c>
      <c r="B10" s="27" t="s">
        <v>30</v>
      </c>
      <c r="C10" s="6" t="str">
        <f>VLOOKUP(B10,Sheet3!$B$2:$E$311,2,FALSE)</f>
        <v>B004</v>
      </c>
      <c r="D10" s="19" t="str">
        <f>VLOOKUP(B10,Sheet3!$B$2:$E$311,3,)</f>
        <v>BAHAN BAKU LUUCA</v>
      </c>
      <c r="E10" s="28" t="s">
        <v>37</v>
      </c>
      <c r="F10" s="28">
        <v>14.0</v>
      </c>
      <c r="G10" s="28" t="s">
        <v>528</v>
      </c>
      <c r="H10" s="28" t="s">
        <v>553</v>
      </c>
    </row>
    <row r="11">
      <c r="A11" s="27" t="s">
        <v>546</v>
      </c>
      <c r="B11" s="27" t="s">
        <v>108</v>
      </c>
      <c r="C11" s="6" t="str">
        <f>VLOOKUP(B11,Sheet3!$B$2:$E$311,2,FALSE)</f>
        <v>B004</v>
      </c>
      <c r="D11" s="19" t="str">
        <f>VLOOKUP(B11,Sheet3!$B$2:$E$311,3,)</f>
        <v>BAHAN BAKU LUUCA</v>
      </c>
      <c r="E11" s="19" t="str">
        <f>VLOOKUP(B11,Sheet3!$B$2:$E$311,4,)</f>
        <v>GR</v>
      </c>
      <c r="F11" s="28">
        <v>25.0</v>
      </c>
      <c r="G11" s="28" t="s">
        <v>496</v>
      </c>
      <c r="H11" s="28" t="s">
        <v>553</v>
      </c>
    </row>
    <row r="12">
      <c r="A12" s="29">
        <v>46118.0</v>
      </c>
      <c r="B12" s="27" t="s">
        <v>186</v>
      </c>
      <c r="C12" s="6" t="str">
        <f>VLOOKUP(B12,Sheet3!$B$2:$E$311,2,FALSE)</f>
        <v>P006</v>
      </c>
      <c r="D12" s="19" t="str">
        <f>VLOOKUP(B12,Sheet3!$B$2:$E$311,3,)</f>
        <v>PRODUKSI STOK LUUCA</v>
      </c>
      <c r="E12" s="19" t="str">
        <f>VLOOKUP(B12,Sheet3!$B$2:$E$311,4,)</f>
        <v>GR</v>
      </c>
      <c r="F12" s="28">
        <v>734.0</v>
      </c>
      <c r="G12" s="28" t="s">
        <v>370</v>
      </c>
      <c r="H12" s="28" t="s">
        <v>522</v>
      </c>
    </row>
    <row r="13">
      <c r="A13" s="29">
        <v>46118.0</v>
      </c>
      <c r="B13" s="27" t="s">
        <v>53</v>
      </c>
      <c r="C13" s="6" t="str">
        <f>VLOOKUP(B13,Sheet3!$B$2:$E$311,2,FALSE)</f>
        <v>B004</v>
      </c>
      <c r="D13" s="19" t="str">
        <f>VLOOKUP(B13,Sheet3!$B$2:$E$311,3,)</f>
        <v>BAHAN BAKU LUUCA</v>
      </c>
      <c r="E13" s="19" t="str">
        <f>VLOOKUP(B13,Sheet3!$B$2:$E$311,4,)</f>
        <v>GR</v>
      </c>
      <c r="F13" s="28">
        <v>171.0</v>
      </c>
      <c r="G13" s="28" t="s">
        <v>540</v>
      </c>
      <c r="H13" s="28" t="s">
        <v>561</v>
      </c>
    </row>
    <row r="14">
      <c r="A14" s="29">
        <v>46118.0</v>
      </c>
      <c r="B14" s="27" t="s">
        <v>108</v>
      </c>
      <c r="C14" s="6" t="str">
        <f>VLOOKUP(B14,Sheet3!$B$2:$E$311,2,FALSE)</f>
        <v>B004</v>
      </c>
      <c r="D14" s="19" t="str">
        <f>VLOOKUP(B14,Sheet3!$B$2:$E$311,3,)</f>
        <v>BAHAN BAKU LUUCA</v>
      </c>
      <c r="E14" s="19" t="str">
        <f>VLOOKUP(B14,Sheet3!$B$2:$E$311,4,)</f>
        <v>GR</v>
      </c>
      <c r="F14" s="28">
        <v>122.0</v>
      </c>
      <c r="G14" s="28" t="s">
        <v>540</v>
      </c>
      <c r="H14" s="28" t="s">
        <v>561</v>
      </c>
    </row>
    <row r="15">
      <c r="A15" s="29">
        <v>46118.0</v>
      </c>
      <c r="B15" s="27" t="s">
        <v>79</v>
      </c>
      <c r="C15" s="6" t="str">
        <f>VLOOKUP(B15,Sheet3!$B$2:$E$311,2,FALSE)</f>
        <v>B004</v>
      </c>
      <c r="D15" s="19" t="str">
        <f>VLOOKUP(B15,Sheet3!$B$2:$E$311,3,)</f>
        <v>BAHAN BAKU LUUCA</v>
      </c>
      <c r="E15" s="19" t="str">
        <f>VLOOKUP(B15,Sheet3!$B$2:$E$311,4,)</f>
        <v>PCS</v>
      </c>
      <c r="F15" s="28">
        <v>1.0</v>
      </c>
      <c r="G15" s="28" t="s">
        <v>540</v>
      </c>
      <c r="H15" s="28" t="s">
        <v>522</v>
      </c>
    </row>
    <row r="16">
      <c r="A16" s="29">
        <v>46118.0</v>
      </c>
      <c r="B16" s="27" t="s">
        <v>30</v>
      </c>
      <c r="C16" s="6" t="str">
        <f>VLOOKUP(B16,Sheet3!$B$2:$E$311,2,FALSE)</f>
        <v>B004</v>
      </c>
      <c r="D16" s="19" t="str">
        <f>VLOOKUP(B16,Sheet3!$B$2:$E$311,3,)</f>
        <v>BAHAN BAKU LUUCA</v>
      </c>
      <c r="E16" s="28" t="s">
        <v>37</v>
      </c>
      <c r="F16" s="28">
        <v>15.0</v>
      </c>
      <c r="G16" s="28" t="s">
        <v>528</v>
      </c>
      <c r="H16" s="28" t="s">
        <v>522</v>
      </c>
    </row>
    <row r="17">
      <c r="A17" s="29">
        <v>46118.0</v>
      </c>
      <c r="B17" s="27" t="s">
        <v>108</v>
      </c>
      <c r="C17" s="6" t="str">
        <f>VLOOKUP(B17,Sheet3!$B$2:$E$311,2,FALSE)</f>
        <v>B004</v>
      </c>
      <c r="D17" s="19" t="str">
        <f>VLOOKUP(B17,Sheet3!$B$2:$E$311,3,)</f>
        <v>BAHAN BAKU LUUCA</v>
      </c>
      <c r="E17" s="19" t="str">
        <f>VLOOKUP(B17,Sheet3!$B$2:$E$311,4,)</f>
        <v>GR</v>
      </c>
      <c r="F17" s="28">
        <v>64.0</v>
      </c>
      <c r="G17" s="28" t="s">
        <v>496</v>
      </c>
      <c r="H17" s="28" t="s">
        <v>553</v>
      </c>
    </row>
    <row r="18">
      <c r="A18" s="29">
        <v>46118.0</v>
      </c>
      <c r="B18" s="27" t="s">
        <v>108</v>
      </c>
      <c r="C18" s="6" t="str">
        <f>VLOOKUP(B18,Sheet3!$B$2:$E$311,2,FALSE)</f>
        <v>B004</v>
      </c>
      <c r="D18" s="19" t="str">
        <f>VLOOKUP(B18,Sheet3!$B$2:$E$311,3,)</f>
        <v>BAHAN BAKU LUUCA</v>
      </c>
      <c r="E18" s="19" t="str">
        <f>VLOOKUP(B18,Sheet3!$B$2:$E$311,4,)</f>
        <v>GR</v>
      </c>
      <c r="F18" s="28">
        <v>13.0</v>
      </c>
      <c r="G18" s="28" t="s">
        <v>525</v>
      </c>
      <c r="H18" s="28" t="s">
        <v>553</v>
      </c>
    </row>
    <row r="19">
      <c r="A19" s="29">
        <v>46118.0</v>
      </c>
      <c r="B19" s="27" t="s">
        <v>34</v>
      </c>
      <c r="C19" s="6" t="str">
        <f>VLOOKUP(B19,Sheet3!$B$2:$E$311,2,FALSE)</f>
        <v>B004</v>
      </c>
      <c r="D19" s="19" t="str">
        <f>VLOOKUP(B19,Sheet3!$B$2:$E$311,3,)</f>
        <v>BAHAN BAKU LUUCA</v>
      </c>
      <c r="E19" s="19" t="str">
        <f>VLOOKUP(B19,Sheet3!$B$2:$E$311,4,)</f>
        <v>GR</v>
      </c>
      <c r="F19" s="28" t="s">
        <v>568</v>
      </c>
      <c r="G19" s="28" t="s">
        <v>569</v>
      </c>
      <c r="H19" s="28" t="s">
        <v>541</v>
      </c>
    </row>
    <row r="20">
      <c r="A20" s="29">
        <v>46118.0</v>
      </c>
      <c r="B20" s="27" t="s">
        <v>570</v>
      </c>
      <c r="C20" s="6" t="str">
        <f>VLOOKUP(B20,Sheet3!$B$2:$E$311,2,FALSE)</f>
        <v>#N/A</v>
      </c>
      <c r="D20" s="6" t="str">
        <f>VLOOKUP(B20,Sheet3!$B$2:$E$311,3,)</f>
        <v>#N/A</v>
      </c>
      <c r="E20" s="19" t="str">
        <f>VLOOKUP(B20,Sheet3!$B$2:$E$311,4,)</f>
        <v>#N/A</v>
      </c>
      <c r="F20" s="28" t="s">
        <v>571</v>
      </c>
      <c r="G20" s="30" t="s">
        <v>572</v>
      </c>
      <c r="H20" s="28" t="s">
        <v>541</v>
      </c>
    </row>
    <row r="21" ht="15.75" customHeight="1">
      <c r="A21" s="29">
        <v>46119.0</v>
      </c>
      <c r="B21" s="27" t="s">
        <v>108</v>
      </c>
      <c r="C21" s="6" t="str">
        <f>VLOOKUP(B21,Sheet3!$B$2:$E$311,2,FALSE)</f>
        <v>B004</v>
      </c>
      <c r="D21" s="19" t="str">
        <f>VLOOKUP(B21,Sheet3!$B$2:$E$311,3,)</f>
        <v>BAHAN BAKU LUUCA</v>
      </c>
      <c r="E21" s="19" t="str">
        <f>VLOOKUP(B21,Sheet3!$B$2:$E$311,4,)</f>
        <v>GR</v>
      </c>
      <c r="F21" s="28">
        <v>15.0</v>
      </c>
      <c r="G21" s="28" t="s">
        <v>525</v>
      </c>
      <c r="H21" s="28" t="s">
        <v>561</v>
      </c>
    </row>
    <row r="22" ht="15.75" customHeight="1">
      <c r="A22" s="29">
        <v>46119.0</v>
      </c>
      <c r="B22" s="27" t="s">
        <v>30</v>
      </c>
      <c r="C22" s="6" t="str">
        <f>VLOOKUP(B22,Sheet3!$B$2:$E$311,2,FALSE)</f>
        <v>B004</v>
      </c>
      <c r="D22" s="19" t="str">
        <f>VLOOKUP(B22,Sheet3!$B$2:$E$311,3,)</f>
        <v>BAHAN BAKU LUUCA</v>
      </c>
      <c r="E22" s="28" t="s">
        <v>37</v>
      </c>
      <c r="F22" s="28">
        <v>4.0</v>
      </c>
      <c r="G22" s="28" t="s">
        <v>528</v>
      </c>
      <c r="H22" s="28" t="s">
        <v>522</v>
      </c>
    </row>
    <row r="23" ht="15.75" customHeight="1">
      <c r="A23" s="29">
        <v>46119.0</v>
      </c>
      <c r="B23" s="27" t="s">
        <v>69</v>
      </c>
      <c r="C23" s="6" t="str">
        <f>VLOOKUP(B23,Sheet3!$B$2:$E$311,2,FALSE)</f>
        <v>B004</v>
      </c>
      <c r="D23" s="19" t="str">
        <f>VLOOKUP(B23,Sheet3!$B$2:$E$311,3,)</f>
        <v>BAHAN BAKU LUUCA</v>
      </c>
      <c r="E23" s="28" t="s">
        <v>37</v>
      </c>
      <c r="F23" s="28">
        <v>13.0</v>
      </c>
      <c r="G23" s="28" t="s">
        <v>574</v>
      </c>
      <c r="H23" s="28" t="s">
        <v>522</v>
      </c>
    </row>
    <row r="24" ht="15.75" customHeight="1">
      <c r="A24" s="29">
        <v>46119.0</v>
      </c>
      <c r="B24" s="27" t="s">
        <v>108</v>
      </c>
      <c r="C24" s="6" t="str">
        <f>VLOOKUP(B24,Sheet3!$B$2:$E$311,2,FALSE)</f>
        <v>B004</v>
      </c>
      <c r="D24" s="19" t="str">
        <f>VLOOKUP(B24,Sheet3!$B$2:$E$311,3,)</f>
        <v>BAHAN BAKU LUUCA</v>
      </c>
      <c r="E24" s="19" t="str">
        <f>VLOOKUP(B24,Sheet3!$B$2:$E$311,4,)</f>
        <v>GR</v>
      </c>
      <c r="F24" s="28" t="s">
        <v>575</v>
      </c>
      <c r="G24" s="28" t="s">
        <v>525</v>
      </c>
      <c r="H24" s="28" t="s">
        <v>541</v>
      </c>
    </row>
    <row r="25" ht="15.75" customHeight="1">
      <c r="A25" s="29">
        <v>46119.0</v>
      </c>
      <c r="B25" s="27" t="s">
        <v>108</v>
      </c>
      <c r="C25" s="6" t="str">
        <f>VLOOKUP(B25,Sheet3!$B$2:$E$311,2,FALSE)</f>
        <v>B004</v>
      </c>
      <c r="D25" s="19" t="str">
        <f>VLOOKUP(B25,Sheet3!$B$2:$E$311,3,)</f>
        <v>BAHAN BAKU LUUCA</v>
      </c>
      <c r="E25" s="19" t="str">
        <f>VLOOKUP(B25,Sheet3!$B$2:$E$311,4,)</f>
        <v>GR</v>
      </c>
      <c r="F25" s="28">
        <v>114.0</v>
      </c>
      <c r="G25" s="28" t="s">
        <v>496</v>
      </c>
      <c r="H25" s="28" t="s">
        <v>541</v>
      </c>
    </row>
    <row r="26" ht="15.75" customHeight="1">
      <c r="A26" s="29">
        <v>46119.0</v>
      </c>
      <c r="B26" s="27" t="s">
        <v>570</v>
      </c>
      <c r="C26" s="6" t="str">
        <f>VLOOKUP(B26,Sheet3!$B$2:$E$311,2,FALSE)</f>
        <v>#N/A</v>
      </c>
      <c r="D26" s="6" t="str">
        <f>VLOOKUP(B26,Sheet3!$B$2:$E$311,3,)</f>
        <v>#N/A</v>
      </c>
      <c r="E26" s="19" t="str">
        <f>VLOOKUP(B26,Sheet3!$B$2:$E$311,4,)</f>
        <v>#N/A</v>
      </c>
      <c r="F26" s="30">
        <v>111.0</v>
      </c>
      <c r="G26" s="30" t="s">
        <v>572</v>
      </c>
      <c r="H26" s="28" t="s">
        <v>522</v>
      </c>
    </row>
    <row r="27" ht="15.75" customHeight="1">
      <c r="A27" s="31">
        <v>46120.0</v>
      </c>
      <c r="B27" s="27" t="s">
        <v>570</v>
      </c>
      <c r="C27" s="6" t="str">
        <f>VLOOKUP(B27,Sheet3!$B$2:$E$311,2,FALSE)</f>
        <v>#N/A</v>
      </c>
      <c r="D27" s="6" t="str">
        <f>VLOOKUP(B27,Sheet3!$B$2:$E$311,3,)</f>
        <v>#N/A</v>
      </c>
      <c r="E27" s="19" t="str">
        <f>VLOOKUP(B27,Sheet3!$B$2:$E$311,4,)</f>
        <v>#N/A</v>
      </c>
      <c r="F27" s="30" t="s">
        <v>579</v>
      </c>
      <c r="G27" s="30" t="s">
        <v>572</v>
      </c>
      <c r="H27" s="28" t="s">
        <v>541</v>
      </c>
    </row>
    <row r="28" ht="15.75" customHeight="1">
      <c r="A28" s="31">
        <v>46120.0</v>
      </c>
      <c r="B28" s="27" t="s">
        <v>53</v>
      </c>
      <c r="C28" s="6" t="str">
        <f>VLOOKUP(B28,Sheet3!$B$2:$E$311,2,FALSE)</f>
        <v>B004</v>
      </c>
      <c r="D28" s="19" t="str">
        <f>VLOOKUP(B28,Sheet3!$B$2:$E$311,3,)</f>
        <v>BAHAN BAKU LUUCA</v>
      </c>
      <c r="E28" s="19" t="str">
        <f>VLOOKUP(B28,Sheet3!$B$2:$E$311,4,)</f>
        <v>GR</v>
      </c>
      <c r="F28" s="28" t="s">
        <v>580</v>
      </c>
      <c r="G28" s="28" t="s">
        <v>496</v>
      </c>
      <c r="H28" s="28" t="s">
        <v>541</v>
      </c>
    </row>
    <row r="29" ht="15.75" customHeight="1">
      <c r="A29" s="31">
        <v>46120.0</v>
      </c>
      <c r="B29" s="27" t="s">
        <v>53</v>
      </c>
      <c r="C29" s="6" t="str">
        <f>VLOOKUP(B29,Sheet3!$B$2:$E$311,2,FALSE)</f>
        <v>B004</v>
      </c>
      <c r="D29" s="19" t="str">
        <f>VLOOKUP(B29,Sheet3!$B$2:$E$311,3,)</f>
        <v>BAHAN BAKU LUUCA</v>
      </c>
      <c r="E29" s="19" t="str">
        <f>VLOOKUP(B29,Sheet3!$B$2:$E$311,4,)</f>
        <v>GR</v>
      </c>
      <c r="F29" s="28" t="s">
        <v>582</v>
      </c>
      <c r="G29" s="28" t="s">
        <v>583</v>
      </c>
      <c r="H29" s="28" t="s">
        <v>541</v>
      </c>
    </row>
    <row r="30" ht="15.75" customHeight="1">
      <c r="A30" s="31">
        <v>46120.0</v>
      </c>
      <c r="B30" s="27" t="s">
        <v>108</v>
      </c>
      <c r="C30" s="6" t="str">
        <f>VLOOKUP(B30,Sheet3!$B$2:$E$311,2,FALSE)</f>
        <v>B004</v>
      </c>
      <c r="D30" s="19" t="str">
        <f>VLOOKUP(B30,Sheet3!$B$2:$E$311,3,)</f>
        <v>BAHAN BAKU LUUCA</v>
      </c>
      <c r="E30" s="19" t="str">
        <f>VLOOKUP(B30,Sheet3!$B$2:$E$311,4,)</f>
        <v>GR</v>
      </c>
      <c r="F30" s="28" t="s">
        <v>585</v>
      </c>
      <c r="G30" s="28" t="s">
        <v>538</v>
      </c>
      <c r="H30" s="28" t="s">
        <v>541</v>
      </c>
    </row>
    <row r="31" ht="15.75" customHeight="1">
      <c r="A31" s="31">
        <v>46120.0</v>
      </c>
      <c r="B31" s="27" t="s">
        <v>109</v>
      </c>
      <c r="C31" s="6" t="str">
        <f>VLOOKUP(B31,Sheet3!$B$2:$E$311,2,FALSE)</f>
        <v>B004</v>
      </c>
      <c r="D31" s="19" t="str">
        <f>VLOOKUP(B31,Sheet3!$B$2:$E$311,3,)</f>
        <v>BAHAN BAKU LUUCA</v>
      </c>
      <c r="E31" s="19" t="str">
        <f>VLOOKUP(B31,Sheet3!$B$2:$E$311,4,)</f>
        <v>GR</v>
      </c>
      <c r="F31" s="28" t="s">
        <v>587</v>
      </c>
      <c r="G31" s="28" t="s">
        <v>496</v>
      </c>
      <c r="H31" s="28" t="s">
        <v>541</v>
      </c>
    </row>
    <row r="32" ht="15.75" customHeight="1">
      <c r="A32" s="31">
        <v>46120.0</v>
      </c>
      <c r="B32" s="27" t="s">
        <v>109</v>
      </c>
      <c r="C32" s="6"/>
      <c r="D32" s="19" t="str">
        <f>VLOOKUP(B32,Sheet3!$B$2:$E$311,3,)</f>
        <v>BAHAN BAKU LUUCA</v>
      </c>
      <c r="E32" s="19" t="str">
        <f>VLOOKUP(B32,Sheet3!$B$2:$E$311,4,)</f>
        <v>GR</v>
      </c>
      <c r="F32" s="28">
        <v>18.0</v>
      </c>
      <c r="G32" s="28" t="s">
        <v>588</v>
      </c>
      <c r="H32" s="28" t="s">
        <v>541</v>
      </c>
    </row>
    <row r="33" ht="15.75" customHeight="1">
      <c r="A33" s="31">
        <v>46120.0</v>
      </c>
      <c r="B33" s="27" t="s">
        <v>53</v>
      </c>
      <c r="C33" s="6" t="str">
        <f>VLOOKUP(B33,Sheet3!$B$2:$E$311,2,FALSE)</f>
        <v>B004</v>
      </c>
      <c r="D33" s="19" t="str">
        <f>VLOOKUP(B33,Sheet3!$B$2:$E$311,3,)</f>
        <v>BAHAN BAKU LUUCA</v>
      </c>
      <c r="E33" s="19" t="str">
        <f>VLOOKUP(B33,Sheet3!$B$2:$E$311,4,)</f>
        <v>GR</v>
      </c>
      <c r="F33" s="28">
        <v>93.0</v>
      </c>
      <c r="G33" s="28" t="s">
        <v>538</v>
      </c>
      <c r="H33" s="28" t="s">
        <v>522</v>
      </c>
    </row>
    <row r="34" ht="15.75" customHeight="1">
      <c r="A34" s="31">
        <v>46120.0</v>
      </c>
      <c r="B34" s="27" t="s">
        <v>33</v>
      </c>
      <c r="C34" s="6" t="str">
        <f>VLOOKUP(B34,Sheet3!$B$2:$E$311,2,FALSE)</f>
        <v>B004</v>
      </c>
      <c r="D34" s="19" t="str">
        <f>VLOOKUP(B34,Sheet3!$B$2:$E$311,3,)</f>
        <v>BAHAN BAKU LUUCA</v>
      </c>
      <c r="E34" s="19" t="str">
        <f>VLOOKUP(B34,Sheet3!$B$2:$E$311,4,)</f>
        <v>GR</v>
      </c>
      <c r="F34" s="28">
        <v>358.0</v>
      </c>
      <c r="G34" s="28" t="s">
        <v>591</v>
      </c>
      <c r="H34" s="28" t="s">
        <v>522</v>
      </c>
    </row>
    <row r="35" ht="15.75" customHeight="1">
      <c r="A35" s="31">
        <v>46120.0</v>
      </c>
      <c r="B35" s="27" t="s">
        <v>34</v>
      </c>
      <c r="C35" s="6" t="str">
        <f>VLOOKUP(B35,Sheet3!$B$2:$E$311,2,FALSE)</f>
        <v>B004</v>
      </c>
      <c r="D35" s="19" t="str">
        <f>VLOOKUP(B35,Sheet3!$B$2:$E$311,3,)</f>
        <v>BAHAN BAKU LUUCA</v>
      </c>
      <c r="E35" s="19" t="str">
        <f>VLOOKUP(B35,Sheet3!$B$2:$E$311,4,)</f>
        <v>GR</v>
      </c>
      <c r="F35" s="28">
        <v>1103.0</v>
      </c>
      <c r="G35" s="28" t="s">
        <v>591</v>
      </c>
      <c r="H35" s="28" t="s">
        <v>522</v>
      </c>
    </row>
    <row r="36" ht="15.75" customHeight="1">
      <c r="A36" s="31">
        <v>46120.0</v>
      </c>
      <c r="B36" s="27" t="s">
        <v>69</v>
      </c>
      <c r="C36" s="6" t="str">
        <f>VLOOKUP(B36,Sheet3!$B$2:$E$311,2,FALSE)</f>
        <v>B004</v>
      </c>
      <c r="D36" s="19" t="str">
        <f>VLOOKUP(B36,Sheet3!$B$2:$E$311,3,)</f>
        <v>BAHAN BAKU LUUCA</v>
      </c>
      <c r="E36" s="28" t="s">
        <v>37</v>
      </c>
      <c r="F36" s="28">
        <v>10.0</v>
      </c>
      <c r="G36" s="28" t="s">
        <v>574</v>
      </c>
      <c r="H36" s="28" t="s">
        <v>522</v>
      </c>
    </row>
    <row r="37" ht="15.75" customHeight="1">
      <c r="A37" s="31">
        <v>46120.0</v>
      </c>
      <c r="B37" s="27" t="s">
        <v>30</v>
      </c>
      <c r="C37" s="6" t="str">
        <f>VLOOKUP(B37,Sheet3!$B$2:$E$311,2,FALSE)</f>
        <v>B004</v>
      </c>
      <c r="D37" s="19" t="str">
        <f>VLOOKUP(B37,Sheet3!$B$2:$E$311,3,)</f>
        <v>BAHAN BAKU LUUCA</v>
      </c>
      <c r="E37" s="28" t="s">
        <v>37</v>
      </c>
      <c r="F37" s="28">
        <v>14.0</v>
      </c>
      <c r="G37" s="28" t="s">
        <v>528</v>
      </c>
      <c r="H37" s="28" t="s">
        <v>522</v>
      </c>
    </row>
    <row r="38" ht="15.75" customHeight="1">
      <c r="A38" s="31">
        <v>46120.0</v>
      </c>
      <c r="B38" s="27" t="s">
        <v>108</v>
      </c>
      <c r="C38" s="6" t="str">
        <f>VLOOKUP(B38,Sheet3!$B$2:$E$311,2,FALSE)</f>
        <v>B004</v>
      </c>
      <c r="D38" s="19" t="str">
        <f>VLOOKUP(B38,Sheet3!$B$2:$E$311,3,)</f>
        <v>BAHAN BAKU LUUCA</v>
      </c>
      <c r="E38" s="19" t="str">
        <f>VLOOKUP(B38,Sheet3!$B$2:$E$311,4,)</f>
        <v>GR</v>
      </c>
      <c r="F38" s="28">
        <v>14.0</v>
      </c>
      <c r="G38" s="28" t="s">
        <v>525</v>
      </c>
      <c r="H38" s="28" t="s">
        <v>522</v>
      </c>
    </row>
    <row r="39" ht="15.75" customHeight="1">
      <c r="A39" s="31">
        <v>46120.0</v>
      </c>
      <c r="B39" s="27" t="s">
        <v>108</v>
      </c>
      <c r="C39" s="6" t="str">
        <f>VLOOKUP(B39,Sheet3!$B$2:$E$311,2,FALSE)</f>
        <v>B004</v>
      </c>
      <c r="D39" s="19" t="str">
        <f>VLOOKUP(B39,Sheet3!$B$2:$E$311,3,)</f>
        <v>BAHAN BAKU LUUCA</v>
      </c>
      <c r="E39" s="19" t="str">
        <f>VLOOKUP(B39,Sheet3!$B$2:$E$311,4,)</f>
        <v>GR</v>
      </c>
      <c r="F39" s="28">
        <v>67.0</v>
      </c>
      <c r="G39" s="28" t="s">
        <v>496</v>
      </c>
      <c r="H39" s="28" t="s">
        <v>522</v>
      </c>
    </row>
    <row r="40" ht="15.75" customHeight="1">
      <c r="A40" s="31">
        <v>46120.0</v>
      </c>
      <c r="B40" s="27" t="s">
        <v>76</v>
      </c>
      <c r="C40" s="6" t="str">
        <f>VLOOKUP(B40,Sheet3!$B$2:$E$311,2,FALSE)</f>
        <v>B004</v>
      </c>
      <c r="D40" s="19" t="str">
        <f>VLOOKUP(B40,Sheet3!$B$2:$E$311,3,)</f>
        <v>BAHAN BAKU LUUCA</v>
      </c>
      <c r="E40" s="19" t="str">
        <f>VLOOKUP(B40,Sheet3!$B$2:$E$311,4,)</f>
        <v>PCS</v>
      </c>
      <c r="F40" s="28">
        <v>1.0</v>
      </c>
      <c r="G40" s="28" t="s">
        <v>594</v>
      </c>
      <c r="H40" s="28" t="s">
        <v>595</v>
      </c>
    </row>
    <row r="41" ht="15.75" customHeight="1">
      <c r="A41" s="31">
        <v>46120.0</v>
      </c>
      <c r="B41" s="27" t="s">
        <v>152</v>
      </c>
      <c r="C41" s="6" t="str">
        <f>VLOOKUP(B41,Sheet3!$B$2:$E$311,2,FALSE)</f>
        <v>L001</v>
      </c>
      <c r="D41" s="19" t="str">
        <f>VLOOKUP(B41,Sheet3!$B$2:$E$311,3,)</f>
        <v>LUCCA MENU</v>
      </c>
      <c r="E41" s="19" t="str">
        <f>VLOOKUP(B41,Sheet3!$B$2:$E$311,4,)</f>
        <v>PRS</v>
      </c>
      <c r="F41" s="28">
        <v>1.0</v>
      </c>
      <c r="G41" s="28" t="s">
        <v>596</v>
      </c>
      <c r="H41" s="28" t="s">
        <v>595</v>
      </c>
    </row>
    <row r="42" ht="15.75" customHeight="1">
      <c r="A42" s="31">
        <v>46120.0</v>
      </c>
      <c r="B42" s="27" t="s">
        <v>109</v>
      </c>
      <c r="C42" s="6" t="str">
        <f>VLOOKUP(B42,Sheet3!$B$2:$E$311,2,FALSE)</f>
        <v>B004</v>
      </c>
      <c r="D42" s="19" t="str">
        <f>VLOOKUP(B42,Sheet3!$B$2:$E$311,3,)</f>
        <v>BAHAN BAKU LUUCA</v>
      </c>
      <c r="E42" s="19" t="str">
        <f>VLOOKUP(B42,Sheet3!$B$2:$E$311,4,)</f>
        <v>GR</v>
      </c>
      <c r="F42" s="28" t="s">
        <v>557</v>
      </c>
      <c r="G42" s="28" t="s">
        <v>588</v>
      </c>
      <c r="H42" s="28" t="s">
        <v>595</v>
      </c>
    </row>
    <row r="43" ht="15.75" customHeight="1">
      <c r="A43" s="31">
        <v>46121.0</v>
      </c>
      <c r="B43" s="27" t="s">
        <v>34</v>
      </c>
      <c r="C43" s="6" t="str">
        <f>VLOOKUP(B43,Sheet3!$B$2:$E$311,2,FALSE)</f>
        <v>B004</v>
      </c>
      <c r="D43" s="19" t="str">
        <f>VLOOKUP(B43,Sheet3!$B$2:$E$311,3,)</f>
        <v>BAHAN BAKU LUUCA</v>
      </c>
      <c r="E43" s="19" t="str">
        <f>VLOOKUP(B43,Sheet3!$B$2:$E$311,4,)</f>
        <v>GR</v>
      </c>
      <c r="F43" s="28">
        <v>704.0</v>
      </c>
      <c r="G43" s="28" t="s">
        <v>591</v>
      </c>
      <c r="H43" s="28" t="s">
        <v>553</v>
      </c>
    </row>
    <row r="44" ht="15.75" customHeight="1">
      <c r="A44" s="31">
        <v>46121.0</v>
      </c>
      <c r="B44" s="27" t="s">
        <v>30</v>
      </c>
      <c r="C44" s="6" t="str">
        <f>VLOOKUP(B44,Sheet3!$B$2:$E$311,2,FALSE)</f>
        <v>B004</v>
      </c>
      <c r="D44" s="19" t="str">
        <f>VLOOKUP(B44,Sheet3!$B$2:$E$311,3,)</f>
        <v>BAHAN BAKU LUUCA</v>
      </c>
      <c r="E44" s="28" t="s">
        <v>37</v>
      </c>
      <c r="F44" s="28">
        <v>20.0</v>
      </c>
      <c r="G44" s="28" t="s">
        <v>528</v>
      </c>
      <c r="H44" s="28" t="s">
        <v>561</v>
      </c>
    </row>
    <row r="45" ht="15.75" customHeight="1">
      <c r="A45" s="31">
        <v>46121.0</v>
      </c>
      <c r="B45" s="27" t="s">
        <v>108</v>
      </c>
      <c r="C45" s="6" t="str">
        <f>VLOOKUP(B45,Sheet3!$B$2:$E$311,2,FALSE)</f>
        <v>B004</v>
      </c>
      <c r="D45" s="19" t="str">
        <f>VLOOKUP(B45,Sheet3!$B$2:$E$311,3,)</f>
        <v>BAHAN BAKU LUUCA</v>
      </c>
      <c r="E45" s="19" t="str">
        <f>VLOOKUP(B45,Sheet3!$B$2:$E$311,4,)</f>
        <v>GR</v>
      </c>
      <c r="F45" s="28">
        <v>14.0</v>
      </c>
      <c r="G45" s="28" t="s">
        <v>525</v>
      </c>
      <c r="H45" s="28" t="s">
        <v>561</v>
      </c>
    </row>
    <row r="46" ht="15.75" customHeight="1">
      <c r="A46" s="31">
        <v>46121.0</v>
      </c>
      <c r="B46" s="32" t="s">
        <v>570</v>
      </c>
      <c r="C46" s="19"/>
      <c r="D46" s="19"/>
      <c r="E46" s="28" t="s">
        <v>17</v>
      </c>
      <c r="F46" s="28">
        <v>69.0</v>
      </c>
      <c r="G46" s="28" t="s">
        <v>572</v>
      </c>
      <c r="H46" s="28" t="s">
        <v>595</v>
      </c>
    </row>
    <row r="47" ht="15.75" customHeight="1">
      <c r="A47" s="31">
        <v>46122.0</v>
      </c>
      <c r="B47" s="27" t="s">
        <v>34</v>
      </c>
      <c r="C47" s="6" t="str">
        <f>VLOOKUP(B47,Sheet3!$B$2:$E$311,2,FALSE)</f>
        <v>B004</v>
      </c>
      <c r="D47" s="19" t="str">
        <f>VLOOKUP(B47,Sheet3!$B$2:$E$311,3,)</f>
        <v>BAHAN BAKU LUUCA</v>
      </c>
      <c r="E47" s="19" t="str">
        <f>VLOOKUP(B47,Sheet3!$B$2:$E$311,4,)</f>
        <v>GR</v>
      </c>
      <c r="F47" s="28" t="s">
        <v>600</v>
      </c>
      <c r="G47" s="28" t="s">
        <v>591</v>
      </c>
      <c r="H47" s="28" t="s">
        <v>541</v>
      </c>
    </row>
    <row r="48" ht="15.75" customHeight="1">
      <c r="A48" s="31">
        <v>46122.0</v>
      </c>
      <c r="B48" s="27" t="s">
        <v>33</v>
      </c>
      <c r="C48" s="6" t="str">
        <f>VLOOKUP(B48,Sheet3!$B$2:$E$311,2,FALSE)</f>
        <v>B004</v>
      </c>
      <c r="D48" s="19" t="str">
        <f>VLOOKUP(B48,Sheet3!$B$2:$E$311,3,)</f>
        <v>BAHAN BAKU LUUCA</v>
      </c>
      <c r="E48" s="19" t="str">
        <f>VLOOKUP(B48,Sheet3!$B$2:$E$311,4,)</f>
        <v>GR</v>
      </c>
      <c r="F48" s="28" t="s">
        <v>601</v>
      </c>
      <c r="G48" s="28" t="s">
        <v>591</v>
      </c>
      <c r="H48" s="28" t="s">
        <v>541</v>
      </c>
    </row>
    <row r="49" ht="15.75" customHeight="1">
      <c r="A49" s="31">
        <v>46122.0</v>
      </c>
      <c r="B49" s="27" t="s">
        <v>108</v>
      </c>
      <c r="C49" s="6" t="str">
        <f>VLOOKUP(B49,Sheet3!$B$2:$E$311,2,FALSE)</f>
        <v>B004</v>
      </c>
      <c r="D49" s="19" t="str">
        <f>VLOOKUP(B49,Sheet3!$B$2:$E$311,3,)</f>
        <v>BAHAN BAKU LUUCA</v>
      </c>
      <c r="E49" s="19" t="str">
        <f>VLOOKUP(B49,Sheet3!$B$2:$E$311,4,)</f>
        <v>GR</v>
      </c>
      <c r="F49" s="28" t="s">
        <v>603</v>
      </c>
      <c r="G49" s="28" t="s">
        <v>604</v>
      </c>
      <c r="H49" s="28" t="s">
        <v>541</v>
      </c>
    </row>
    <row r="50" ht="15.75" customHeight="1">
      <c r="A50" s="31">
        <v>46122.0</v>
      </c>
      <c r="B50" s="27" t="s">
        <v>108</v>
      </c>
      <c r="C50" s="6" t="str">
        <f>VLOOKUP(B50,Sheet3!$B$2:$E$311,2,FALSE)</f>
        <v>B004</v>
      </c>
      <c r="D50" s="19" t="str">
        <f>VLOOKUP(B50,Sheet3!$B$2:$E$311,3,)</f>
        <v>BAHAN BAKU LUUCA</v>
      </c>
      <c r="E50" s="19" t="str">
        <f>VLOOKUP(B50,Sheet3!$B$2:$E$311,4,)</f>
        <v>GR</v>
      </c>
      <c r="F50" s="28" t="s">
        <v>605</v>
      </c>
      <c r="G50" s="28" t="s">
        <v>496</v>
      </c>
      <c r="H50" s="28" t="s">
        <v>541</v>
      </c>
    </row>
    <row r="51" ht="15.75" customHeight="1">
      <c r="A51" s="31">
        <v>46122.0</v>
      </c>
      <c r="B51" s="27" t="s">
        <v>53</v>
      </c>
      <c r="C51" s="6" t="str">
        <f>VLOOKUP(B51,Sheet3!$B$2:$E$311,2,FALSE)</f>
        <v>B004</v>
      </c>
      <c r="D51" s="19" t="str">
        <f>VLOOKUP(B51,Sheet3!$B$2:$E$311,3,)</f>
        <v>BAHAN BAKU LUUCA</v>
      </c>
      <c r="E51" s="19" t="str">
        <f>VLOOKUP(B51,Sheet3!$B$2:$E$311,4,)</f>
        <v>GR</v>
      </c>
      <c r="F51" s="28" t="s">
        <v>607</v>
      </c>
      <c r="G51" s="28" t="s">
        <v>538</v>
      </c>
      <c r="H51" s="28" t="s">
        <v>541</v>
      </c>
    </row>
    <row r="52" ht="15.75" customHeight="1">
      <c r="A52" s="31">
        <v>46122.0</v>
      </c>
      <c r="B52" s="27" t="s">
        <v>53</v>
      </c>
      <c r="C52" s="6" t="str">
        <f>VLOOKUP(B52,Sheet3!$B$2:$E$311,2,FALSE)</f>
        <v>B004</v>
      </c>
      <c r="D52" s="19" t="str">
        <f>VLOOKUP(B52,Sheet3!$B$2:$E$311,3,)</f>
        <v>BAHAN BAKU LUUCA</v>
      </c>
      <c r="E52" s="19" t="str">
        <f>VLOOKUP(B52,Sheet3!$B$2:$E$311,4,)</f>
        <v>GR</v>
      </c>
      <c r="F52" s="28" t="s">
        <v>609</v>
      </c>
      <c r="G52" s="28" t="s">
        <v>496</v>
      </c>
      <c r="H52" s="28" t="s">
        <v>541</v>
      </c>
    </row>
    <row r="53" ht="15.75" customHeight="1">
      <c r="A53" s="31">
        <v>46122.0</v>
      </c>
      <c r="B53" s="27" t="s">
        <v>53</v>
      </c>
      <c r="C53" s="6" t="str">
        <f>VLOOKUP(B53,Sheet3!$B$2:$E$311,2,FALSE)</f>
        <v>B004</v>
      </c>
      <c r="D53" s="19" t="str">
        <f>VLOOKUP(B53,Sheet3!$B$2:$E$311,3,)</f>
        <v>BAHAN BAKU LUUCA</v>
      </c>
      <c r="E53" s="19" t="str">
        <f>VLOOKUP(B53,Sheet3!$B$2:$E$311,4,)</f>
        <v>GR</v>
      </c>
      <c r="F53" s="28" t="s">
        <v>610</v>
      </c>
      <c r="G53" s="28" t="s">
        <v>538</v>
      </c>
      <c r="H53" s="28" t="s">
        <v>561</v>
      </c>
    </row>
    <row r="54" ht="15.75" customHeight="1">
      <c r="A54" s="31">
        <v>46122.0</v>
      </c>
      <c r="B54" s="27" t="s">
        <v>108</v>
      </c>
      <c r="C54" s="6" t="str">
        <f>VLOOKUP(B54,Sheet3!$B$2:$E$311,2,FALSE)</f>
        <v>B004</v>
      </c>
      <c r="D54" s="19" t="str">
        <f>VLOOKUP(B54,Sheet3!$B$2:$E$311,3,)</f>
        <v>BAHAN BAKU LUUCA</v>
      </c>
      <c r="E54" s="19" t="str">
        <f>VLOOKUP(B54,Sheet3!$B$2:$E$311,4,)</f>
        <v>GR</v>
      </c>
      <c r="F54" s="28" t="s">
        <v>612</v>
      </c>
      <c r="G54" s="28" t="s">
        <v>525</v>
      </c>
      <c r="H54" s="28" t="s">
        <v>561</v>
      </c>
    </row>
    <row r="55" ht="15.75" customHeight="1">
      <c r="A55" s="31">
        <v>46122.0</v>
      </c>
      <c r="B55" s="27" t="s">
        <v>30</v>
      </c>
      <c r="C55" s="6" t="str">
        <f>VLOOKUP(B55,Sheet3!$B$2:$E$311,2,FALSE)</f>
        <v>B004</v>
      </c>
      <c r="D55" s="19" t="str">
        <f>VLOOKUP(B55,Sheet3!$B$2:$E$311,3,)</f>
        <v>BAHAN BAKU LUUCA</v>
      </c>
      <c r="E55" s="19" t="str">
        <f>VLOOKUP(B55,Sheet3!$B$2:$E$311,4,)</f>
        <v>GR</v>
      </c>
      <c r="F55" s="28">
        <v>15.0</v>
      </c>
      <c r="G55" s="28" t="s">
        <v>528</v>
      </c>
      <c r="H55" s="28" t="s">
        <v>561</v>
      </c>
    </row>
    <row r="56" ht="15.75" customHeight="1">
      <c r="A56" s="31">
        <v>46122.0</v>
      </c>
      <c r="B56" s="27" t="s">
        <v>81</v>
      </c>
      <c r="C56" s="6" t="str">
        <f>VLOOKUP(B56,Sheet3!$B$2:$E$311,2,FALSE)</f>
        <v>B004</v>
      </c>
      <c r="D56" s="6" t="str">
        <f>VLOOKUP(B56,Sheet3!$B$2:$E$311,3,)</f>
        <v>BAHAN BAKU LUUCA</v>
      </c>
      <c r="E56" s="19" t="str">
        <f>VLOOKUP(B56,Sheet3!$B$2:$E$311,4,)</f>
        <v>GR</v>
      </c>
      <c r="F56" s="28">
        <v>6.0</v>
      </c>
      <c r="G56" s="28" t="s">
        <v>529</v>
      </c>
      <c r="H56" s="28" t="s">
        <v>522</v>
      </c>
    </row>
    <row r="57" ht="15.75" customHeight="1">
      <c r="A57" s="31">
        <v>46122.0</v>
      </c>
      <c r="B57" s="27" t="s">
        <v>570</v>
      </c>
      <c r="C57" s="6" t="str">
        <f>VLOOKUP(B57,Sheet3!$B$2:$E$311,2,FALSE)</f>
        <v>#N/A</v>
      </c>
      <c r="D57" s="6" t="str">
        <f>VLOOKUP(B57,Sheet3!$B$2:$E$311,3,)</f>
        <v>#N/A</v>
      </c>
      <c r="E57" s="30" t="s">
        <v>17</v>
      </c>
      <c r="F57" s="30">
        <v>49.0</v>
      </c>
      <c r="G57" s="30" t="s">
        <v>572</v>
      </c>
      <c r="H57" s="30" t="s">
        <v>522</v>
      </c>
    </row>
    <row r="58" ht="15.75" customHeight="1">
      <c r="A58" s="31">
        <v>46122.0</v>
      </c>
      <c r="B58" s="27" t="s">
        <v>30</v>
      </c>
      <c r="C58" s="6" t="str">
        <f>VLOOKUP(B58,Sheet3!$B$2:$E$311,2,FALSE)</f>
        <v>B004</v>
      </c>
      <c r="D58" s="6" t="str">
        <f>VLOOKUP(B58,Sheet3!$B$2:$E$311,3,)</f>
        <v>BAHAN BAKU LUUCA</v>
      </c>
      <c r="E58" s="28" t="s">
        <v>37</v>
      </c>
      <c r="F58" s="28">
        <v>9.0</v>
      </c>
      <c r="G58" s="28" t="s">
        <v>528</v>
      </c>
      <c r="H58" s="28" t="s">
        <v>522</v>
      </c>
    </row>
    <row r="59" ht="15.75" customHeight="1">
      <c r="A59" s="36">
        <v>46123.0</v>
      </c>
      <c r="B59" s="27" t="s">
        <v>33</v>
      </c>
      <c r="C59" s="6" t="str">
        <f>VLOOKUP(B59,Sheet3!$B$2:$E$311,2,FALSE)</f>
        <v>B004</v>
      </c>
      <c r="D59" s="6" t="str">
        <f>VLOOKUP(B59,Sheet3!$B$2:$E$311,3,)</f>
        <v>BAHAN BAKU LUUCA</v>
      </c>
      <c r="E59" s="19" t="str">
        <f>VLOOKUP(B59,Sheet3!$B$2:$E$311,4,)</f>
        <v>GR</v>
      </c>
      <c r="F59" s="28">
        <v>687.0</v>
      </c>
      <c r="G59" s="28" t="s">
        <v>591</v>
      </c>
      <c r="H59" s="28" t="s">
        <v>541</v>
      </c>
    </row>
    <row r="60" ht="15.75" customHeight="1">
      <c r="A60" s="36">
        <v>46123.0</v>
      </c>
      <c r="B60" s="27" t="s">
        <v>34</v>
      </c>
      <c r="C60" s="6" t="str">
        <f>VLOOKUP(B60,Sheet3!$B$2:$E$311,2,FALSE)</f>
        <v>B004</v>
      </c>
      <c r="D60" s="6" t="str">
        <f>VLOOKUP(B60,Sheet3!$B$2:$E$311,3,)</f>
        <v>BAHAN BAKU LUUCA</v>
      </c>
      <c r="E60" s="19" t="str">
        <f>VLOOKUP(B60,Sheet3!$B$2:$E$311,4,)</f>
        <v>GR</v>
      </c>
      <c r="F60" s="28" t="s">
        <v>620</v>
      </c>
      <c r="G60" s="28" t="s">
        <v>591</v>
      </c>
      <c r="H60" s="28" t="s">
        <v>541</v>
      </c>
    </row>
    <row r="61" ht="15.75" customHeight="1">
      <c r="A61" s="36">
        <v>46123.0</v>
      </c>
      <c r="B61" s="27" t="s">
        <v>69</v>
      </c>
      <c r="C61" s="6" t="str">
        <f>VLOOKUP(B61,Sheet3!$B$2:$E$311,2,FALSE)</f>
        <v>B004</v>
      </c>
      <c r="D61" s="6" t="str">
        <f>VLOOKUP(B61,Sheet3!$B$2:$E$311,3,)</f>
        <v>BAHAN BAKU LUUCA</v>
      </c>
      <c r="E61" s="28" t="s">
        <v>37</v>
      </c>
      <c r="F61" s="28">
        <v>25.0</v>
      </c>
      <c r="G61" s="28" t="s">
        <v>528</v>
      </c>
      <c r="H61" s="28" t="s">
        <v>541</v>
      </c>
    </row>
    <row r="62" ht="15.75" customHeight="1">
      <c r="A62" s="36">
        <v>46123.0</v>
      </c>
      <c r="B62" s="27" t="s">
        <v>32</v>
      </c>
      <c r="C62" s="6" t="str">
        <f>VLOOKUP(B62,Sheet3!$B$2:$E$311,2,FALSE)</f>
        <v>B004</v>
      </c>
      <c r="D62" s="6" t="str">
        <f>VLOOKUP(B62,Sheet3!$B$2:$E$311,3,)</f>
        <v>BAHAN BAKU LUUCA</v>
      </c>
      <c r="E62" s="19" t="str">
        <f>VLOOKUP(B62,Sheet3!$B$2:$E$311,4,)</f>
        <v>GR</v>
      </c>
      <c r="F62" s="28" t="s">
        <v>622</v>
      </c>
      <c r="G62" s="28" t="s">
        <v>623</v>
      </c>
      <c r="H62" s="28" t="s">
        <v>624</v>
      </c>
    </row>
    <row r="63" ht="15.75" customHeight="1">
      <c r="A63" s="36">
        <v>46123.0</v>
      </c>
      <c r="B63" s="27" t="s">
        <v>30</v>
      </c>
      <c r="C63" s="6" t="str">
        <f>VLOOKUP(B63,Sheet3!$B$2:$E$311,2,FALSE)</f>
        <v>B004</v>
      </c>
      <c r="D63" s="6" t="str">
        <f>VLOOKUP(B63,Sheet3!$B$2:$E$311,3,)</f>
        <v>BAHAN BAKU LUUCA</v>
      </c>
      <c r="E63" s="28" t="s">
        <v>37</v>
      </c>
      <c r="F63" s="28">
        <v>16.0</v>
      </c>
      <c r="G63" s="28" t="s">
        <v>528</v>
      </c>
      <c r="H63" s="28" t="s">
        <v>561</v>
      </c>
    </row>
    <row r="64" ht="15.75" customHeight="1">
      <c r="A64" s="36">
        <v>46123.0</v>
      </c>
      <c r="B64" s="27" t="s">
        <v>53</v>
      </c>
      <c r="C64" s="6" t="str">
        <f>VLOOKUP(B64,Sheet3!$B$2:$E$311,2,FALSE)</f>
        <v>B004</v>
      </c>
      <c r="D64" s="6" t="str">
        <f>VLOOKUP(B64,Sheet3!$B$2:$E$311,3,)</f>
        <v>BAHAN BAKU LUUCA</v>
      </c>
      <c r="E64" s="19" t="str">
        <f>VLOOKUP(B64,Sheet3!$B$2:$E$311,4,)</f>
        <v>GR</v>
      </c>
      <c r="F64" s="28">
        <v>44.0</v>
      </c>
      <c r="G64" s="28" t="s">
        <v>496</v>
      </c>
      <c r="H64" s="28" t="s">
        <v>561</v>
      </c>
    </row>
    <row r="65" ht="15.75" customHeight="1">
      <c r="A65" s="36">
        <v>46123.0</v>
      </c>
      <c r="B65" s="27" t="s">
        <v>53</v>
      </c>
      <c r="C65" s="6" t="str">
        <f>VLOOKUP(B65,Sheet3!$B$2:$E$311,2,FALSE)</f>
        <v>B004</v>
      </c>
      <c r="D65" s="6" t="str">
        <f>VLOOKUP(B65,Sheet3!$B$2:$E$311,3,)</f>
        <v>BAHAN BAKU LUUCA</v>
      </c>
      <c r="E65" s="19" t="str">
        <f>VLOOKUP(B65,Sheet3!$B$2:$E$311,4,)</f>
        <v>GR</v>
      </c>
      <c r="F65" s="28">
        <v>53.0</v>
      </c>
      <c r="G65" s="28" t="s">
        <v>538</v>
      </c>
      <c r="H65" s="28" t="s">
        <v>561</v>
      </c>
    </row>
    <row r="66" ht="15.75" customHeight="1">
      <c r="A66" s="36">
        <v>46123.0</v>
      </c>
      <c r="B66" s="27" t="s">
        <v>34</v>
      </c>
      <c r="C66" s="6" t="str">
        <f>VLOOKUP(B66,Sheet3!$B$2:$E$311,2,FALSE)</f>
        <v>B004</v>
      </c>
      <c r="D66" s="6" t="str">
        <f>VLOOKUP(B66,Sheet3!$B$2:$E$311,3,)</f>
        <v>BAHAN BAKU LUUCA</v>
      </c>
      <c r="E66" s="19" t="str">
        <f>VLOOKUP(B66,Sheet3!$B$2:$E$311,4,)</f>
        <v>GR</v>
      </c>
      <c r="F66" s="28">
        <v>821.0</v>
      </c>
      <c r="G66" s="28" t="s">
        <v>591</v>
      </c>
      <c r="H66" s="28" t="s">
        <v>522</v>
      </c>
    </row>
    <row r="67" ht="15.75" customHeight="1">
      <c r="A67" s="36">
        <v>46123.0</v>
      </c>
      <c r="B67" s="27" t="s">
        <v>53</v>
      </c>
      <c r="C67" s="6" t="str">
        <f>VLOOKUP(B67,Sheet3!$B$2:$E$311,2,FALSE)</f>
        <v>B004</v>
      </c>
      <c r="D67" s="6" t="str">
        <f>VLOOKUP(B67,Sheet3!$B$2:$E$311,3,)</f>
        <v>BAHAN BAKU LUUCA</v>
      </c>
      <c r="E67" s="19" t="str">
        <f>VLOOKUP(B67,Sheet3!$B$2:$E$311,4,)</f>
        <v>GR</v>
      </c>
      <c r="F67" s="28">
        <v>28.0</v>
      </c>
      <c r="G67" s="28" t="s">
        <v>496</v>
      </c>
      <c r="H67" s="28" t="s">
        <v>522</v>
      </c>
    </row>
    <row r="68" ht="15.75" customHeight="1">
      <c r="A68" s="36">
        <v>46123.0</v>
      </c>
      <c r="B68" s="27" t="s">
        <v>53</v>
      </c>
      <c r="C68" s="6" t="str">
        <f>VLOOKUP(B68,Sheet3!$B$2:$E$311,2,FALSE)</f>
        <v>B004</v>
      </c>
      <c r="D68" s="6" t="str">
        <f>VLOOKUP(B68,Sheet3!$B$2:$E$311,3,)</f>
        <v>BAHAN BAKU LUUCA</v>
      </c>
      <c r="E68" s="19" t="str">
        <f>VLOOKUP(B68,Sheet3!$B$2:$E$311,4,)</f>
        <v>GR</v>
      </c>
      <c r="F68" s="28">
        <v>59.0</v>
      </c>
      <c r="G68" s="28" t="s">
        <v>538</v>
      </c>
      <c r="H68" s="28" t="s">
        <v>522</v>
      </c>
    </row>
    <row r="69" ht="15.75" customHeight="1">
      <c r="A69" s="36">
        <v>46123.0</v>
      </c>
      <c r="B69" s="27" t="s">
        <v>33</v>
      </c>
      <c r="C69" s="6" t="str">
        <f>VLOOKUP(B69,Sheet3!$B$2:$E$311,2,FALSE)</f>
        <v>B004</v>
      </c>
      <c r="D69" s="6" t="str">
        <f>VLOOKUP(B69,Sheet3!$B$2:$E$311,3,)</f>
        <v>BAHAN BAKU LUUCA</v>
      </c>
      <c r="E69" s="19" t="str">
        <f>VLOOKUP(B69,Sheet3!$B$2:$E$311,4,)</f>
        <v>GR</v>
      </c>
      <c r="F69" s="28">
        <v>775.0</v>
      </c>
      <c r="G69" s="28" t="s">
        <v>591</v>
      </c>
      <c r="H69" s="28" t="s">
        <v>522</v>
      </c>
    </row>
    <row r="70" ht="15.75" customHeight="1">
      <c r="A70" s="36">
        <v>46123.0</v>
      </c>
      <c r="B70" s="27" t="s">
        <v>570</v>
      </c>
      <c r="C70" s="6" t="str">
        <f>VLOOKUP(B70,Sheet3!$B$2:$E$311,2,FALSE)</f>
        <v>#N/A</v>
      </c>
      <c r="D70" s="6" t="str">
        <f>VLOOKUP(B70,Sheet3!$B$2:$E$311,3,)</f>
        <v>#N/A</v>
      </c>
      <c r="E70" s="30" t="s">
        <v>17</v>
      </c>
      <c r="F70" s="30">
        <v>86.0</v>
      </c>
      <c r="G70" s="30" t="s">
        <v>572</v>
      </c>
      <c r="H70" s="30" t="s">
        <v>522</v>
      </c>
    </row>
    <row r="71" ht="15.75" customHeight="1">
      <c r="A71" s="36">
        <v>46123.0</v>
      </c>
      <c r="B71" s="27" t="s">
        <v>30</v>
      </c>
      <c r="C71" s="6" t="str">
        <f>VLOOKUP(B71,Sheet3!$B$2:$E$311,2,FALSE)</f>
        <v>B004</v>
      </c>
      <c r="D71" s="6" t="str">
        <f>VLOOKUP(B71,Sheet3!$B$2:$E$311,3,)</f>
        <v>BAHAN BAKU LUUCA</v>
      </c>
      <c r="E71" s="19" t="str">
        <f>VLOOKUP(B71,Sheet3!$B$2:$E$311,4,)</f>
        <v>GR</v>
      </c>
      <c r="F71" s="28">
        <v>11.0</v>
      </c>
      <c r="G71" s="28" t="s">
        <v>528</v>
      </c>
      <c r="H71" s="28" t="s">
        <v>522</v>
      </c>
    </row>
    <row r="72" ht="15.75" customHeight="1">
      <c r="A72" s="36">
        <v>46123.0</v>
      </c>
      <c r="B72" s="27" t="s">
        <v>53</v>
      </c>
      <c r="C72" s="6" t="str">
        <f>VLOOKUP(B72,Sheet3!$B$2:$E$311,2,FALSE)</f>
        <v>B004</v>
      </c>
      <c r="D72" s="6" t="str">
        <f>VLOOKUP(B72,Sheet3!$B$2:$E$311,3,)</f>
        <v>BAHAN BAKU LUUCA</v>
      </c>
      <c r="E72" s="19" t="str">
        <f>VLOOKUP(B72,Sheet3!$B$2:$E$311,4,)</f>
        <v>GR</v>
      </c>
      <c r="F72" s="28">
        <v>64.0</v>
      </c>
      <c r="G72" s="28" t="s">
        <v>496</v>
      </c>
      <c r="H72" s="28" t="s">
        <v>522</v>
      </c>
    </row>
    <row r="73" ht="15.75" customHeight="1">
      <c r="A73" s="36">
        <v>46123.0</v>
      </c>
      <c r="B73" s="27" t="s">
        <v>108</v>
      </c>
      <c r="C73" s="6" t="str">
        <f>VLOOKUP(B73,Sheet3!$B$2:$E$311,2,FALSE)</f>
        <v>B004</v>
      </c>
      <c r="D73" s="6" t="str">
        <f>VLOOKUP(B73,Sheet3!$B$2:$E$311,3,)</f>
        <v>BAHAN BAKU LUUCA</v>
      </c>
      <c r="E73" s="19" t="str">
        <f>VLOOKUP(B73,Sheet3!$B$2:$E$311,4,)</f>
        <v>GR</v>
      </c>
      <c r="F73" s="28">
        <v>111.0</v>
      </c>
      <c r="G73" s="28" t="s">
        <v>525</v>
      </c>
      <c r="H73" s="28" t="s">
        <v>522</v>
      </c>
    </row>
    <row r="74" ht="15.75" customHeight="1">
      <c r="A74" s="36">
        <v>46123.0</v>
      </c>
      <c r="B74" s="27" t="s">
        <v>108</v>
      </c>
      <c r="C74" s="6" t="str">
        <f>VLOOKUP(B74,Sheet3!$B$2:$E$311,2,FALSE)</f>
        <v>B004</v>
      </c>
      <c r="D74" s="6" t="str">
        <f>VLOOKUP(B74,Sheet3!$B$2:$E$311,3,)</f>
        <v>BAHAN BAKU LUUCA</v>
      </c>
      <c r="E74" s="19" t="str">
        <f>VLOOKUP(B74,Sheet3!$B$2:$E$311,4,)</f>
        <v>GR</v>
      </c>
      <c r="F74" s="28">
        <v>70.0</v>
      </c>
      <c r="G74" s="28" t="s">
        <v>525</v>
      </c>
      <c r="H74" s="28" t="s">
        <v>522</v>
      </c>
    </row>
    <row r="75" ht="15.75" customHeight="1">
      <c r="A75" s="36">
        <v>46123.0</v>
      </c>
      <c r="B75" s="27" t="s">
        <v>108</v>
      </c>
      <c r="C75" s="6" t="str">
        <f>VLOOKUP(B75,Sheet3!$B$2:$E$311,2,FALSE)</f>
        <v>B004</v>
      </c>
      <c r="D75" s="6" t="str">
        <f>VLOOKUP(B75,Sheet3!$B$2:$E$311,3,)</f>
        <v>BAHAN BAKU LUUCA</v>
      </c>
      <c r="E75" s="19" t="str">
        <f>VLOOKUP(B75,Sheet3!$B$2:$E$311,4,)</f>
        <v>GR</v>
      </c>
      <c r="F75" s="28">
        <v>581.0</v>
      </c>
      <c r="G75" s="28" t="s">
        <v>496</v>
      </c>
      <c r="H75" s="28" t="s">
        <v>522</v>
      </c>
    </row>
    <row r="76" ht="15.75" customHeight="1">
      <c r="A76" s="36">
        <v>46123.0</v>
      </c>
      <c r="B76" s="27" t="s">
        <v>175</v>
      </c>
      <c r="C76" s="6" t="str">
        <f>VLOOKUP(B76,Sheet3!$B$2:$E$311,2,FALSE)</f>
        <v>P006</v>
      </c>
      <c r="D76" s="6" t="str">
        <f>VLOOKUP(B76,Sheet3!$B$2:$E$311,3,)</f>
        <v>PRODUKSI STOK LUUCA</v>
      </c>
      <c r="E76" s="19" t="str">
        <f>VLOOKUP(B76,Sheet3!$B$2:$E$311,4,)</f>
        <v>GR</v>
      </c>
      <c r="F76" s="28">
        <v>382.0</v>
      </c>
      <c r="G76" s="28" t="s">
        <v>638</v>
      </c>
      <c r="H76" s="28" t="s">
        <v>522</v>
      </c>
    </row>
    <row r="77" ht="15.75" customHeight="1">
      <c r="A77" s="36">
        <v>46123.0</v>
      </c>
      <c r="B77" s="27" t="s">
        <v>175</v>
      </c>
      <c r="C77" s="6" t="str">
        <f>VLOOKUP(B77,Sheet3!$B$2:$E$311,2,FALSE)</f>
        <v>P006</v>
      </c>
      <c r="D77" s="6" t="str">
        <f>VLOOKUP(B77,Sheet3!$B$2:$E$311,3,)</f>
        <v>PRODUKSI STOK LUUCA</v>
      </c>
      <c r="E77" s="19" t="str">
        <f>VLOOKUP(B77,Sheet3!$B$2:$E$311,4,)</f>
        <v>GR</v>
      </c>
      <c r="F77" s="28">
        <v>386.0</v>
      </c>
      <c r="G77" s="28" t="s">
        <v>638</v>
      </c>
      <c r="H77" s="28" t="s">
        <v>522</v>
      </c>
    </row>
    <row r="78" ht="15.75" customHeight="1">
      <c r="A78" s="36">
        <v>46123.0</v>
      </c>
      <c r="B78" s="27" t="s">
        <v>178</v>
      </c>
      <c r="C78" s="6" t="str">
        <f>VLOOKUP(B78,Sheet3!$B$2:$E$311,2,FALSE)</f>
        <v>P006</v>
      </c>
      <c r="D78" s="6" t="str">
        <f>VLOOKUP(B78,Sheet3!$B$2:$E$311,3,)</f>
        <v>PRODUKSI STOK LUUCA</v>
      </c>
      <c r="E78" s="19" t="str">
        <f>VLOOKUP(B78,Sheet3!$B$2:$E$311,4,)</f>
        <v>GR</v>
      </c>
      <c r="F78" s="28">
        <v>241.0</v>
      </c>
      <c r="G78" s="28" t="s">
        <v>638</v>
      </c>
      <c r="H78" s="28" t="s">
        <v>522</v>
      </c>
    </row>
    <row r="79" ht="15.75" customHeight="1">
      <c r="A79" s="36">
        <v>46123.0</v>
      </c>
      <c r="B79" s="27" t="s">
        <v>30</v>
      </c>
      <c r="C79" s="6" t="str">
        <f>VLOOKUP(B79,Sheet3!$B$2:$E$311,2,FALSE)</f>
        <v>B004</v>
      </c>
      <c r="D79" s="6" t="str">
        <f>VLOOKUP(B79,Sheet3!$B$2:$E$311,3,)</f>
        <v>BAHAN BAKU LUUCA</v>
      </c>
      <c r="E79" s="28" t="s">
        <v>37</v>
      </c>
      <c r="F79" s="28">
        <v>10.0</v>
      </c>
      <c r="G79" s="28" t="s">
        <v>528</v>
      </c>
      <c r="H79" s="28" t="s">
        <v>595</v>
      </c>
    </row>
    <row r="80" ht="15.75" customHeight="1">
      <c r="A80" s="31">
        <v>46124.0</v>
      </c>
      <c r="B80" s="27" t="s">
        <v>69</v>
      </c>
      <c r="C80" s="6" t="str">
        <f>VLOOKUP(B80,Sheet3!$B$2:$E$311,2,FALSE)</f>
        <v>B004</v>
      </c>
      <c r="D80" s="6" t="str">
        <f>VLOOKUP(B80,Sheet3!$B$2:$E$311,3,)</f>
        <v>BAHAN BAKU LUUCA</v>
      </c>
      <c r="E80" s="28" t="s">
        <v>643</v>
      </c>
      <c r="F80" s="28">
        <v>11.0</v>
      </c>
      <c r="G80" s="28" t="s">
        <v>574</v>
      </c>
      <c r="H80" s="28" t="s">
        <v>595</v>
      </c>
    </row>
    <row r="81" ht="15.75" customHeight="1">
      <c r="A81" s="31">
        <v>46124.0</v>
      </c>
      <c r="B81" s="27" t="s">
        <v>53</v>
      </c>
      <c r="C81" s="6" t="str">
        <f>VLOOKUP(B81,Sheet3!$B$2:$E$311,2,FALSE)</f>
        <v>B004</v>
      </c>
      <c r="D81" s="6" t="str">
        <f>VLOOKUP(B81,Sheet3!$B$2:$E$311,3,)</f>
        <v>BAHAN BAKU LUUCA</v>
      </c>
      <c r="E81" s="19" t="str">
        <f>VLOOKUP(B81,Sheet3!$B$2:$E$311,4,)</f>
        <v>GR</v>
      </c>
      <c r="F81" s="28">
        <v>151.0</v>
      </c>
      <c r="G81" s="28" t="s">
        <v>538</v>
      </c>
      <c r="H81" s="28" t="s">
        <v>595</v>
      </c>
    </row>
    <row r="82" ht="15.75" customHeight="1">
      <c r="A82" s="31">
        <v>46124.0</v>
      </c>
      <c r="B82" s="27" t="s">
        <v>109</v>
      </c>
      <c r="C82" s="6" t="str">
        <f>VLOOKUP(B82,Sheet3!$B$2:$E$311,2,FALSE)</f>
        <v>B004</v>
      </c>
      <c r="D82" s="6" t="str">
        <f>VLOOKUP(B82,Sheet3!$B$2:$E$311,3,)</f>
        <v>BAHAN BAKU LUUCA</v>
      </c>
      <c r="E82" s="19" t="str">
        <f>VLOOKUP(B82,Sheet3!$B$2:$E$311,4,)</f>
        <v>GR</v>
      </c>
      <c r="F82" s="28">
        <v>30.0</v>
      </c>
      <c r="G82" s="28" t="s">
        <v>588</v>
      </c>
      <c r="H82" s="28" t="s">
        <v>595</v>
      </c>
    </row>
    <row r="83" ht="15.75" customHeight="1">
      <c r="A83" s="31">
        <v>46124.0</v>
      </c>
      <c r="B83" s="27" t="s">
        <v>34</v>
      </c>
      <c r="C83" s="6" t="str">
        <f>VLOOKUP(B83,Sheet3!$B$2:$E$311,2,FALSE)</f>
        <v>B004</v>
      </c>
      <c r="D83" s="6" t="str">
        <f>VLOOKUP(B83,Sheet3!$B$2:$E$311,3,)</f>
        <v>BAHAN BAKU LUUCA</v>
      </c>
      <c r="E83" s="19" t="str">
        <f>VLOOKUP(B83,Sheet3!$B$2:$E$311,4,)</f>
        <v>GR</v>
      </c>
      <c r="F83" s="28">
        <v>718.0</v>
      </c>
      <c r="G83" s="28" t="s">
        <v>591</v>
      </c>
      <c r="H83" s="28" t="s">
        <v>595</v>
      </c>
    </row>
    <row r="84" ht="15.75" customHeight="1">
      <c r="A84" s="31">
        <v>46124.0</v>
      </c>
      <c r="B84" s="27" t="s">
        <v>108</v>
      </c>
      <c r="C84" s="6" t="str">
        <f>VLOOKUP(B84,Sheet3!$B$2:$E$311,2,FALSE)</f>
        <v>B004</v>
      </c>
      <c r="D84" s="6" t="str">
        <f>VLOOKUP(B84,Sheet3!$B$2:$E$311,3,)</f>
        <v>BAHAN BAKU LUUCA</v>
      </c>
      <c r="E84" s="19" t="str">
        <f>VLOOKUP(B84,Sheet3!$B$2:$E$311,4,)</f>
        <v>GR</v>
      </c>
      <c r="F84" s="28" t="s">
        <v>646</v>
      </c>
      <c r="G84" s="28" t="s">
        <v>525</v>
      </c>
      <c r="H84" s="28" t="s">
        <v>595</v>
      </c>
    </row>
    <row r="85" ht="15.75" customHeight="1">
      <c r="A85" s="31">
        <v>46124.0</v>
      </c>
      <c r="B85" s="27" t="s">
        <v>69</v>
      </c>
      <c r="C85" s="6" t="str">
        <f>VLOOKUP(B85,Sheet3!$B$2:$E$311,2,FALSE)</f>
        <v>B004</v>
      </c>
      <c r="D85" s="6" t="str">
        <f>VLOOKUP(B85,Sheet3!$B$2:$E$311,3,)</f>
        <v>BAHAN BAKU LUUCA</v>
      </c>
      <c r="E85" s="28" t="s">
        <v>37</v>
      </c>
      <c r="F85" s="28">
        <v>5.0</v>
      </c>
      <c r="G85" s="28" t="s">
        <v>528</v>
      </c>
      <c r="H85" s="28" t="s">
        <v>561</v>
      </c>
    </row>
    <row r="86" ht="15.75" customHeight="1">
      <c r="A86" s="31">
        <v>46124.0</v>
      </c>
      <c r="B86" s="27" t="s">
        <v>181</v>
      </c>
      <c r="C86" s="6" t="str">
        <f>VLOOKUP(B86,Sheet3!$B$2:$E$311,2,FALSE)</f>
        <v>P006</v>
      </c>
      <c r="D86" s="6" t="str">
        <f>VLOOKUP(B86,Sheet3!$B$2:$E$311,3,)</f>
        <v>PRODUKSI STOK LUUCA</v>
      </c>
      <c r="E86" s="19" t="str">
        <f>VLOOKUP(B86,Sheet3!$B$2:$E$311,4,)</f>
        <v>GR</v>
      </c>
      <c r="F86" s="28">
        <v>577.0</v>
      </c>
      <c r="G86" s="28" t="s">
        <v>370</v>
      </c>
      <c r="H86" s="28" t="s">
        <v>561</v>
      </c>
    </row>
    <row r="87" ht="15.75" customHeight="1">
      <c r="A87" s="36">
        <v>46125.0</v>
      </c>
      <c r="B87" s="27" t="s">
        <v>30</v>
      </c>
      <c r="C87" s="6" t="str">
        <f>VLOOKUP(B87,Sheet3!$B$2:$E$311,2,FALSE)</f>
        <v>B004</v>
      </c>
      <c r="D87" s="6" t="str">
        <f>VLOOKUP(B87,Sheet3!$B$2:$E$311,3,)</f>
        <v>BAHAN BAKU LUUCA</v>
      </c>
      <c r="E87" s="28" t="s">
        <v>37</v>
      </c>
      <c r="F87" s="28">
        <v>5.0</v>
      </c>
      <c r="G87" s="28" t="s">
        <v>528</v>
      </c>
      <c r="H87" s="28" t="s">
        <v>561</v>
      </c>
    </row>
    <row r="88" ht="15.75" customHeight="1">
      <c r="A88" s="31">
        <v>46126.0</v>
      </c>
      <c r="B88" s="27" t="s">
        <v>53</v>
      </c>
      <c r="C88" s="6" t="str">
        <f>VLOOKUP(B88,Sheet3!$B$2:$E$311,2,FALSE)</f>
        <v>B004</v>
      </c>
      <c r="D88" s="6" t="str">
        <f>VLOOKUP(B88,Sheet3!$B$2:$E$311,3,)</f>
        <v>BAHAN BAKU LUUCA</v>
      </c>
      <c r="E88" s="19" t="str">
        <f>VLOOKUP(B88,Sheet3!$B$2:$E$311,4,)</f>
        <v>GR</v>
      </c>
      <c r="F88" s="28">
        <v>123.0</v>
      </c>
      <c r="G88" s="28" t="s">
        <v>538</v>
      </c>
      <c r="H88" s="28" t="s">
        <v>522</v>
      </c>
      <c r="I88" s="20" t="s">
        <v>647</v>
      </c>
    </row>
    <row r="89" ht="15.75" customHeight="1">
      <c r="A89" s="31">
        <v>46126.0</v>
      </c>
      <c r="B89" s="27" t="s">
        <v>30</v>
      </c>
      <c r="C89" s="6" t="str">
        <f>VLOOKUP(B89,Sheet3!$B$2:$E$311,2,FALSE)</f>
        <v>B004</v>
      </c>
      <c r="D89" s="6" t="str">
        <f>VLOOKUP(B89,Sheet3!$B$2:$E$311,3,)</f>
        <v>BAHAN BAKU LUUCA</v>
      </c>
      <c r="E89" s="28" t="s">
        <v>37</v>
      </c>
      <c r="F89" s="28">
        <v>5.0</v>
      </c>
      <c r="G89" s="28" t="s">
        <v>528</v>
      </c>
      <c r="H89" s="28" t="s">
        <v>522</v>
      </c>
      <c r="I89" s="20" t="s">
        <v>647</v>
      </c>
    </row>
    <row r="90" ht="15.75" customHeight="1">
      <c r="A90" s="31">
        <v>46126.0</v>
      </c>
      <c r="B90" s="27" t="s">
        <v>69</v>
      </c>
      <c r="C90" s="6" t="str">
        <f>VLOOKUP(B90,Sheet3!$B$2:$E$311,2,FALSE)</f>
        <v>B004</v>
      </c>
      <c r="D90" s="6" t="str">
        <f>VLOOKUP(B90,Sheet3!$B$2:$E$311,3,)</f>
        <v>BAHAN BAKU LUUCA</v>
      </c>
      <c r="E90" s="28" t="s">
        <v>37</v>
      </c>
      <c r="F90" s="28">
        <v>12.0</v>
      </c>
      <c r="G90" s="28" t="s">
        <v>574</v>
      </c>
      <c r="H90" s="28" t="s">
        <v>522</v>
      </c>
      <c r="I90" s="20" t="s">
        <v>647</v>
      </c>
    </row>
    <row r="91" ht="15.75" customHeight="1">
      <c r="A91" s="31">
        <v>46126.0</v>
      </c>
      <c r="B91" s="27" t="s">
        <v>30</v>
      </c>
      <c r="C91" s="6" t="str">
        <f>VLOOKUP(B91,Sheet3!$B$2:$E$311,2,FALSE)</f>
        <v>B004</v>
      </c>
      <c r="D91" s="6" t="str">
        <f>VLOOKUP(B91,Sheet3!$B$2:$E$311,3,)</f>
        <v>BAHAN BAKU LUUCA</v>
      </c>
      <c r="E91" s="28" t="s">
        <v>37</v>
      </c>
      <c r="F91" s="28">
        <v>12.0</v>
      </c>
      <c r="G91" s="28" t="s">
        <v>528</v>
      </c>
      <c r="H91" s="28" t="s">
        <v>522</v>
      </c>
      <c r="I91" s="20" t="s">
        <v>647</v>
      </c>
    </row>
    <row r="92" ht="15.75" customHeight="1">
      <c r="A92" s="31">
        <v>46126.0</v>
      </c>
      <c r="B92" s="27" t="s">
        <v>108</v>
      </c>
      <c r="C92" s="6" t="str">
        <f>VLOOKUP(B92,Sheet3!$B$2:$E$311,2,FALSE)</f>
        <v>B004</v>
      </c>
      <c r="D92" s="6" t="str">
        <f>VLOOKUP(B92,Sheet3!$B$2:$E$311,3,)</f>
        <v>BAHAN BAKU LUUCA</v>
      </c>
      <c r="E92" s="19" t="str">
        <f>VLOOKUP(B92,Sheet3!$B$2:$E$311,4,)</f>
        <v>GR</v>
      </c>
      <c r="F92" s="28" t="s">
        <v>654</v>
      </c>
      <c r="G92" s="28" t="s">
        <v>525</v>
      </c>
      <c r="H92" s="28" t="s">
        <v>522</v>
      </c>
      <c r="I92" s="20" t="s">
        <v>647</v>
      </c>
    </row>
    <row r="93" ht="15.75" customHeight="1">
      <c r="A93" s="31">
        <v>46126.0</v>
      </c>
      <c r="B93" s="27" t="s">
        <v>108</v>
      </c>
      <c r="C93" s="6" t="str">
        <f>VLOOKUP(B93,Sheet3!$B$2:$E$311,2,FALSE)</f>
        <v>B004</v>
      </c>
      <c r="D93" s="6" t="str">
        <f>VLOOKUP(B93,Sheet3!$B$2:$E$311,3,)</f>
        <v>BAHAN BAKU LUUCA</v>
      </c>
      <c r="E93" s="19" t="str">
        <f>VLOOKUP(B93,Sheet3!$B$2:$E$311,4,)</f>
        <v>GR</v>
      </c>
      <c r="F93" s="28" t="s">
        <v>655</v>
      </c>
      <c r="G93" s="28" t="s">
        <v>496</v>
      </c>
      <c r="H93" s="28" t="s">
        <v>541</v>
      </c>
      <c r="I93" s="20" t="s">
        <v>647</v>
      </c>
    </row>
    <row r="94" ht="15.75" customHeight="1">
      <c r="A94" s="31">
        <v>46127.0</v>
      </c>
      <c r="B94" s="27" t="s">
        <v>30</v>
      </c>
      <c r="C94" s="6" t="str">
        <f>VLOOKUP(B94,Sheet3!$B$2:$E$311,2,FALSE)</f>
        <v>B004</v>
      </c>
      <c r="D94" s="6" t="str">
        <f>VLOOKUP(B94,Sheet3!$B$2:$E$311,3,)</f>
        <v>BAHAN BAKU LUUCA</v>
      </c>
      <c r="E94" s="19" t="str">
        <f>VLOOKUP(B94,Sheet3!$B$2:$E$311,4,)</f>
        <v>GR</v>
      </c>
      <c r="F94" s="28">
        <v>9.0</v>
      </c>
      <c r="G94" s="28" t="s">
        <v>528</v>
      </c>
      <c r="H94" s="28" t="s">
        <v>561</v>
      </c>
      <c r="I94" s="20" t="s">
        <v>647</v>
      </c>
    </row>
    <row r="95" ht="15.75" customHeight="1">
      <c r="A95" s="31">
        <v>46127.0</v>
      </c>
      <c r="B95" s="27" t="s">
        <v>108</v>
      </c>
      <c r="C95" s="6" t="str">
        <f>VLOOKUP(B95,Sheet3!$B$2:$E$311,2,FALSE)</f>
        <v>B004</v>
      </c>
      <c r="D95" s="6" t="str">
        <f>VLOOKUP(B95,Sheet3!$B$2:$E$311,3,)</f>
        <v>BAHAN BAKU LUUCA</v>
      </c>
      <c r="E95" s="19" t="str">
        <f>VLOOKUP(B95,Sheet3!$B$2:$E$311,4,)</f>
        <v>GR</v>
      </c>
      <c r="F95" s="28" t="s">
        <v>590</v>
      </c>
      <c r="G95" s="28" t="s">
        <v>525</v>
      </c>
      <c r="H95" s="28" t="s">
        <v>561</v>
      </c>
      <c r="I95" s="20" t="s">
        <v>647</v>
      </c>
    </row>
    <row r="96" ht="15.75" customHeight="1">
      <c r="A96" s="31">
        <v>46127.0</v>
      </c>
      <c r="B96" s="27" t="s">
        <v>53</v>
      </c>
      <c r="C96" s="6" t="str">
        <f>VLOOKUP(B96,Sheet3!$B$2:$E$311,2,FALSE)</f>
        <v>B004</v>
      </c>
      <c r="D96" s="6" t="str">
        <f>VLOOKUP(B96,Sheet3!$B$2:$E$311,3,)</f>
        <v>BAHAN BAKU LUUCA</v>
      </c>
      <c r="E96" s="19" t="str">
        <f>VLOOKUP(B96,Sheet3!$B$2:$E$311,4,)</f>
        <v>GR</v>
      </c>
      <c r="F96" s="28" t="s">
        <v>657</v>
      </c>
      <c r="G96" s="28" t="s">
        <v>538</v>
      </c>
      <c r="H96" s="28" t="s">
        <v>629</v>
      </c>
      <c r="I96" s="20" t="s">
        <v>647</v>
      </c>
    </row>
    <row r="97" ht="15.75" customHeight="1">
      <c r="A97" s="31">
        <v>46127.0</v>
      </c>
      <c r="B97" s="27" t="s">
        <v>109</v>
      </c>
      <c r="C97" s="6" t="str">
        <f>VLOOKUP(B97,Sheet3!$B$2:$E$311,2,FALSE)</f>
        <v>B004</v>
      </c>
      <c r="D97" s="6" t="str">
        <f>VLOOKUP(B97,Sheet3!$B$2:$E$311,3,)</f>
        <v>BAHAN BAKU LUUCA</v>
      </c>
      <c r="E97" s="19" t="str">
        <f>VLOOKUP(B97,Sheet3!$B$2:$E$311,4,)</f>
        <v>GR</v>
      </c>
      <c r="F97" s="28">
        <v>5.0</v>
      </c>
      <c r="G97" s="28" t="s">
        <v>588</v>
      </c>
      <c r="H97" s="28" t="s">
        <v>629</v>
      </c>
      <c r="I97" s="20" t="s">
        <v>647</v>
      </c>
    </row>
    <row r="98" ht="15.75" customHeight="1">
      <c r="A98" s="31">
        <v>46128.0</v>
      </c>
      <c r="B98" s="27" t="s">
        <v>178</v>
      </c>
      <c r="C98" s="6" t="str">
        <f>VLOOKUP(B98,Sheet3!$B$2:$E$311,2,FALSE)</f>
        <v>P006</v>
      </c>
      <c r="D98" s="6" t="str">
        <f>VLOOKUP(B98,Sheet3!$B$2:$E$311,3,)</f>
        <v>PRODUKSI STOK LUUCA</v>
      </c>
      <c r="E98" s="19" t="str">
        <f>VLOOKUP(B98,Sheet3!$B$2:$E$311,4,)</f>
        <v>GR</v>
      </c>
      <c r="F98" s="28">
        <v>1486.0</v>
      </c>
      <c r="G98" s="28" t="s">
        <v>659</v>
      </c>
      <c r="H98" s="28" t="s">
        <v>595</v>
      </c>
      <c r="I98" s="20" t="s">
        <v>660</v>
      </c>
      <c r="J98" s="20" t="s">
        <v>661</v>
      </c>
    </row>
    <row r="99" ht="15.75" customHeight="1">
      <c r="A99" s="31">
        <v>46128.0</v>
      </c>
      <c r="B99" s="27" t="s">
        <v>30</v>
      </c>
      <c r="C99" s="6" t="str">
        <f>VLOOKUP(B99,Sheet3!$B$2:$E$311,2,FALSE)</f>
        <v>B004</v>
      </c>
      <c r="D99" s="6" t="str">
        <f>VLOOKUP(B99,Sheet3!$B$2:$E$311,3,)</f>
        <v>BAHAN BAKU LUUCA</v>
      </c>
      <c r="E99" s="28" t="s">
        <v>37</v>
      </c>
      <c r="F99" s="28">
        <v>3.0</v>
      </c>
      <c r="G99" s="28" t="s">
        <v>528</v>
      </c>
      <c r="H99" s="28" t="s">
        <v>553</v>
      </c>
      <c r="I99" s="20" t="s">
        <v>662</v>
      </c>
    </row>
    <row r="100" ht="15.75" customHeight="1">
      <c r="A100" s="31">
        <v>46128.0</v>
      </c>
      <c r="B100" s="27" t="s">
        <v>186</v>
      </c>
      <c r="C100" s="6" t="str">
        <f>VLOOKUP(B100,Sheet3!$B$2:$E$311,2,FALSE)</f>
        <v>P006</v>
      </c>
      <c r="D100" s="6" t="str">
        <f>VLOOKUP(B100,Sheet3!$B$2:$E$311,3,)</f>
        <v>PRODUKSI STOK LUUCA</v>
      </c>
      <c r="E100" s="19" t="str">
        <f>VLOOKUP(B100,Sheet3!$B$2:$E$311,4,)</f>
        <v>GR</v>
      </c>
      <c r="F100" s="28">
        <v>190.0</v>
      </c>
      <c r="G100" s="28" t="s">
        <v>370</v>
      </c>
      <c r="H100" s="28" t="s">
        <v>595</v>
      </c>
      <c r="I100" s="20" t="s">
        <v>647</v>
      </c>
    </row>
    <row r="101" ht="15.75" customHeight="1">
      <c r="A101" s="31">
        <v>46128.0</v>
      </c>
      <c r="B101" s="27" t="s">
        <v>53</v>
      </c>
      <c r="C101" s="6" t="str">
        <f>VLOOKUP(B101,Sheet3!$B$2:$E$311,2,FALSE)</f>
        <v>B004</v>
      </c>
      <c r="D101" s="6" t="str">
        <f>VLOOKUP(B101,Sheet3!$B$2:$E$311,3,)</f>
        <v>BAHAN BAKU LUUCA</v>
      </c>
      <c r="E101" s="19" t="str">
        <f>VLOOKUP(B101,Sheet3!$B$2:$E$311,4,)</f>
        <v>GR</v>
      </c>
      <c r="F101" s="28" t="s">
        <v>664</v>
      </c>
      <c r="G101" s="28" t="s">
        <v>538</v>
      </c>
      <c r="H101" s="28" t="s">
        <v>541</v>
      </c>
      <c r="I101" s="20" t="s">
        <v>647</v>
      </c>
    </row>
    <row r="102" ht="15.75" customHeight="1">
      <c r="A102" s="31">
        <v>46128.0</v>
      </c>
      <c r="B102" s="27" t="s">
        <v>53</v>
      </c>
      <c r="C102" s="6" t="str">
        <f>VLOOKUP(B102,Sheet3!$B$2:$E$311,2,FALSE)</f>
        <v>B004</v>
      </c>
      <c r="D102" s="6" t="str">
        <f>VLOOKUP(B102,Sheet3!$B$2:$E$311,3,)</f>
        <v>BAHAN BAKU LUUCA</v>
      </c>
      <c r="E102" s="19" t="str">
        <f>VLOOKUP(B102,Sheet3!$B$2:$E$311,4,)</f>
        <v>GR</v>
      </c>
      <c r="F102" s="28">
        <v>19.0</v>
      </c>
      <c r="G102" s="28" t="s">
        <v>496</v>
      </c>
      <c r="H102" s="28" t="s">
        <v>541</v>
      </c>
      <c r="I102" s="20" t="s">
        <v>647</v>
      </c>
    </row>
    <row r="103" ht="15.75" customHeight="1">
      <c r="A103" s="31">
        <v>46129.0</v>
      </c>
      <c r="B103" s="27" t="s">
        <v>109</v>
      </c>
      <c r="C103" s="6" t="str">
        <f>VLOOKUP(B103,Sheet3!$B$2:$E$311,2,FALSE)</f>
        <v>B004</v>
      </c>
      <c r="D103" s="6" t="str">
        <f>VLOOKUP(B103,Sheet3!$B$2:$E$311,3,)</f>
        <v>BAHAN BAKU LUUCA</v>
      </c>
      <c r="E103" s="19" t="str">
        <f>VLOOKUP(B103,Sheet3!$B$2:$E$311,4,)</f>
        <v>GR</v>
      </c>
      <c r="F103" s="28" t="s">
        <v>667</v>
      </c>
      <c r="G103" s="28" t="s">
        <v>588</v>
      </c>
      <c r="H103" s="28" t="s">
        <v>541</v>
      </c>
      <c r="I103" s="20" t="s">
        <v>647</v>
      </c>
    </row>
    <row r="104" ht="15.75" customHeight="1">
      <c r="A104" s="31">
        <v>46129.0</v>
      </c>
      <c r="B104" s="27" t="s">
        <v>33</v>
      </c>
      <c r="C104" s="6" t="str">
        <f>VLOOKUP(B104,Sheet3!$B$2:$E$311,2,FALSE)</f>
        <v>B004</v>
      </c>
      <c r="D104" s="6" t="str">
        <f>VLOOKUP(B104,Sheet3!$B$2:$E$311,3,)</f>
        <v>BAHAN BAKU LUUCA</v>
      </c>
      <c r="E104" s="19" t="str">
        <f>VLOOKUP(B104,Sheet3!$B$2:$E$311,4,)</f>
        <v>GR</v>
      </c>
      <c r="F104" s="28" t="s">
        <v>668</v>
      </c>
      <c r="G104" s="28" t="s">
        <v>591</v>
      </c>
      <c r="H104" s="28" t="s">
        <v>541</v>
      </c>
      <c r="I104" s="20" t="s">
        <v>647</v>
      </c>
    </row>
    <row r="105" ht="15.75" customHeight="1">
      <c r="A105" s="31">
        <v>46129.0</v>
      </c>
      <c r="B105" s="27" t="s">
        <v>34</v>
      </c>
      <c r="C105" s="6" t="str">
        <f>VLOOKUP(B105,Sheet3!$B$2:$E$311,2,FALSE)</f>
        <v>B004</v>
      </c>
      <c r="D105" s="6" t="str">
        <f>VLOOKUP(B105,Sheet3!$B$2:$E$311,3,)</f>
        <v>BAHAN BAKU LUUCA</v>
      </c>
      <c r="E105" s="19" t="str">
        <f>VLOOKUP(B105,Sheet3!$B$2:$E$311,4,)</f>
        <v>GR</v>
      </c>
      <c r="F105" s="28">
        <v>402.0</v>
      </c>
      <c r="G105" s="28" t="s">
        <v>591</v>
      </c>
      <c r="H105" s="28" t="s">
        <v>541</v>
      </c>
      <c r="I105" s="20" t="s">
        <v>647</v>
      </c>
    </row>
    <row r="106" ht="15.75" customHeight="1">
      <c r="A106" s="31">
        <v>46129.0</v>
      </c>
      <c r="B106" s="27" t="s">
        <v>570</v>
      </c>
      <c r="C106" s="6" t="str">
        <f>VLOOKUP(B106,Sheet3!$B$2:$E$311,2,FALSE)</f>
        <v>#N/A</v>
      </c>
      <c r="D106" s="6" t="str">
        <f>VLOOKUP(B106,Sheet3!$B$2:$E$311,3,)</f>
        <v>#N/A</v>
      </c>
      <c r="E106" s="28" t="s">
        <v>17</v>
      </c>
      <c r="F106" s="28">
        <v>138.0</v>
      </c>
      <c r="G106" s="28" t="s">
        <v>572</v>
      </c>
      <c r="H106" s="28" t="s">
        <v>541</v>
      </c>
      <c r="I106" s="20" t="s">
        <v>647</v>
      </c>
    </row>
    <row r="107" ht="15.75" customHeight="1">
      <c r="A107" s="31">
        <v>46129.0</v>
      </c>
      <c r="B107" s="27" t="s">
        <v>175</v>
      </c>
      <c r="C107" s="6" t="str">
        <f>VLOOKUP(B107,Sheet3!$B$2:$E$311,2,FALSE)</f>
        <v>P006</v>
      </c>
      <c r="D107" s="6" t="str">
        <f>VLOOKUP(B107,Sheet3!$B$2:$E$311,3,)</f>
        <v>PRODUKSI STOK LUUCA</v>
      </c>
      <c r="E107" s="19" t="str">
        <f>VLOOKUP(B107,Sheet3!$B$2:$E$311,4,)</f>
        <v>GR</v>
      </c>
      <c r="F107" s="28" t="s">
        <v>672</v>
      </c>
      <c r="G107" s="28" t="s">
        <v>638</v>
      </c>
      <c r="H107" s="28" t="s">
        <v>541</v>
      </c>
      <c r="I107" s="20" t="s">
        <v>647</v>
      </c>
    </row>
    <row r="108" ht="15.75" customHeight="1">
      <c r="A108" s="31">
        <v>46129.0</v>
      </c>
      <c r="B108" s="27" t="s">
        <v>30</v>
      </c>
      <c r="C108" s="6" t="str">
        <f>VLOOKUP(B108,Sheet3!$B$2:$E$311,2,FALSE)</f>
        <v>B004</v>
      </c>
      <c r="D108" s="6" t="str">
        <f>VLOOKUP(B108,Sheet3!$B$2:$E$311,3,)</f>
        <v>BAHAN BAKU LUUCA</v>
      </c>
      <c r="E108" s="28" t="s">
        <v>37</v>
      </c>
      <c r="F108" s="28">
        <v>9.0</v>
      </c>
      <c r="G108" s="28" t="s">
        <v>528</v>
      </c>
      <c r="H108" s="28" t="s">
        <v>553</v>
      </c>
      <c r="I108" s="20" t="s">
        <v>673</v>
      </c>
      <c r="J108" s="20" t="s">
        <v>661</v>
      </c>
    </row>
    <row r="109" ht="15.75" customHeight="1">
      <c r="A109" s="31">
        <v>46129.0</v>
      </c>
      <c r="B109" s="27" t="s">
        <v>30</v>
      </c>
      <c r="C109" s="6" t="str">
        <f>VLOOKUP(B109,Sheet3!$B$2:$E$311,2,FALSE)</f>
        <v>B004</v>
      </c>
      <c r="D109" s="6" t="str">
        <f>VLOOKUP(B109,Sheet3!$B$2:$E$311,3,)</f>
        <v>BAHAN BAKU LUUCA</v>
      </c>
      <c r="E109" s="28" t="s">
        <v>37</v>
      </c>
      <c r="F109" s="28">
        <v>7.0</v>
      </c>
      <c r="G109" s="28" t="s">
        <v>528</v>
      </c>
      <c r="H109" s="28" t="s">
        <v>553</v>
      </c>
      <c r="I109" s="20" t="s">
        <v>647</v>
      </c>
    </row>
    <row r="110" ht="15.75" customHeight="1">
      <c r="A110" s="31">
        <v>46129.0</v>
      </c>
      <c r="B110" s="27" t="s">
        <v>108</v>
      </c>
      <c r="C110" s="6" t="str">
        <f>VLOOKUP(B110,Sheet3!$B$2:$E$311,2,FALSE)</f>
        <v>B004</v>
      </c>
      <c r="D110" s="6" t="str">
        <f>VLOOKUP(B110,Sheet3!$B$2:$E$311,3,)</f>
        <v>BAHAN BAKU LUUCA</v>
      </c>
      <c r="E110" s="19" t="str">
        <f>VLOOKUP(B110,Sheet3!$B$2:$E$311,4,)</f>
        <v>GR</v>
      </c>
      <c r="F110" s="28">
        <v>11.0</v>
      </c>
      <c r="G110" s="28" t="s">
        <v>525</v>
      </c>
      <c r="H110" s="28" t="s">
        <v>553</v>
      </c>
      <c r="I110" s="20" t="s">
        <v>647</v>
      </c>
    </row>
    <row r="111" ht="15.75" customHeight="1">
      <c r="A111" s="31">
        <v>46129.0</v>
      </c>
      <c r="B111" s="27" t="s">
        <v>34</v>
      </c>
      <c r="C111" s="6" t="str">
        <f>VLOOKUP(B111,Sheet3!$B$2:$E$311,2,FALSE)</f>
        <v>B004</v>
      </c>
      <c r="D111" s="6" t="str">
        <f>VLOOKUP(B111,Sheet3!$B$2:$E$311,3,)</f>
        <v>BAHAN BAKU LUUCA</v>
      </c>
      <c r="E111" s="19" t="str">
        <f>VLOOKUP(B111,Sheet3!$B$2:$E$311,4,)</f>
        <v>GR</v>
      </c>
      <c r="F111" s="28">
        <v>221.0</v>
      </c>
      <c r="G111" s="28" t="s">
        <v>591</v>
      </c>
      <c r="H111" s="28" t="s">
        <v>553</v>
      </c>
      <c r="I111" s="20" t="s">
        <v>647</v>
      </c>
    </row>
    <row r="112" ht="15.75" customHeight="1">
      <c r="A112" s="31">
        <v>46129.0</v>
      </c>
      <c r="B112" s="27" t="s">
        <v>77</v>
      </c>
      <c r="C112" s="6" t="str">
        <f>VLOOKUP(B112,Sheet3!$B$2:$E$311,2,FALSE)</f>
        <v>B004</v>
      </c>
      <c r="D112" s="6" t="str">
        <f>VLOOKUP(B112,Sheet3!$B$2:$E$311,3,)</f>
        <v>BAHAN BAKU LUUCA</v>
      </c>
      <c r="E112" s="19" t="str">
        <f>VLOOKUP(B112,Sheet3!$B$2:$E$311,4,)</f>
        <v>PCS</v>
      </c>
      <c r="F112" s="28">
        <v>1.0</v>
      </c>
      <c r="G112" s="28" t="s">
        <v>674</v>
      </c>
      <c r="H112" s="28" t="s">
        <v>522</v>
      </c>
      <c r="I112" s="20" t="s">
        <v>647</v>
      </c>
    </row>
    <row r="113" ht="15.75" customHeight="1">
      <c r="A113" s="31">
        <v>46129.0</v>
      </c>
      <c r="B113" s="27" t="s">
        <v>53</v>
      </c>
      <c r="C113" s="6" t="str">
        <f>VLOOKUP(B113,Sheet3!$B$2:$E$311,2,FALSE)</f>
        <v>B004</v>
      </c>
      <c r="D113" s="6" t="str">
        <f>VLOOKUP(B113,Sheet3!$B$2:$E$311,3,)</f>
        <v>BAHAN BAKU LUUCA</v>
      </c>
      <c r="E113" s="19" t="str">
        <f>VLOOKUP(B113,Sheet3!$B$2:$E$311,4,)</f>
        <v>GR</v>
      </c>
      <c r="F113" s="28">
        <v>64.0</v>
      </c>
      <c r="G113" s="28" t="s">
        <v>538</v>
      </c>
      <c r="H113" s="28" t="s">
        <v>522</v>
      </c>
      <c r="I113" s="20" t="s">
        <v>647</v>
      </c>
    </row>
    <row r="114" ht="15.75" customHeight="1">
      <c r="A114" s="31">
        <v>46129.0</v>
      </c>
      <c r="B114" s="27" t="s">
        <v>53</v>
      </c>
      <c r="C114" s="6" t="str">
        <f>VLOOKUP(B114,Sheet3!$B$2:$E$311,2,FALSE)</f>
        <v>B004</v>
      </c>
      <c r="D114" s="6" t="str">
        <f>VLOOKUP(B114,Sheet3!$B$2:$E$311,3,)</f>
        <v>BAHAN BAKU LUUCA</v>
      </c>
      <c r="E114" s="19" t="str">
        <f>VLOOKUP(B114,Sheet3!$B$2:$E$311,4,)</f>
        <v>GR</v>
      </c>
      <c r="F114" s="28" t="s">
        <v>677</v>
      </c>
      <c r="G114" s="28" t="s">
        <v>496</v>
      </c>
      <c r="H114" s="28" t="s">
        <v>522</v>
      </c>
      <c r="I114" s="20" t="s">
        <v>678</v>
      </c>
      <c r="J114" s="20" t="s">
        <v>661</v>
      </c>
    </row>
    <row r="115" ht="15.75" customHeight="1">
      <c r="A115" s="31">
        <v>46129.0</v>
      </c>
      <c r="B115" s="27" t="s">
        <v>108</v>
      </c>
      <c r="C115" s="6" t="str">
        <f>VLOOKUP(B115,Sheet3!$B$2:$E$311,2,FALSE)</f>
        <v>B004</v>
      </c>
      <c r="D115" s="6" t="str">
        <f>VLOOKUP(B115,Sheet3!$B$2:$E$311,3,)</f>
        <v>BAHAN BAKU LUUCA</v>
      </c>
      <c r="E115" s="19" t="str">
        <f>VLOOKUP(B115,Sheet3!$B$2:$E$311,4,)</f>
        <v>GR</v>
      </c>
      <c r="F115" s="28" t="s">
        <v>679</v>
      </c>
      <c r="G115" s="28" t="s">
        <v>496</v>
      </c>
      <c r="H115" s="28" t="s">
        <v>522</v>
      </c>
      <c r="I115" s="20" t="s">
        <v>681</v>
      </c>
      <c r="J115" s="20" t="s">
        <v>661</v>
      </c>
    </row>
    <row r="116" ht="15.75" customHeight="1">
      <c r="A116" s="31">
        <v>46129.0</v>
      </c>
      <c r="B116" s="27" t="s">
        <v>108</v>
      </c>
      <c r="C116" s="6" t="str">
        <f>VLOOKUP(B116,Sheet3!$B$2:$E$311,2,FALSE)</f>
        <v>B004</v>
      </c>
      <c r="D116" s="6" t="str">
        <f>VLOOKUP(B116,Sheet3!$B$2:$E$311,3,)</f>
        <v>BAHAN BAKU LUUCA</v>
      </c>
      <c r="E116" s="19" t="str">
        <f>VLOOKUP(B116,Sheet3!$B$2:$E$311,4,)</f>
        <v>GR</v>
      </c>
      <c r="F116" s="28" t="s">
        <v>682</v>
      </c>
      <c r="G116" s="28" t="s">
        <v>525</v>
      </c>
      <c r="H116" s="28" t="s">
        <v>522</v>
      </c>
      <c r="I116" s="20" t="s">
        <v>647</v>
      </c>
    </row>
    <row r="117" ht="15.75" customHeight="1">
      <c r="A117" s="26">
        <v>46130.0</v>
      </c>
      <c r="B117" s="27" t="s">
        <v>570</v>
      </c>
      <c r="C117" s="6"/>
      <c r="D117" s="6"/>
      <c r="E117" s="28" t="s">
        <v>17</v>
      </c>
      <c r="F117" s="28" t="s">
        <v>683</v>
      </c>
      <c r="G117" s="28" t="s">
        <v>572</v>
      </c>
      <c r="H117" s="28" t="s">
        <v>615</v>
      </c>
      <c r="I117" s="20" t="s">
        <v>684</v>
      </c>
      <c r="J117" s="20" t="s">
        <v>661</v>
      </c>
    </row>
    <row r="118" ht="15.75" customHeight="1">
      <c r="A118" s="23"/>
      <c r="B118" s="27" t="s">
        <v>53</v>
      </c>
      <c r="C118" s="6" t="str">
        <f>VLOOKUP(B118,Sheet3!$B$2:$E$311,2,FALSE)</f>
        <v>B004</v>
      </c>
      <c r="D118" s="6" t="str">
        <f>VLOOKUP(B118,Sheet3!$B$2:$E$311,3,)</f>
        <v>BAHAN BAKU LUUCA</v>
      </c>
      <c r="E118" s="19" t="str">
        <f>VLOOKUP(B118,Sheet3!$B$2:$E$311,4,)</f>
        <v>GR</v>
      </c>
      <c r="F118" s="28" t="s">
        <v>685</v>
      </c>
      <c r="G118" s="28" t="s">
        <v>496</v>
      </c>
      <c r="H118" s="28" t="s">
        <v>541</v>
      </c>
      <c r="I118" s="20" t="s">
        <v>647</v>
      </c>
    </row>
    <row r="119" ht="15.75" customHeight="1">
      <c r="A119" s="23"/>
      <c r="B119" s="27" t="s">
        <v>53</v>
      </c>
      <c r="C119" s="6" t="str">
        <f>VLOOKUP(B119,Sheet3!$B$2:$E$311,2,FALSE)</f>
        <v>B004</v>
      </c>
      <c r="D119" s="6" t="str">
        <f>VLOOKUP(B119,Sheet3!$B$2:$E$311,3,)</f>
        <v>BAHAN BAKU LUUCA</v>
      </c>
      <c r="E119" s="19" t="str">
        <f>VLOOKUP(B119,Sheet3!$B$2:$E$311,4,)</f>
        <v>GR</v>
      </c>
      <c r="F119" s="28" t="s">
        <v>687</v>
      </c>
      <c r="G119" s="28" t="s">
        <v>538</v>
      </c>
      <c r="H119" s="28" t="s">
        <v>541</v>
      </c>
      <c r="I119" s="20" t="s">
        <v>647</v>
      </c>
    </row>
    <row r="120" ht="15.75" customHeight="1">
      <c r="A120" s="23"/>
      <c r="B120" s="27" t="s">
        <v>108</v>
      </c>
      <c r="C120" s="6" t="str">
        <f>VLOOKUP(B120,Sheet3!$B$2:$E$311,2,FALSE)</f>
        <v>B004</v>
      </c>
      <c r="D120" s="6" t="str">
        <f>VLOOKUP(B120,Sheet3!$B$2:$E$311,3,)</f>
        <v>BAHAN BAKU LUUCA</v>
      </c>
      <c r="E120" s="19" t="str">
        <f>VLOOKUP(B120,Sheet3!$B$2:$E$311,4,)</f>
        <v>GR</v>
      </c>
      <c r="F120" s="28" t="s">
        <v>690</v>
      </c>
      <c r="G120" s="28" t="s">
        <v>525</v>
      </c>
      <c r="H120" s="28" t="s">
        <v>541</v>
      </c>
      <c r="I120" s="20" t="s">
        <v>691</v>
      </c>
      <c r="J120" s="20" t="s">
        <v>661</v>
      </c>
    </row>
    <row r="121" ht="15.75" customHeight="1">
      <c r="A121" s="23"/>
      <c r="B121" s="27" t="s">
        <v>30</v>
      </c>
      <c r="C121" s="6" t="str">
        <f>VLOOKUP(B121,Sheet3!$B$2:$E$311,2,FALSE)</f>
        <v>B004</v>
      </c>
      <c r="D121" s="6" t="str">
        <f>VLOOKUP(B121,Sheet3!$B$2:$E$311,3,)</f>
        <v>BAHAN BAKU LUUCA</v>
      </c>
      <c r="E121" s="28" t="s">
        <v>37</v>
      </c>
      <c r="F121" s="28">
        <v>16.0</v>
      </c>
      <c r="G121" s="28" t="s">
        <v>528</v>
      </c>
      <c r="H121" s="28" t="s">
        <v>541</v>
      </c>
      <c r="I121" s="20" t="s">
        <v>647</v>
      </c>
    </row>
    <row r="122" ht="15.75" customHeight="1">
      <c r="A122" s="23"/>
      <c r="B122" s="27" t="s">
        <v>34</v>
      </c>
      <c r="C122" s="6" t="str">
        <f>VLOOKUP(B122,Sheet3!$B$2:$E$311,2,FALSE)</f>
        <v>B004</v>
      </c>
      <c r="D122" s="6" t="str">
        <f>VLOOKUP(B122,Sheet3!$B$2:$E$311,3,)</f>
        <v>BAHAN BAKU LUUCA</v>
      </c>
      <c r="E122" s="19" t="str">
        <f>VLOOKUP(B122,Sheet3!$B$2:$E$311,4,)</f>
        <v>GR</v>
      </c>
      <c r="F122" s="28">
        <v>1167.0</v>
      </c>
      <c r="G122" s="28" t="s">
        <v>591</v>
      </c>
      <c r="H122" s="28" t="s">
        <v>541</v>
      </c>
      <c r="I122" s="20" t="s">
        <v>647</v>
      </c>
    </row>
    <row r="123" ht="15.75" customHeight="1">
      <c r="A123" s="23"/>
      <c r="B123" s="27" t="s">
        <v>33</v>
      </c>
      <c r="C123" s="6" t="str">
        <f>VLOOKUP(B123,Sheet3!$B$2:$E$311,2,FALSE)</f>
        <v>B004</v>
      </c>
      <c r="D123" s="6" t="str">
        <f>VLOOKUP(B123,Sheet3!$B$2:$E$311,3,)</f>
        <v>BAHAN BAKU LUUCA</v>
      </c>
      <c r="E123" s="19" t="str">
        <f>VLOOKUP(B123,Sheet3!$B$2:$E$311,4,)</f>
        <v>GR</v>
      </c>
      <c r="F123" s="28">
        <v>678.0</v>
      </c>
      <c r="G123" s="28" t="s">
        <v>591</v>
      </c>
      <c r="H123" s="28" t="s">
        <v>541</v>
      </c>
      <c r="I123" s="20" t="s">
        <v>647</v>
      </c>
    </row>
    <row r="124" ht="15.75" customHeight="1">
      <c r="A124" s="23"/>
      <c r="B124" s="27" t="s">
        <v>109</v>
      </c>
      <c r="C124" s="6" t="str">
        <f>VLOOKUP(B124,Sheet3!$B$2:$E$311,2,FALSE)</f>
        <v>B004</v>
      </c>
      <c r="D124" s="6" t="str">
        <f>VLOOKUP(B124,Sheet3!$B$2:$E$311,3,)</f>
        <v>BAHAN BAKU LUUCA</v>
      </c>
      <c r="E124" s="19" t="str">
        <f>VLOOKUP(B124,Sheet3!$B$2:$E$311,4,)</f>
        <v>GR</v>
      </c>
      <c r="F124" s="28" t="s">
        <v>694</v>
      </c>
      <c r="G124" s="28" t="s">
        <v>588</v>
      </c>
      <c r="H124" s="28" t="s">
        <v>522</v>
      </c>
      <c r="I124" s="20" t="s">
        <v>695</v>
      </c>
      <c r="J124" s="20" t="s">
        <v>661</v>
      </c>
    </row>
    <row r="125" ht="15.75" customHeight="1">
      <c r="A125" s="23"/>
      <c r="B125" s="27" t="s">
        <v>53</v>
      </c>
      <c r="C125" s="6" t="str">
        <f>VLOOKUP(B125,Sheet3!$B$2:$E$311,2,FALSE)</f>
        <v>B004</v>
      </c>
      <c r="D125" s="6" t="str">
        <f>VLOOKUP(B125,Sheet3!$B$2:$E$311,3,)</f>
        <v>BAHAN BAKU LUUCA</v>
      </c>
      <c r="E125" s="19" t="str">
        <f>VLOOKUP(B125,Sheet3!$B$2:$E$311,4,)</f>
        <v>GR</v>
      </c>
      <c r="F125" s="28" t="s">
        <v>697</v>
      </c>
      <c r="G125" s="28" t="s">
        <v>538</v>
      </c>
      <c r="H125" s="27" t="s">
        <v>522</v>
      </c>
      <c r="I125" s="20" t="s">
        <v>698</v>
      </c>
      <c r="J125" s="20" t="s">
        <v>661</v>
      </c>
    </row>
    <row r="126" ht="15.75" customHeight="1">
      <c r="A126" s="23"/>
      <c r="B126" s="27" t="s">
        <v>570</v>
      </c>
      <c r="C126" s="23"/>
      <c r="D126" s="23"/>
      <c r="E126" s="23"/>
      <c r="F126" s="28" t="s">
        <v>700</v>
      </c>
      <c r="G126" s="28" t="s">
        <v>572</v>
      </c>
      <c r="H126" s="27" t="s">
        <v>522</v>
      </c>
      <c r="I126" s="20" t="s">
        <v>701</v>
      </c>
      <c r="J126" s="20" t="s">
        <v>661</v>
      </c>
    </row>
    <row r="127" ht="15.75" customHeight="1">
      <c r="A127" s="29">
        <v>46131.0</v>
      </c>
      <c r="B127" s="27" t="s">
        <v>34</v>
      </c>
      <c r="C127" s="6" t="str">
        <f>VLOOKUP(B127,Sheet3!$B$2:$E$311,2,FALSE)</f>
        <v>B004</v>
      </c>
      <c r="D127" s="6" t="str">
        <f>VLOOKUP(B127,Sheet3!$B$2:$E$311,3,)</f>
        <v>BAHAN BAKU LUUCA</v>
      </c>
      <c r="E127" s="19" t="str">
        <f>VLOOKUP(B127,Sheet3!$B$2:$E$311,4,)</f>
        <v>GR</v>
      </c>
      <c r="F127" s="28">
        <v>557.0</v>
      </c>
      <c r="G127" s="28" t="s">
        <v>703</v>
      </c>
      <c r="H127" s="27" t="s">
        <v>541</v>
      </c>
      <c r="I127" s="20" t="s">
        <v>647</v>
      </c>
    </row>
    <row r="128" ht="15.75" customHeight="1">
      <c r="A128" s="23"/>
      <c r="B128" s="27" t="s">
        <v>34</v>
      </c>
      <c r="C128" s="6" t="str">
        <f>VLOOKUP(B128,Sheet3!$B$2:$E$311,2,FALSE)</f>
        <v>B004</v>
      </c>
      <c r="D128" s="6" t="str">
        <f>VLOOKUP(B128,Sheet3!$B$2:$E$311,3,)</f>
        <v>BAHAN BAKU LUUCA</v>
      </c>
      <c r="E128" s="19" t="str">
        <f>VLOOKUP(B128,Sheet3!$B$2:$E$311,4,)</f>
        <v>GR</v>
      </c>
      <c r="F128" s="28" t="s">
        <v>705</v>
      </c>
      <c r="G128" s="28" t="s">
        <v>703</v>
      </c>
      <c r="H128" s="27" t="s">
        <v>541</v>
      </c>
      <c r="I128" s="20" t="s">
        <v>647</v>
      </c>
    </row>
    <row r="129" ht="15.75" customHeight="1">
      <c r="A129" s="23"/>
      <c r="B129" s="27" t="s">
        <v>33</v>
      </c>
      <c r="C129" s="6" t="str">
        <f>VLOOKUP(B129,Sheet3!$B$2:$E$311,2,FALSE)</f>
        <v>B004</v>
      </c>
      <c r="D129" s="6" t="str">
        <f>VLOOKUP(B129,Sheet3!$B$2:$E$311,3,)</f>
        <v>BAHAN BAKU LUUCA</v>
      </c>
      <c r="E129" s="19" t="str">
        <f>VLOOKUP(B129,Sheet3!$B$2:$E$311,4,)</f>
        <v>GR</v>
      </c>
      <c r="F129" s="28" t="s">
        <v>707</v>
      </c>
      <c r="G129" s="28" t="s">
        <v>703</v>
      </c>
      <c r="H129" s="27" t="s">
        <v>541</v>
      </c>
      <c r="I129" s="20" t="s">
        <v>647</v>
      </c>
    </row>
    <row r="130" ht="15.75" customHeight="1">
      <c r="A130" s="23"/>
      <c r="B130" s="27" t="s">
        <v>53</v>
      </c>
      <c r="C130" s="6" t="str">
        <f>VLOOKUP(B130,Sheet3!$B$2:$E$311,2,FALSE)</f>
        <v>B004</v>
      </c>
      <c r="D130" s="6" t="str">
        <f>VLOOKUP(B130,Sheet3!$B$2:$E$311,3,)</f>
        <v>BAHAN BAKU LUUCA</v>
      </c>
      <c r="E130" s="19" t="str">
        <f>VLOOKUP(B130,Sheet3!$B$2:$E$311,4,)</f>
        <v>GR</v>
      </c>
      <c r="F130" s="28">
        <v>59.0</v>
      </c>
      <c r="G130" s="28" t="s">
        <v>709</v>
      </c>
      <c r="H130" s="27" t="s">
        <v>561</v>
      </c>
      <c r="I130" s="20" t="s">
        <v>647</v>
      </c>
    </row>
    <row r="131" ht="15.75" customHeight="1">
      <c r="A131" s="23"/>
      <c r="B131" s="27" t="s">
        <v>30</v>
      </c>
      <c r="C131" s="6" t="str">
        <f>VLOOKUP(B131,Sheet3!$B$2:$E$311,2,FALSE)</f>
        <v>B004</v>
      </c>
      <c r="D131" s="6" t="str">
        <f>VLOOKUP(B131,Sheet3!$B$2:$E$311,3,)</f>
        <v>BAHAN BAKU LUUCA</v>
      </c>
      <c r="E131" s="28" t="s">
        <v>37</v>
      </c>
      <c r="F131" s="28">
        <v>7.0</v>
      </c>
      <c r="G131" s="28" t="s">
        <v>528</v>
      </c>
      <c r="H131" s="27" t="s">
        <v>561</v>
      </c>
      <c r="I131" s="20" t="s">
        <v>647</v>
      </c>
    </row>
    <row r="132" ht="15.75" customHeight="1">
      <c r="A132" s="27" t="s">
        <v>711</v>
      </c>
      <c r="B132" s="27" t="s">
        <v>30</v>
      </c>
      <c r="C132" s="6" t="str">
        <f>VLOOKUP(B132,Sheet3!$B$2:$E$311,2,FALSE)</f>
        <v>B004</v>
      </c>
      <c r="D132" s="6" t="str">
        <f>VLOOKUP(B132,Sheet3!$B$2:$E$311,3,)</f>
        <v>BAHAN BAKU LUUCA</v>
      </c>
      <c r="E132" s="19" t="str">
        <f>VLOOKUP(B132,Sheet3!$B$2:$E$311,4,)</f>
        <v>GR</v>
      </c>
      <c r="F132" s="28">
        <v>7.0</v>
      </c>
      <c r="G132" s="28" t="s">
        <v>528</v>
      </c>
      <c r="H132" s="27" t="s">
        <v>561</v>
      </c>
      <c r="I132" s="20" t="s">
        <v>647</v>
      </c>
    </row>
    <row r="133" ht="15.75" customHeight="1">
      <c r="A133" s="23"/>
      <c r="B133" s="27" t="s">
        <v>108</v>
      </c>
      <c r="C133" s="6" t="str">
        <f>VLOOKUP(B133,Sheet3!$B$2:$E$311,2,FALSE)</f>
        <v>B004</v>
      </c>
      <c r="D133" s="6" t="str">
        <f>VLOOKUP(B133,Sheet3!$B$2:$E$311,3,)</f>
        <v>BAHAN BAKU LUUCA</v>
      </c>
      <c r="E133" s="19" t="str">
        <f>VLOOKUP(B133,Sheet3!$B$2:$E$311,4,)</f>
        <v>GR</v>
      </c>
      <c r="F133" s="28" t="s">
        <v>608</v>
      </c>
      <c r="G133" s="28" t="s">
        <v>525</v>
      </c>
      <c r="H133" s="27" t="s">
        <v>561</v>
      </c>
      <c r="I133" s="20" t="s">
        <v>712</v>
      </c>
      <c r="J133" s="20" t="s">
        <v>661</v>
      </c>
    </row>
    <row r="134" ht="15.75" customHeight="1">
      <c r="A134" s="23"/>
      <c r="B134" s="27" t="s">
        <v>108</v>
      </c>
      <c r="C134" s="6" t="str">
        <f>VLOOKUP(B134,Sheet3!$B$2:$E$311,2,FALSE)</f>
        <v>B004</v>
      </c>
      <c r="D134" s="6" t="str">
        <f>VLOOKUP(B134,Sheet3!$B$2:$E$311,3,)</f>
        <v>BAHAN BAKU LUUCA</v>
      </c>
      <c r="E134" s="19" t="str">
        <f>VLOOKUP(B134,Sheet3!$B$2:$E$311,4,)</f>
        <v>GR</v>
      </c>
      <c r="F134" s="28" t="s">
        <v>713</v>
      </c>
      <c r="G134" s="28" t="s">
        <v>525</v>
      </c>
      <c r="H134" s="27" t="s">
        <v>561</v>
      </c>
      <c r="I134" s="20" t="s">
        <v>714</v>
      </c>
      <c r="J134" s="20" t="s">
        <v>661</v>
      </c>
    </row>
    <row r="135" ht="15.75" customHeight="1">
      <c r="A135" s="23"/>
      <c r="B135" s="27" t="s">
        <v>53</v>
      </c>
      <c r="C135" s="6" t="str">
        <f>VLOOKUP(B135,Sheet3!$B$2:$E$311,2,FALSE)</f>
        <v>B004</v>
      </c>
      <c r="D135" s="6" t="str">
        <f>VLOOKUP(B135,Sheet3!$B$2:$E$311,3,)</f>
        <v>BAHAN BAKU LUUCA</v>
      </c>
      <c r="E135" s="19" t="str">
        <f>VLOOKUP(B135,Sheet3!$B$2:$E$311,4,)</f>
        <v>GR</v>
      </c>
      <c r="F135" s="28" t="s">
        <v>715</v>
      </c>
      <c r="G135" s="28" t="s">
        <v>538</v>
      </c>
      <c r="H135" s="27" t="s">
        <v>615</v>
      </c>
      <c r="I135" s="20" t="s">
        <v>647</v>
      </c>
    </row>
    <row r="136" ht="15.75" customHeight="1">
      <c r="A136" s="23"/>
      <c r="B136" s="27" t="s">
        <v>53</v>
      </c>
      <c r="C136" s="6" t="str">
        <f>VLOOKUP(B136,Sheet3!$B$2:$E$311,2,FALSE)</f>
        <v>B004</v>
      </c>
      <c r="D136" s="6" t="str">
        <f>VLOOKUP(B136,Sheet3!$B$2:$E$311,3,)</f>
        <v>BAHAN BAKU LUUCA</v>
      </c>
      <c r="E136" s="19" t="str">
        <f>VLOOKUP(B136,Sheet3!$B$2:$E$311,4,)</f>
        <v>GR</v>
      </c>
      <c r="F136" s="28" t="s">
        <v>717</v>
      </c>
      <c r="G136" s="28" t="s">
        <v>496</v>
      </c>
      <c r="H136" s="27" t="s">
        <v>615</v>
      </c>
      <c r="I136" s="20" t="s">
        <v>647</v>
      </c>
    </row>
    <row r="137" ht="15.75" customHeight="1">
      <c r="A137" s="23"/>
      <c r="B137" s="27" t="s">
        <v>30</v>
      </c>
      <c r="C137" s="6" t="str">
        <f>VLOOKUP(B137,Sheet3!$B$2:$E$311,2,FALSE)</f>
        <v>B004</v>
      </c>
      <c r="D137" s="6" t="str">
        <f>VLOOKUP(B137,Sheet3!$B$2:$E$311,3,)</f>
        <v>BAHAN BAKU LUUCA</v>
      </c>
      <c r="E137" s="28" t="s">
        <v>37</v>
      </c>
      <c r="F137" s="28">
        <v>12.0</v>
      </c>
      <c r="G137" s="28" t="s">
        <v>528</v>
      </c>
      <c r="H137" s="27" t="s">
        <v>541</v>
      </c>
      <c r="I137" s="20" t="s">
        <v>647</v>
      </c>
    </row>
    <row r="138" ht="15.75" customHeight="1">
      <c r="A138" s="23"/>
      <c r="B138" s="27" t="s">
        <v>109</v>
      </c>
      <c r="C138" s="6" t="str">
        <f>VLOOKUP(B138,Sheet3!$B$2:$E$311,2,FALSE)</f>
        <v>B004</v>
      </c>
      <c r="D138" s="6" t="str">
        <f>VLOOKUP(B138,Sheet3!$B$2:$E$311,3,)</f>
        <v>BAHAN BAKU LUUCA</v>
      </c>
      <c r="E138" s="19" t="str">
        <f>VLOOKUP(B138,Sheet3!$B$2:$E$311,4,)</f>
        <v>GR</v>
      </c>
      <c r="F138" s="28" t="s">
        <v>719</v>
      </c>
      <c r="G138" s="28" t="s">
        <v>496</v>
      </c>
      <c r="H138" s="27" t="s">
        <v>522</v>
      </c>
      <c r="I138" s="20" t="s">
        <v>720</v>
      </c>
      <c r="J138" s="20" t="s">
        <v>661</v>
      </c>
    </row>
    <row r="139" ht="15.75" customHeight="1">
      <c r="A139" s="23"/>
      <c r="B139" s="27" t="s">
        <v>94</v>
      </c>
      <c r="C139" s="6" t="str">
        <f>VLOOKUP(B139,Sheet3!$B$2:$E$311,2,FALSE)</f>
        <v>P005</v>
      </c>
      <c r="D139" s="6" t="str">
        <f>VLOOKUP(B139,Sheet3!$B$2:$E$311,3,)</f>
        <v>PACKAGING LUUCA</v>
      </c>
      <c r="E139" s="19" t="str">
        <f>VLOOKUP(B139,Sheet3!$B$2:$E$311,4,)</f>
        <v>PCS</v>
      </c>
      <c r="F139" s="28">
        <v>2.0</v>
      </c>
      <c r="G139" s="28" t="s">
        <v>721</v>
      </c>
      <c r="H139" s="27" t="s">
        <v>522</v>
      </c>
      <c r="I139" s="20" t="s">
        <v>647</v>
      </c>
    </row>
    <row r="140" ht="15.75" customHeight="1">
      <c r="A140" s="26">
        <v>46133.0</v>
      </c>
      <c r="B140" s="27" t="s">
        <v>30</v>
      </c>
      <c r="C140" s="6" t="str">
        <f>VLOOKUP(B140,Sheet3!$B$2:$E$311,2,FALSE)</f>
        <v>B004</v>
      </c>
      <c r="D140" s="6" t="str">
        <f>VLOOKUP(B140,Sheet3!$B$2:$E$311,3,)</f>
        <v>BAHAN BAKU LUUCA</v>
      </c>
      <c r="E140" s="28" t="s">
        <v>37</v>
      </c>
      <c r="F140" s="28">
        <v>12.0</v>
      </c>
      <c r="G140" s="28" t="s">
        <v>528</v>
      </c>
      <c r="H140" s="27" t="s">
        <v>595</v>
      </c>
      <c r="I140" s="20" t="s">
        <v>647</v>
      </c>
    </row>
    <row r="141" ht="15.75" customHeight="1">
      <c r="A141" s="23"/>
      <c r="B141" s="27" t="s">
        <v>67</v>
      </c>
      <c r="C141" s="6" t="str">
        <f>VLOOKUP(B141,Sheet3!$B$2:$E$311,2,FALSE)</f>
        <v>B004</v>
      </c>
      <c r="D141" s="6" t="str">
        <f>VLOOKUP(B141,Sheet3!$B$2:$E$311,3,)</f>
        <v>BAHAN BAKU LUUCA</v>
      </c>
      <c r="E141" s="19" t="str">
        <f>VLOOKUP(B141,Sheet3!$B$2:$E$311,4,)</f>
        <v>GR</v>
      </c>
      <c r="F141" s="27" t="s">
        <v>725</v>
      </c>
      <c r="G141" s="28" t="s">
        <v>555</v>
      </c>
      <c r="H141" s="27" t="s">
        <v>595</v>
      </c>
      <c r="I141" s="20" t="s">
        <v>647</v>
      </c>
    </row>
    <row r="142" ht="15.75" customHeight="1">
      <c r="A142" s="23"/>
      <c r="B142" s="27" t="s">
        <v>109</v>
      </c>
      <c r="C142" s="6" t="str">
        <f>VLOOKUP(B142,Sheet3!$B$2:$E$311,2,FALSE)</f>
        <v>B004</v>
      </c>
      <c r="D142" s="6" t="str">
        <f>VLOOKUP(B142,Sheet3!$B$2:$E$311,3,)</f>
        <v>BAHAN BAKU LUUCA</v>
      </c>
      <c r="E142" s="19" t="str">
        <f>VLOOKUP(B142,Sheet3!$B$2:$E$311,4,)</f>
        <v>GR</v>
      </c>
      <c r="F142" s="27" t="s">
        <v>727</v>
      </c>
      <c r="G142" s="28" t="s">
        <v>588</v>
      </c>
      <c r="H142" s="27" t="s">
        <v>595</v>
      </c>
      <c r="I142" s="20" t="s">
        <v>647</v>
      </c>
    </row>
    <row r="143" ht="15.75" customHeight="1">
      <c r="A143" s="23"/>
      <c r="B143" s="27" t="s">
        <v>30</v>
      </c>
      <c r="C143" s="6" t="str">
        <f>VLOOKUP(B143,Sheet3!$B$2:$E$311,2,FALSE)</f>
        <v>B004</v>
      </c>
      <c r="D143" s="6" t="str">
        <f>VLOOKUP(B143,Sheet3!$B$2:$E$311,3,)</f>
        <v>BAHAN BAKU LUUCA</v>
      </c>
      <c r="E143" s="28" t="s">
        <v>37</v>
      </c>
      <c r="F143" s="27">
        <v>1.0</v>
      </c>
      <c r="G143" s="27" t="s">
        <v>528</v>
      </c>
      <c r="H143" s="27" t="s">
        <v>595</v>
      </c>
      <c r="I143" s="20" t="s">
        <v>647</v>
      </c>
    </row>
    <row r="144" ht="15.75" customHeight="1">
      <c r="A144" s="23"/>
      <c r="B144" s="27" t="s">
        <v>33</v>
      </c>
      <c r="C144" s="6" t="str">
        <f>VLOOKUP(B144,Sheet3!$B$2:$E$311,2,FALSE)</f>
        <v>B004</v>
      </c>
      <c r="D144" s="6" t="str">
        <f>VLOOKUP(B144,Sheet3!$B$2:$E$311,3,)</f>
        <v>BAHAN BAKU LUUCA</v>
      </c>
      <c r="E144" s="19" t="str">
        <f>VLOOKUP(B144,Sheet3!$B$2:$E$311,4,)</f>
        <v>GR</v>
      </c>
      <c r="F144" s="27" t="s">
        <v>730</v>
      </c>
      <c r="G144" s="27" t="s">
        <v>703</v>
      </c>
      <c r="H144" s="27" t="s">
        <v>522</v>
      </c>
      <c r="I144" s="20" t="s">
        <v>731</v>
      </c>
      <c r="J144" s="20" t="s">
        <v>661</v>
      </c>
    </row>
    <row r="145" ht="15.75" customHeight="1">
      <c r="A145" s="23"/>
      <c r="B145" s="27" t="s">
        <v>53</v>
      </c>
      <c r="C145" s="6" t="str">
        <f>VLOOKUP(B145,Sheet3!$B$2:$E$311,2,FALSE)</f>
        <v>B004</v>
      </c>
      <c r="D145" s="6" t="str">
        <f>VLOOKUP(B145,Sheet3!$B$2:$E$311,3,)</f>
        <v>BAHAN BAKU LUUCA</v>
      </c>
      <c r="E145" s="19" t="str">
        <f>VLOOKUP(B145,Sheet3!$B$2:$E$311,4,)</f>
        <v>GR</v>
      </c>
      <c r="F145" s="27" t="s">
        <v>733</v>
      </c>
      <c r="G145" s="27" t="s">
        <v>496</v>
      </c>
      <c r="H145" s="27" t="s">
        <v>522</v>
      </c>
      <c r="I145" s="20" t="s">
        <v>734</v>
      </c>
      <c r="J145" s="20" t="s">
        <v>661</v>
      </c>
    </row>
    <row r="146" ht="15.75" customHeight="1">
      <c r="A146" s="23"/>
      <c r="B146" s="27" t="s">
        <v>53</v>
      </c>
      <c r="C146" s="6" t="str">
        <f>VLOOKUP(B146,Sheet3!$B$2:$E$311,2,FALSE)</f>
        <v>B004</v>
      </c>
      <c r="D146" s="6" t="str">
        <f>VLOOKUP(B146,Sheet3!$B$2:$E$311,3,)</f>
        <v>BAHAN BAKU LUUCA</v>
      </c>
      <c r="E146" s="19" t="str">
        <f>VLOOKUP(B146,Sheet3!$B$2:$E$311,4,)</f>
        <v>GR</v>
      </c>
      <c r="F146" s="27" t="s">
        <v>735</v>
      </c>
      <c r="G146" s="27" t="s">
        <v>538</v>
      </c>
      <c r="H146" s="27" t="s">
        <v>522</v>
      </c>
      <c r="I146" s="20" t="s">
        <v>736</v>
      </c>
      <c r="J146" s="20" t="s">
        <v>661</v>
      </c>
    </row>
    <row r="147" ht="15.75" customHeight="1">
      <c r="A147" s="23"/>
      <c r="B147" s="27" t="s">
        <v>53</v>
      </c>
      <c r="C147" s="6" t="str">
        <f>VLOOKUP(B147,Sheet3!$B$2:$E$311,2,FALSE)</f>
        <v>B004</v>
      </c>
      <c r="D147" s="6" t="str">
        <f>VLOOKUP(B147,Sheet3!$B$2:$E$311,3,)</f>
        <v>BAHAN BAKU LUUCA</v>
      </c>
      <c r="E147" s="19" t="str">
        <f>VLOOKUP(B147,Sheet3!$B$2:$E$311,4,)</f>
        <v>GR</v>
      </c>
      <c r="F147" s="27" t="s">
        <v>737</v>
      </c>
      <c r="G147" s="27" t="s">
        <v>496</v>
      </c>
      <c r="H147" s="27" t="s">
        <v>522</v>
      </c>
      <c r="I147" s="20" t="s">
        <v>738</v>
      </c>
      <c r="J147" s="20" t="s">
        <v>661</v>
      </c>
    </row>
    <row r="148" ht="15.75" customHeight="1">
      <c r="A148" s="23"/>
      <c r="B148" s="27" t="s">
        <v>108</v>
      </c>
      <c r="C148" s="6" t="str">
        <f>VLOOKUP(B148,Sheet3!$B$2:$E$311,2,FALSE)</f>
        <v>B004</v>
      </c>
      <c r="D148" s="6" t="str">
        <f>VLOOKUP(B148,Sheet3!$B$2:$E$311,3,)</f>
        <v>BAHAN BAKU LUUCA</v>
      </c>
      <c r="E148" s="19" t="str">
        <f>VLOOKUP(B148,Sheet3!$B$2:$E$311,4,)</f>
        <v>GR</v>
      </c>
      <c r="F148" s="27" t="s">
        <v>739</v>
      </c>
      <c r="G148" s="27" t="s">
        <v>496</v>
      </c>
      <c r="H148" s="27" t="s">
        <v>522</v>
      </c>
      <c r="I148" s="20" t="s">
        <v>740</v>
      </c>
      <c r="J148" s="20" t="s">
        <v>661</v>
      </c>
    </row>
    <row r="149" ht="15.75" customHeight="1">
      <c r="A149" s="23"/>
      <c r="B149" s="27" t="s">
        <v>108</v>
      </c>
      <c r="C149" s="6" t="str">
        <f>VLOOKUP(B149,Sheet3!$B$2:$E$311,2,FALSE)</f>
        <v>B004</v>
      </c>
      <c r="D149" s="6" t="str">
        <f>VLOOKUP(B149,Sheet3!$B$2:$E$311,3,)</f>
        <v>BAHAN BAKU LUUCA</v>
      </c>
      <c r="E149" s="19" t="str">
        <f>VLOOKUP(B149,Sheet3!$B$2:$E$311,4,)</f>
        <v>GR</v>
      </c>
      <c r="F149" s="27" t="s">
        <v>743</v>
      </c>
      <c r="G149" s="27" t="s">
        <v>525</v>
      </c>
      <c r="H149" s="27" t="s">
        <v>744</v>
      </c>
      <c r="I149" s="20" t="s">
        <v>745</v>
      </c>
      <c r="J149" s="20" t="s">
        <v>661</v>
      </c>
    </row>
    <row r="150" ht="15.75" customHeight="1">
      <c r="A150" s="23"/>
      <c r="B150" s="27" t="s">
        <v>30</v>
      </c>
      <c r="C150" s="6" t="str">
        <f>VLOOKUP(B150,Sheet3!$B$2:$E$311,2,FALSE)</f>
        <v>B004</v>
      </c>
      <c r="D150" s="6" t="str">
        <f>VLOOKUP(B150,Sheet3!$B$2:$E$311,3,)</f>
        <v>BAHAN BAKU LUUCA</v>
      </c>
      <c r="E150" s="28" t="s">
        <v>37</v>
      </c>
      <c r="F150" s="27">
        <v>10.0</v>
      </c>
      <c r="G150" s="27" t="s">
        <v>528</v>
      </c>
      <c r="H150" s="27" t="s">
        <v>744</v>
      </c>
      <c r="I150" s="20" t="s">
        <v>647</v>
      </c>
    </row>
    <row r="151" ht="15.75" customHeight="1">
      <c r="A151" s="23"/>
      <c r="B151" s="27" t="s">
        <v>34</v>
      </c>
      <c r="C151" s="6" t="str">
        <f>VLOOKUP(B151,Sheet3!$B$2:$E$311,2,FALSE)</f>
        <v>B004</v>
      </c>
      <c r="D151" s="6" t="str">
        <f>VLOOKUP(B151,Sheet3!$B$2:$E$311,3,)</f>
        <v>BAHAN BAKU LUUCA</v>
      </c>
      <c r="E151" s="19" t="str">
        <f>VLOOKUP(B151,Sheet3!$B$2:$E$311,4,)</f>
        <v>GR</v>
      </c>
      <c r="F151" s="27">
        <v>583.0</v>
      </c>
      <c r="G151" s="27" t="s">
        <v>703</v>
      </c>
      <c r="H151" s="27" t="s">
        <v>744</v>
      </c>
      <c r="I151" s="20" t="s">
        <v>647</v>
      </c>
    </row>
    <row r="152" ht="15.75" customHeight="1">
      <c r="A152" s="23"/>
      <c r="B152" s="27" t="s">
        <v>570</v>
      </c>
      <c r="C152" s="23"/>
      <c r="D152" s="27" t="s">
        <v>16</v>
      </c>
      <c r="E152" s="27" t="s">
        <v>746</v>
      </c>
      <c r="F152" s="27" t="s">
        <v>747</v>
      </c>
      <c r="G152" s="27" t="s">
        <v>572</v>
      </c>
      <c r="H152" s="27" t="s">
        <v>744</v>
      </c>
      <c r="I152" s="20" t="s">
        <v>748</v>
      </c>
    </row>
    <row r="153" ht="15.75" customHeight="1">
      <c r="A153" s="26">
        <v>46134.0</v>
      </c>
      <c r="B153" s="27" t="s">
        <v>53</v>
      </c>
      <c r="C153" s="6" t="str">
        <f>VLOOKUP(B153,Sheet3!$B$2:$E$311,2,FALSE)</f>
        <v>B004</v>
      </c>
      <c r="D153" s="6" t="str">
        <f>VLOOKUP(B153,Sheet3!$B$2:$E$311,3,)</f>
        <v>BAHAN BAKU LUUCA</v>
      </c>
      <c r="E153" s="19" t="str">
        <f>VLOOKUP(B153,Sheet3!$B$2:$E$311,4,)</f>
        <v>GR</v>
      </c>
      <c r="F153" s="27" t="s">
        <v>749</v>
      </c>
      <c r="G153" s="27" t="s">
        <v>709</v>
      </c>
      <c r="H153" s="27" t="s">
        <v>553</v>
      </c>
      <c r="I153" s="20" t="s">
        <v>671</v>
      </c>
    </row>
    <row r="154" ht="15.75" customHeight="1">
      <c r="A154" s="23"/>
      <c r="B154" s="27" t="s">
        <v>108</v>
      </c>
      <c r="C154" s="6" t="str">
        <f>VLOOKUP(B154,Sheet3!$B$2:$E$311,2,FALSE)</f>
        <v>B004</v>
      </c>
      <c r="D154" s="6" t="str">
        <f>VLOOKUP(B154,Sheet3!$B$2:$E$311,3,)</f>
        <v>BAHAN BAKU LUUCA</v>
      </c>
      <c r="E154" s="19" t="str">
        <f>VLOOKUP(B154,Sheet3!$B$2:$E$311,4,)</f>
        <v>GR</v>
      </c>
      <c r="F154" s="27" t="s">
        <v>751</v>
      </c>
      <c r="G154" s="27" t="s">
        <v>752</v>
      </c>
      <c r="H154" s="27" t="s">
        <v>553</v>
      </c>
      <c r="I154" s="20" t="s">
        <v>671</v>
      </c>
    </row>
    <row r="155" ht="15.75" customHeight="1">
      <c r="A155" s="23"/>
      <c r="B155" s="27" t="s">
        <v>106</v>
      </c>
      <c r="C155" s="6" t="str">
        <f>VLOOKUP(B155,Sheet3!$B$2:$E$311,2,FALSE)</f>
        <v>B004</v>
      </c>
      <c r="D155" s="6" t="str">
        <f>VLOOKUP(B155,Sheet3!$B$2:$E$311,3,)</f>
        <v>BAHAN BAKU LUUCA</v>
      </c>
      <c r="E155" s="19" t="str">
        <f>VLOOKUP(B155,Sheet3!$B$2:$E$311,4,)</f>
        <v>GR</v>
      </c>
      <c r="F155" s="27" t="s">
        <v>754</v>
      </c>
      <c r="G155" s="27" t="s">
        <v>532</v>
      </c>
      <c r="H155" s="27" t="s">
        <v>629</v>
      </c>
      <c r="I155" s="20" t="s">
        <v>671</v>
      </c>
    </row>
    <row r="156" ht="15.75" customHeight="1">
      <c r="A156" s="23"/>
      <c r="B156" s="27" t="s">
        <v>179</v>
      </c>
      <c r="C156" s="6" t="str">
        <f>VLOOKUP(B156,Sheet3!$B$2:$E$311,2,FALSE)</f>
        <v>P006</v>
      </c>
      <c r="D156" s="6" t="str">
        <f>VLOOKUP(B156,Sheet3!$B$2:$E$311,3,)</f>
        <v>PRODUKSI STOK LUUCA</v>
      </c>
      <c r="E156" s="19" t="str">
        <f>VLOOKUP(B156,Sheet3!$B$2:$E$311,4,)</f>
        <v>GR</v>
      </c>
      <c r="F156" s="27" t="s">
        <v>757</v>
      </c>
      <c r="G156" s="27" t="s">
        <v>532</v>
      </c>
      <c r="H156" s="27" t="s">
        <v>629</v>
      </c>
      <c r="I156" s="20" t="s">
        <v>671</v>
      </c>
    </row>
    <row r="157" ht="15.75" customHeight="1">
      <c r="A157" s="26">
        <v>46135.0</v>
      </c>
      <c r="B157" s="27" t="s">
        <v>53</v>
      </c>
      <c r="C157" s="6" t="str">
        <f>VLOOKUP(B157,Sheet3!$B$2:$E$311,2,FALSE)</f>
        <v>B004</v>
      </c>
      <c r="D157" s="6" t="str">
        <f>VLOOKUP(B157,Sheet3!$B$2:$E$311,3,)</f>
        <v>BAHAN BAKU LUUCA</v>
      </c>
      <c r="E157" s="19" t="str">
        <f>VLOOKUP(B157,Sheet3!$B$2:$E$311,4,)</f>
        <v>GR</v>
      </c>
      <c r="F157" s="27">
        <v>20.0</v>
      </c>
      <c r="G157" s="27" t="s">
        <v>538</v>
      </c>
      <c r="H157" s="27" t="s">
        <v>629</v>
      </c>
      <c r="I157" s="20" t="s">
        <v>671</v>
      </c>
    </row>
    <row r="158" ht="15.75" customHeight="1">
      <c r="A158" s="23"/>
      <c r="B158" s="27" t="s">
        <v>53</v>
      </c>
      <c r="C158" s="6" t="str">
        <f>VLOOKUP(B158,Sheet3!$B$2:$E$311,2,FALSE)</f>
        <v>B004</v>
      </c>
      <c r="D158" s="6" t="str">
        <f>VLOOKUP(B158,Sheet3!$B$2:$E$311,3,)</f>
        <v>BAHAN BAKU LUUCA</v>
      </c>
      <c r="E158" s="19" t="str">
        <f>VLOOKUP(B158,Sheet3!$B$2:$E$311,4,)</f>
        <v>GR</v>
      </c>
      <c r="F158" s="27">
        <v>23.6</v>
      </c>
      <c r="G158" s="27" t="s">
        <v>758</v>
      </c>
      <c r="H158" s="27" t="s">
        <v>615</v>
      </c>
      <c r="I158" s="20" t="s">
        <v>671</v>
      </c>
    </row>
    <row r="159" ht="15.75" customHeight="1">
      <c r="A159" s="23"/>
      <c r="B159" s="27" t="s">
        <v>570</v>
      </c>
      <c r="C159" s="6" t="str">
        <f>VLOOKUP(B159,Sheet3!$B$2:$E$311,2,FALSE)</f>
        <v>#N/A</v>
      </c>
      <c r="D159" s="27" t="s">
        <v>16</v>
      </c>
      <c r="E159" s="27" t="s">
        <v>746</v>
      </c>
      <c r="F159" s="27">
        <v>2.0</v>
      </c>
      <c r="G159" s="27" t="s">
        <v>572</v>
      </c>
      <c r="H159" s="27" t="s">
        <v>615</v>
      </c>
      <c r="I159" s="20" t="s">
        <v>671</v>
      </c>
    </row>
    <row r="160" ht="15.75" customHeight="1">
      <c r="A160" s="23"/>
      <c r="B160" s="27" t="s">
        <v>30</v>
      </c>
      <c r="C160" s="6" t="str">
        <f>VLOOKUP(B160,Sheet3!$B$2:$E$311,2,FALSE)</f>
        <v>B004</v>
      </c>
      <c r="D160" s="6" t="str">
        <f>VLOOKUP(B160,Sheet3!$B$2:$E$311,3,)</f>
        <v>BAHAN BAKU LUUCA</v>
      </c>
      <c r="E160" s="28" t="s">
        <v>37</v>
      </c>
      <c r="F160" s="27">
        <v>3.0</v>
      </c>
      <c r="G160" s="27" t="s">
        <v>528</v>
      </c>
      <c r="H160" s="27" t="s">
        <v>553</v>
      </c>
      <c r="I160" s="20" t="s">
        <v>671</v>
      </c>
    </row>
    <row r="161" ht="15.75" customHeight="1">
      <c r="A161" s="23"/>
      <c r="B161" s="27" t="s">
        <v>30</v>
      </c>
      <c r="C161" s="6" t="str">
        <f>VLOOKUP(B161,Sheet3!$B$2:$E$311,2,FALSE)</f>
        <v>B004</v>
      </c>
      <c r="D161" s="6" t="str">
        <f>VLOOKUP(B161,Sheet3!$B$2:$E$311,3,)</f>
        <v>BAHAN BAKU LUUCA</v>
      </c>
      <c r="E161" s="28" t="s">
        <v>37</v>
      </c>
      <c r="F161" s="27">
        <v>4.0</v>
      </c>
      <c r="G161" s="27" t="s">
        <v>528</v>
      </c>
      <c r="H161" s="27" t="s">
        <v>553</v>
      </c>
      <c r="I161" s="20" t="s">
        <v>671</v>
      </c>
    </row>
    <row r="162" ht="15.75" customHeight="1">
      <c r="A162" s="23"/>
      <c r="B162" s="27" t="s">
        <v>108</v>
      </c>
      <c r="C162" s="6" t="str">
        <f>VLOOKUP(B162,Sheet3!$B$2:$E$311,2,FALSE)</f>
        <v>B004</v>
      </c>
      <c r="D162" s="6" t="str">
        <f>VLOOKUP(B162,Sheet3!$B$2:$E$311,3,)</f>
        <v>BAHAN BAKU LUUCA</v>
      </c>
      <c r="E162" s="19" t="str">
        <f>VLOOKUP(B162,Sheet3!$B$2:$E$311,4,)</f>
        <v>GR</v>
      </c>
      <c r="F162" s="27">
        <v>3.5</v>
      </c>
      <c r="G162" s="27" t="s">
        <v>760</v>
      </c>
      <c r="H162" s="27" t="s">
        <v>553</v>
      </c>
      <c r="I162" s="20" t="s">
        <v>671</v>
      </c>
    </row>
    <row r="163" ht="15.75" customHeight="1">
      <c r="A163" s="27" t="s">
        <v>762</v>
      </c>
      <c r="B163" s="27" t="s">
        <v>109</v>
      </c>
      <c r="C163" s="6" t="str">
        <f>VLOOKUP(B163,Sheet3!$B$2:$E$311,2,FALSE)</f>
        <v>B004</v>
      </c>
      <c r="D163" s="6" t="str">
        <f>VLOOKUP(B163,Sheet3!$B$2:$E$311,3,)</f>
        <v>BAHAN BAKU LUUCA</v>
      </c>
      <c r="E163" s="19" t="str">
        <f>VLOOKUP(B163,Sheet3!$B$2:$E$311,4,)</f>
        <v>GR</v>
      </c>
      <c r="F163" s="27">
        <v>12.4</v>
      </c>
      <c r="G163" s="27" t="s">
        <v>588</v>
      </c>
      <c r="H163" s="27" t="s">
        <v>541</v>
      </c>
      <c r="I163" s="20" t="s">
        <v>671</v>
      </c>
    </row>
    <row r="164" ht="15.75" customHeight="1">
      <c r="A164" s="23"/>
      <c r="B164" s="27" t="s">
        <v>109</v>
      </c>
      <c r="C164" s="6" t="str">
        <f>VLOOKUP(B164,Sheet3!$B$2:$E$311,2,FALSE)</f>
        <v>B004</v>
      </c>
      <c r="D164" s="6" t="str">
        <f>VLOOKUP(B164,Sheet3!$B$2:$E$311,3,)</f>
        <v>BAHAN BAKU LUUCA</v>
      </c>
      <c r="E164" s="19" t="str">
        <f>VLOOKUP(B164,Sheet3!$B$2:$E$311,4,)</f>
        <v>GR</v>
      </c>
      <c r="F164" s="27">
        <v>71.4</v>
      </c>
      <c r="G164" s="27" t="s">
        <v>496</v>
      </c>
      <c r="H164" s="27" t="s">
        <v>541</v>
      </c>
      <c r="I164" s="20" t="s">
        <v>671</v>
      </c>
    </row>
    <row r="165" ht="15.75" customHeight="1">
      <c r="A165" s="23"/>
      <c r="B165" s="27" t="s">
        <v>570</v>
      </c>
      <c r="C165" s="6" t="str">
        <f>VLOOKUP(B165,Sheet3!$B$2:$E$311,2,FALSE)</f>
        <v>#N/A</v>
      </c>
      <c r="D165" s="27" t="s">
        <v>16</v>
      </c>
      <c r="E165" s="27" t="s">
        <v>746</v>
      </c>
      <c r="F165" s="27">
        <v>2.0</v>
      </c>
      <c r="G165" s="27" t="s">
        <v>572</v>
      </c>
      <c r="H165" s="27" t="s">
        <v>541</v>
      </c>
      <c r="I165" s="20" t="s">
        <v>671</v>
      </c>
    </row>
    <row r="166" ht="15.75" customHeight="1">
      <c r="A166" s="23"/>
      <c r="B166" s="27" t="s">
        <v>34</v>
      </c>
      <c r="C166" s="6" t="str">
        <f>VLOOKUP(B166,Sheet3!$B$2:$E$311,2,FALSE)</f>
        <v>B004</v>
      </c>
      <c r="D166" s="6" t="str">
        <f>VLOOKUP(B166,Sheet3!$B$2:$E$311,3,)</f>
        <v>BAHAN BAKU LUUCA</v>
      </c>
      <c r="E166" s="19" t="str">
        <f>VLOOKUP(B166,Sheet3!$B$2:$E$311,4,)</f>
        <v>GR</v>
      </c>
      <c r="F166" s="27">
        <v>394.2</v>
      </c>
      <c r="G166" s="27" t="s">
        <v>703</v>
      </c>
      <c r="H166" s="27" t="s">
        <v>541</v>
      </c>
      <c r="I166" s="20" t="s">
        <v>671</v>
      </c>
    </row>
    <row r="167" ht="15.75" customHeight="1">
      <c r="A167" s="27" t="s">
        <v>765</v>
      </c>
      <c r="B167" s="27" t="s">
        <v>53</v>
      </c>
      <c r="C167" s="6" t="str">
        <f>VLOOKUP(B167,Sheet3!$B$2:$E$311,2,FALSE)</f>
        <v>B004</v>
      </c>
      <c r="D167" s="6" t="str">
        <f>VLOOKUP(B167,Sheet3!$B$2:$E$311,3,)</f>
        <v>BAHAN BAKU LUUCA</v>
      </c>
      <c r="E167" s="19" t="str">
        <f>VLOOKUP(B167,Sheet3!$B$2:$E$311,4,)</f>
        <v>GR</v>
      </c>
      <c r="F167" s="27">
        <v>132.4</v>
      </c>
      <c r="G167" s="27" t="s">
        <v>496</v>
      </c>
      <c r="H167" s="27" t="s">
        <v>522</v>
      </c>
      <c r="I167" s="20" t="s">
        <v>671</v>
      </c>
    </row>
    <row r="168" ht="15.75" customHeight="1">
      <c r="A168" s="23"/>
      <c r="B168" s="27" t="s">
        <v>109</v>
      </c>
      <c r="C168" s="6" t="str">
        <f>VLOOKUP(B168,Sheet3!$B$2:$E$311,2,FALSE)</f>
        <v>B004</v>
      </c>
      <c r="D168" s="6" t="str">
        <f>VLOOKUP(B168,Sheet3!$B$2:$E$311,3,)</f>
        <v>BAHAN BAKU LUUCA</v>
      </c>
      <c r="E168" s="19" t="str">
        <f>VLOOKUP(B168,Sheet3!$B$2:$E$311,4,)</f>
        <v>GR</v>
      </c>
      <c r="F168" s="27">
        <v>348.2</v>
      </c>
      <c r="G168" s="27" t="s">
        <v>496</v>
      </c>
      <c r="H168" s="27" t="s">
        <v>522</v>
      </c>
      <c r="I168" s="20" t="s">
        <v>671</v>
      </c>
    </row>
    <row r="169" ht="15.75" customHeight="1">
      <c r="A169" s="23"/>
      <c r="B169" s="27" t="s">
        <v>53</v>
      </c>
      <c r="C169" s="6" t="str">
        <f>VLOOKUP(B169,Sheet3!$B$2:$E$311,2,FALSE)</f>
        <v>B004</v>
      </c>
      <c r="D169" s="6" t="str">
        <f>VLOOKUP(B169,Sheet3!$B$2:$E$311,3,)</f>
        <v>BAHAN BAKU LUUCA</v>
      </c>
      <c r="E169" s="19" t="str">
        <f>VLOOKUP(B169,Sheet3!$B$2:$E$311,4,)</f>
        <v>GR</v>
      </c>
      <c r="F169" s="27">
        <v>20.0</v>
      </c>
      <c r="G169" s="27" t="s">
        <v>496</v>
      </c>
      <c r="H169" s="27" t="s">
        <v>595</v>
      </c>
      <c r="I169" s="20" t="s">
        <v>671</v>
      </c>
    </row>
    <row r="170" ht="15.75" customHeight="1">
      <c r="A170" s="23"/>
      <c r="B170" s="27" t="s">
        <v>34</v>
      </c>
      <c r="C170" s="6" t="str">
        <f>VLOOKUP(B170,Sheet3!$B$2:$E$311,2,FALSE)</f>
        <v>B004</v>
      </c>
      <c r="D170" s="6" t="str">
        <f>VLOOKUP(B170,Sheet3!$B$2:$E$311,3,)</f>
        <v>BAHAN BAKU LUUCA</v>
      </c>
      <c r="E170" s="19" t="str">
        <f>VLOOKUP(B170,Sheet3!$B$2:$E$311,4,)</f>
        <v>GR</v>
      </c>
      <c r="F170" s="27">
        <v>520.8</v>
      </c>
      <c r="G170" s="27" t="s">
        <v>496</v>
      </c>
      <c r="H170" s="27" t="s">
        <v>595</v>
      </c>
      <c r="I170" s="39" t="s">
        <v>766</v>
      </c>
    </row>
    <row r="171" ht="15.75" customHeight="1">
      <c r="A171" s="23"/>
      <c r="B171" s="27" t="s">
        <v>108</v>
      </c>
      <c r="C171" s="6" t="str">
        <f>VLOOKUP(B171,Sheet3!$B$2:$E$311,2,FALSE)</f>
        <v>B004</v>
      </c>
      <c r="D171" s="6" t="str">
        <f>VLOOKUP(B171,Sheet3!$B$2:$E$311,3,)</f>
        <v>BAHAN BAKU LUUCA</v>
      </c>
      <c r="E171" s="19" t="str">
        <f>VLOOKUP(B171,Sheet3!$B$2:$E$311,4,)</f>
        <v>GR</v>
      </c>
      <c r="F171" s="27">
        <v>30.0</v>
      </c>
      <c r="G171" s="27" t="s">
        <v>525</v>
      </c>
      <c r="H171" s="27" t="s">
        <v>595</v>
      </c>
      <c r="I171" s="20" t="s">
        <v>671</v>
      </c>
    </row>
    <row r="172" ht="15.75" customHeight="1">
      <c r="A172" s="23"/>
      <c r="B172" s="27" t="s">
        <v>53</v>
      </c>
      <c r="C172" s="6" t="str">
        <f>VLOOKUP(B172,Sheet3!$B$2:$E$311,2,FALSE)</f>
        <v>B004</v>
      </c>
      <c r="D172" s="6" t="str">
        <f>VLOOKUP(B172,Sheet3!$B$2:$E$311,3,)</f>
        <v>BAHAN BAKU LUUCA</v>
      </c>
      <c r="E172" s="19" t="str">
        <f>VLOOKUP(B172,Sheet3!$B$2:$E$311,4,)</f>
        <v>GR</v>
      </c>
      <c r="F172" s="27">
        <v>109.0</v>
      </c>
      <c r="G172" s="27" t="s">
        <v>538</v>
      </c>
      <c r="H172" s="27" t="s">
        <v>595</v>
      </c>
      <c r="I172" s="20" t="s">
        <v>671</v>
      </c>
    </row>
    <row r="173" ht="15.75" customHeight="1">
      <c r="A173" s="23"/>
      <c r="B173" s="27" t="s">
        <v>109</v>
      </c>
      <c r="C173" s="6" t="str">
        <f>VLOOKUP(B173,Sheet3!$B$2:$E$311,2,FALSE)</f>
        <v>B004</v>
      </c>
      <c r="D173" s="6" t="str">
        <f>VLOOKUP(B173,Sheet3!$B$2:$E$311,3,)</f>
        <v>BAHAN BAKU LUUCA</v>
      </c>
      <c r="E173" s="19" t="str">
        <f>VLOOKUP(B173,Sheet3!$B$2:$E$311,4,)</f>
        <v>GR</v>
      </c>
      <c r="F173" s="27">
        <v>7.5</v>
      </c>
      <c r="G173" s="27" t="s">
        <v>588</v>
      </c>
      <c r="H173" s="27" t="s">
        <v>629</v>
      </c>
      <c r="I173" s="20" t="s">
        <v>671</v>
      </c>
    </row>
    <row r="174" ht="15.75" customHeight="1">
      <c r="A174" s="23"/>
      <c r="B174" s="27" t="s">
        <v>53</v>
      </c>
      <c r="C174" s="6" t="str">
        <f>VLOOKUP(B174,Sheet3!$B$2:$E$311,2,FALSE)</f>
        <v>B004</v>
      </c>
      <c r="D174" s="6" t="str">
        <f>VLOOKUP(B174,Sheet3!$B$2:$E$311,3,)</f>
        <v>BAHAN BAKU LUUCA</v>
      </c>
      <c r="E174" s="19" t="str">
        <f>VLOOKUP(B174,Sheet3!$B$2:$E$311,4,)</f>
        <v>GR</v>
      </c>
      <c r="F174" s="27">
        <v>27.7</v>
      </c>
      <c r="G174" s="27" t="s">
        <v>538</v>
      </c>
      <c r="H174" s="27" t="s">
        <v>629</v>
      </c>
      <c r="I174" s="20" t="s">
        <v>671</v>
      </c>
    </row>
    <row r="175" ht="15.75" customHeight="1">
      <c r="A175" s="23"/>
      <c r="B175" s="27" t="s">
        <v>108</v>
      </c>
      <c r="C175" s="6" t="str">
        <f>VLOOKUP(B175,Sheet3!$B$2:$E$311,2,FALSE)</f>
        <v>B004</v>
      </c>
      <c r="D175" s="6" t="str">
        <f>VLOOKUP(B175,Sheet3!$B$2:$E$311,3,)</f>
        <v>BAHAN BAKU LUUCA</v>
      </c>
      <c r="E175" s="19" t="str">
        <f>VLOOKUP(B175,Sheet3!$B$2:$E$311,4,)</f>
        <v>GR</v>
      </c>
      <c r="F175" s="27">
        <v>32.5</v>
      </c>
      <c r="G175" s="27" t="s">
        <v>525</v>
      </c>
      <c r="H175" s="27" t="s">
        <v>772</v>
      </c>
      <c r="I175" s="20" t="s">
        <v>671</v>
      </c>
    </row>
    <row r="176" ht="15.75" customHeight="1">
      <c r="A176" s="27" t="s">
        <v>773</v>
      </c>
      <c r="B176" s="27" t="s">
        <v>109</v>
      </c>
      <c r="C176" s="6" t="str">
        <f>VLOOKUP(B176,Sheet3!$B$2:$E$311,2,FALSE)</f>
        <v>B004</v>
      </c>
      <c r="D176" s="6" t="str">
        <f>VLOOKUP(B176,Sheet3!$B$2:$E$311,3,)</f>
        <v>BAHAN BAKU LUUCA</v>
      </c>
      <c r="E176" s="19" t="str">
        <f>VLOOKUP(B176,Sheet3!$B$2:$E$311,4,)</f>
        <v>GR</v>
      </c>
      <c r="F176" s="27">
        <v>6.4</v>
      </c>
      <c r="G176" s="27" t="s">
        <v>656</v>
      </c>
      <c r="H176" s="27" t="s">
        <v>595</v>
      </c>
      <c r="I176" s="20" t="s">
        <v>671</v>
      </c>
    </row>
    <row r="177" ht="15.75" customHeight="1">
      <c r="A177" s="23"/>
      <c r="B177" s="27" t="s">
        <v>108</v>
      </c>
      <c r="C177" s="6" t="str">
        <f>VLOOKUP(B177,Sheet3!$B$2:$E$311,2,FALSE)</f>
        <v>B004</v>
      </c>
      <c r="D177" s="6" t="str">
        <f>VLOOKUP(B177,Sheet3!$B$2:$E$311,3,)</f>
        <v>BAHAN BAKU LUUCA</v>
      </c>
      <c r="E177" s="19" t="str">
        <f>VLOOKUP(B177,Sheet3!$B$2:$E$311,4,)</f>
        <v>GR</v>
      </c>
      <c r="F177" s="27">
        <v>13.0</v>
      </c>
      <c r="G177" s="27" t="s">
        <v>525</v>
      </c>
      <c r="H177" s="27" t="s">
        <v>595</v>
      </c>
      <c r="I177" s="20" t="s">
        <v>671</v>
      </c>
    </row>
    <row r="178" ht="15.75" customHeight="1">
      <c r="A178" s="23"/>
      <c r="B178" s="27" t="s">
        <v>53</v>
      </c>
      <c r="C178" s="6" t="str">
        <f>VLOOKUP(B178,Sheet3!$B$2:$E$311,2,FALSE)</f>
        <v>B004</v>
      </c>
      <c r="D178" s="6" t="str">
        <f>VLOOKUP(B178,Sheet3!$B$2:$E$311,3,)</f>
        <v>BAHAN BAKU LUUCA</v>
      </c>
      <c r="E178" s="19" t="str">
        <f>VLOOKUP(B178,Sheet3!$B$2:$E$311,4,)</f>
        <v>GR</v>
      </c>
      <c r="F178" s="27">
        <v>81.8</v>
      </c>
      <c r="G178" s="27" t="s">
        <v>538</v>
      </c>
      <c r="H178" s="27" t="s">
        <v>775</v>
      </c>
      <c r="I178" s="20" t="s">
        <v>671</v>
      </c>
    </row>
    <row r="179" ht="15.75" customHeight="1">
      <c r="A179" s="23"/>
      <c r="B179" s="27" t="s">
        <v>34</v>
      </c>
      <c r="C179" s="6" t="str">
        <f>VLOOKUP(B179,Sheet3!$B$2:$E$311,2,FALSE)</f>
        <v>B004</v>
      </c>
      <c r="D179" s="6" t="str">
        <f>VLOOKUP(B179,Sheet3!$B$2:$E$311,3,)</f>
        <v>BAHAN BAKU LUUCA</v>
      </c>
      <c r="E179" s="19" t="str">
        <f>VLOOKUP(B179,Sheet3!$B$2:$E$311,4,)</f>
        <v>GR</v>
      </c>
      <c r="F179" s="27">
        <v>331.2</v>
      </c>
      <c r="G179" s="27" t="s">
        <v>703</v>
      </c>
      <c r="H179" s="27" t="s">
        <v>541</v>
      </c>
      <c r="I179" s="20" t="s">
        <v>671</v>
      </c>
    </row>
    <row r="180" ht="15.75" customHeight="1">
      <c r="A180" s="23"/>
      <c r="B180" s="27" t="s">
        <v>175</v>
      </c>
      <c r="C180" s="6" t="str">
        <f>VLOOKUP(B180,Sheet3!$B$2:$E$311,2,FALSE)</f>
        <v>P006</v>
      </c>
      <c r="D180" s="6" t="str">
        <f>VLOOKUP(B180,Sheet3!$B$2:$E$311,3,)</f>
        <v>PRODUKSI STOK LUUCA</v>
      </c>
      <c r="E180" s="19" t="str">
        <f>VLOOKUP(B180,Sheet3!$B$2:$E$311,4,)</f>
        <v>GR</v>
      </c>
      <c r="F180" s="27">
        <v>2170.0</v>
      </c>
      <c r="G180" s="27" t="s">
        <v>529</v>
      </c>
      <c r="H180" s="27" t="s">
        <v>615</v>
      </c>
      <c r="I180" s="20" t="s">
        <v>671</v>
      </c>
    </row>
    <row r="181" ht="15.75" customHeight="1">
      <c r="A181" s="27" t="s">
        <v>778</v>
      </c>
      <c r="B181" s="27" t="s">
        <v>53</v>
      </c>
      <c r="C181" s="6" t="str">
        <f>VLOOKUP(B181,Sheet3!$B$2:$E$311,2,FALSE)</f>
        <v>B004</v>
      </c>
      <c r="D181" s="6" t="str">
        <f>VLOOKUP(B181,Sheet3!$B$2:$E$311,3,)</f>
        <v>BAHAN BAKU LUUCA</v>
      </c>
      <c r="E181" s="19" t="str">
        <f>VLOOKUP(B181,Sheet3!$B$2:$E$311,4,)</f>
        <v>GR</v>
      </c>
      <c r="F181" s="27">
        <v>14.2</v>
      </c>
      <c r="G181" s="27" t="s">
        <v>538</v>
      </c>
      <c r="H181" s="27" t="s">
        <v>561</v>
      </c>
      <c r="I181" s="20" t="s">
        <v>671</v>
      </c>
    </row>
    <row r="182" ht="15.75" customHeight="1">
      <c r="A182" s="27" t="s">
        <v>780</v>
      </c>
      <c r="B182" s="27" t="s">
        <v>108</v>
      </c>
      <c r="C182" s="6" t="str">
        <f>VLOOKUP(B182,Sheet3!$B$2:$E$311,2,FALSE)</f>
        <v>B004</v>
      </c>
      <c r="D182" s="6" t="str">
        <f>VLOOKUP(B182,Sheet3!$B$2:$E$311,3,)</f>
        <v>BAHAN BAKU LUUCA</v>
      </c>
      <c r="E182" s="19" t="str">
        <f>VLOOKUP(B182,Sheet3!$B$2:$E$311,4,)</f>
        <v>GR</v>
      </c>
      <c r="F182" s="27">
        <v>68.5</v>
      </c>
      <c r="G182" s="27" t="s">
        <v>496</v>
      </c>
      <c r="H182" s="27" t="s">
        <v>595</v>
      </c>
      <c r="I182" s="20" t="s">
        <v>671</v>
      </c>
    </row>
    <row r="183" ht="15.75" customHeight="1">
      <c r="A183" s="23"/>
      <c r="B183" s="27" t="s">
        <v>570</v>
      </c>
      <c r="C183" s="6" t="str">
        <f>VLOOKUP(B183,Sheet3!$B$2:$E$311,2,FALSE)</f>
        <v>#N/A</v>
      </c>
      <c r="D183" s="27" t="s">
        <v>16</v>
      </c>
      <c r="E183" s="27" t="s">
        <v>746</v>
      </c>
      <c r="F183" s="27" t="s">
        <v>781</v>
      </c>
      <c r="G183" s="27" t="s">
        <v>572</v>
      </c>
      <c r="H183" s="27" t="s">
        <v>561</v>
      </c>
      <c r="I183" s="20" t="s">
        <v>671</v>
      </c>
    </row>
    <row r="184" ht="15.75" customHeight="1">
      <c r="A184" s="23"/>
      <c r="B184" s="27" t="s">
        <v>109</v>
      </c>
      <c r="C184" s="6" t="str">
        <f>VLOOKUP(B184,Sheet3!$B$2:$E$311,2,FALSE)</f>
        <v>B004</v>
      </c>
      <c r="D184" s="6" t="str">
        <f>VLOOKUP(B184,Sheet3!$B$2:$E$311,3,)</f>
        <v>BAHAN BAKU LUUCA</v>
      </c>
      <c r="E184" s="19" t="str">
        <f>VLOOKUP(B184,Sheet3!$B$2:$E$311,4,)</f>
        <v>GR</v>
      </c>
      <c r="F184" s="27">
        <v>5.6</v>
      </c>
      <c r="G184" s="27" t="s">
        <v>656</v>
      </c>
      <c r="H184" s="27" t="s">
        <v>629</v>
      </c>
      <c r="I184" s="20" t="s">
        <v>671</v>
      </c>
    </row>
    <row r="185" ht="15.75" customHeight="1">
      <c r="A185" s="23"/>
      <c r="B185" s="27" t="s">
        <v>53</v>
      </c>
      <c r="C185" s="6" t="str">
        <f>VLOOKUP(B185,Sheet3!$B$2:$E$311,2,FALSE)</f>
        <v>B004</v>
      </c>
      <c r="D185" s="6" t="str">
        <f>VLOOKUP(B185,Sheet3!$B$2:$E$311,3,)</f>
        <v>BAHAN BAKU LUUCA</v>
      </c>
      <c r="E185" s="6" t="str">
        <f>VLOOKUP(B185,Sheet3!$B$2:$E$311,4,)</f>
        <v>GR</v>
      </c>
      <c r="F185" s="27">
        <v>27.2</v>
      </c>
      <c r="G185" s="27" t="s">
        <v>538</v>
      </c>
      <c r="H185" s="27" t="s">
        <v>629</v>
      </c>
      <c r="I185" s="20" t="s">
        <v>671</v>
      </c>
    </row>
    <row r="186" ht="15.75" customHeight="1">
      <c r="A186" s="23"/>
      <c r="B186" s="27" t="s">
        <v>108</v>
      </c>
      <c r="C186" s="6" t="str">
        <f>VLOOKUP(B186,Sheet3!$B$2:$E$311,2,FALSE)</f>
        <v>B004</v>
      </c>
      <c r="D186" s="6" t="str">
        <f>VLOOKUP(B186,Sheet3!$B$2:$E$311,3,)</f>
        <v>BAHAN BAKU LUUCA</v>
      </c>
      <c r="E186" s="6" t="str">
        <f>VLOOKUP(B186,Sheet3!$B$2:$E$311,4,)</f>
        <v>GR</v>
      </c>
      <c r="F186" s="27">
        <v>29.8</v>
      </c>
      <c r="G186" s="27" t="s">
        <v>496</v>
      </c>
      <c r="H186" s="27" t="s">
        <v>629</v>
      </c>
      <c r="I186" s="39" t="s">
        <v>783</v>
      </c>
    </row>
    <row r="187" ht="15.75" customHeight="1">
      <c r="A187" s="27" t="s">
        <v>784</v>
      </c>
      <c r="B187" s="27" t="s">
        <v>108</v>
      </c>
      <c r="C187" s="6" t="str">
        <f>VLOOKUP(B187,Sheet3!$B$2:$E$311,2,FALSE)</f>
        <v>B004</v>
      </c>
      <c r="D187" s="6" t="str">
        <f>VLOOKUP(B187,Sheet3!$B$2:$E$311,3,)</f>
        <v>BAHAN BAKU LUUCA</v>
      </c>
      <c r="E187" s="6" t="str">
        <f>VLOOKUP(B187,Sheet3!$B$2:$E$311,4,)</f>
        <v>GR</v>
      </c>
      <c r="F187" s="27">
        <v>5.4</v>
      </c>
      <c r="G187" s="27" t="s">
        <v>525</v>
      </c>
      <c r="H187" s="27" t="s">
        <v>615</v>
      </c>
      <c r="I187" s="20" t="s">
        <v>671</v>
      </c>
    </row>
    <row r="188" ht="15.75" customHeight="1">
      <c r="A188" s="23"/>
      <c r="B188" s="27" t="s">
        <v>53</v>
      </c>
      <c r="C188" s="6" t="str">
        <f>VLOOKUP(B188,Sheet3!$B$2:$E$311,2,FALSE)</f>
        <v>B004</v>
      </c>
      <c r="D188" s="6" t="str">
        <f>VLOOKUP(B188,Sheet3!$B$2:$E$311,3,)</f>
        <v>BAHAN BAKU LUUCA</v>
      </c>
      <c r="E188" s="6" t="str">
        <f>VLOOKUP(B188,Sheet3!$B$2:$E$311,4,)</f>
        <v>GR</v>
      </c>
      <c r="F188" s="27">
        <v>12.4</v>
      </c>
      <c r="G188" s="27" t="s">
        <v>538</v>
      </c>
      <c r="H188" s="27" t="s">
        <v>624</v>
      </c>
      <c r="I188" s="20" t="s">
        <v>671</v>
      </c>
    </row>
    <row r="189" ht="15.75" customHeight="1">
      <c r="A189" s="23"/>
      <c r="B189" s="27" t="s">
        <v>108</v>
      </c>
      <c r="C189" s="6" t="str">
        <f>VLOOKUP(B189,Sheet3!$B$2:$E$311,2,FALSE)</f>
        <v>B004</v>
      </c>
      <c r="D189" s="6" t="str">
        <f>VLOOKUP(B189,Sheet3!$B$2:$E$311,3,)</f>
        <v>BAHAN BAKU LUUCA</v>
      </c>
      <c r="E189" s="6" t="str">
        <f>VLOOKUP(B189,Sheet3!$B$2:$E$311,4,)</f>
        <v>GR</v>
      </c>
      <c r="F189" s="27">
        <v>5.3</v>
      </c>
      <c r="G189" s="27" t="s">
        <v>525</v>
      </c>
      <c r="H189" s="27" t="s">
        <v>624</v>
      </c>
      <c r="I189" s="20" t="s">
        <v>671</v>
      </c>
    </row>
    <row r="190" ht="15.75" customHeight="1">
      <c r="A190" s="27" t="s">
        <v>785</v>
      </c>
      <c r="B190" s="27" t="s">
        <v>69</v>
      </c>
      <c r="C190" s="6" t="str">
        <f>VLOOKUP(B190,Sheet3!$B$2:$E$311,2,FALSE)</f>
        <v>B004</v>
      </c>
      <c r="D190" s="6" t="str">
        <f>VLOOKUP(B190,Sheet3!$B$2:$E$311,3,)</f>
        <v>BAHAN BAKU LUUCA</v>
      </c>
      <c r="E190" s="27" t="s">
        <v>37</v>
      </c>
      <c r="F190" s="27">
        <v>9.0</v>
      </c>
      <c r="G190" s="27" t="s">
        <v>532</v>
      </c>
      <c r="H190" s="27" t="s">
        <v>561</v>
      </c>
      <c r="I190" s="20" t="s">
        <v>671</v>
      </c>
    </row>
    <row r="191" ht="15.75" customHeight="1">
      <c r="A191" s="23"/>
      <c r="B191" s="6"/>
      <c r="C191" s="6" t="str">
        <f>VLOOKUP(B191,Sheet3!$B$2:$E$311,2,FALSE)</f>
        <v>#N/A</v>
      </c>
      <c r="D191" s="6" t="str">
        <f>VLOOKUP(B191,Sheet3!$B$2:$E$311,3,)</f>
        <v>#N/A</v>
      </c>
      <c r="E191" s="6" t="str">
        <f>VLOOKUP(B191,Sheet3!$B$2:$E$311,4,)</f>
        <v>#N/A</v>
      </c>
      <c r="F191" s="6"/>
      <c r="G191" s="6"/>
      <c r="H191" s="6"/>
    </row>
    <row r="192" ht="15.75" customHeight="1">
      <c r="A192" s="23"/>
      <c r="B192" s="6"/>
      <c r="C192" s="6" t="str">
        <f>VLOOKUP(B192,Sheet3!$B$2:$E$311,2,FALSE)</f>
        <v>#N/A</v>
      </c>
      <c r="D192" s="6" t="str">
        <f>VLOOKUP(B192,Sheet3!$B$2:$E$311,3,)</f>
        <v>#N/A</v>
      </c>
      <c r="E192" s="6" t="str">
        <f>VLOOKUP(B192,Sheet3!$B$2:$E$311,4,)</f>
        <v>#N/A</v>
      </c>
      <c r="F192" s="6"/>
      <c r="G192" s="6"/>
      <c r="H192" s="6"/>
    </row>
    <row r="193" ht="15.75" customHeight="1">
      <c r="A193" s="23"/>
      <c r="B193" s="6"/>
      <c r="C193" s="6" t="str">
        <f>VLOOKUP(B193,Sheet3!$B$2:$E$311,2,FALSE)</f>
        <v>#N/A</v>
      </c>
      <c r="D193" s="6" t="str">
        <f>VLOOKUP(B193,Sheet3!$B$2:$E$311,3,)</f>
        <v>#N/A</v>
      </c>
      <c r="E193" s="6" t="str">
        <f>VLOOKUP(B193,Sheet3!$B$2:$E$311,4,)</f>
        <v>#N/A</v>
      </c>
      <c r="F193" s="6"/>
      <c r="G193" s="6"/>
      <c r="H193" s="6"/>
    </row>
    <row r="194" ht="15.75" customHeight="1">
      <c r="A194" s="23"/>
      <c r="B194" s="6"/>
      <c r="C194" s="6" t="str">
        <f>VLOOKUP(B194,Sheet3!$B$2:$E$311,2,FALSE)</f>
        <v>#N/A</v>
      </c>
      <c r="D194" s="6" t="str">
        <f>VLOOKUP(B194,Sheet3!$B$2:$E$311,3,)</f>
        <v>#N/A</v>
      </c>
      <c r="E194" s="6" t="str">
        <f>VLOOKUP(B194,Sheet3!$B$2:$E$311,4,)</f>
        <v>#N/A</v>
      </c>
      <c r="F194" s="6"/>
      <c r="G194" s="6"/>
      <c r="H194" s="6"/>
    </row>
    <row r="195" ht="15.75" customHeight="1">
      <c r="A195" s="23"/>
      <c r="B195" s="6"/>
      <c r="C195" s="6" t="str">
        <f>VLOOKUP(B195,Sheet3!$B$2:$E$311,2,FALSE)</f>
        <v>#N/A</v>
      </c>
      <c r="D195" s="6" t="str">
        <f>VLOOKUP(B195,Sheet3!$B$2:$E$311,3,)</f>
        <v>#N/A</v>
      </c>
      <c r="E195" s="6" t="str">
        <f>VLOOKUP(B195,Sheet3!$B$2:$E$311,4,)</f>
        <v>#N/A</v>
      </c>
      <c r="F195" s="6"/>
      <c r="G195" s="6"/>
      <c r="H195" s="6"/>
    </row>
    <row r="196" ht="15.75" customHeight="1">
      <c r="A196" s="23"/>
      <c r="B196" s="6"/>
      <c r="C196" s="6" t="str">
        <f>VLOOKUP(B196,Sheet3!$B$2:$E$311,2,FALSE)</f>
        <v>#N/A</v>
      </c>
      <c r="D196" s="6" t="str">
        <f>VLOOKUP(B196,Sheet3!$B$2:$E$311,3,)</f>
        <v>#N/A</v>
      </c>
      <c r="E196" s="6" t="str">
        <f>VLOOKUP(B196,Sheet3!$B$2:$E$311,4,)</f>
        <v>#N/A</v>
      </c>
      <c r="F196" s="6"/>
      <c r="G196" s="6"/>
      <c r="H196" s="6"/>
    </row>
    <row r="197" ht="15.75" customHeight="1">
      <c r="A197" s="23"/>
      <c r="B197" s="6"/>
      <c r="C197" s="6" t="str">
        <f>VLOOKUP(B197,Sheet3!$B$2:$E$311,2,FALSE)</f>
        <v>#N/A</v>
      </c>
      <c r="D197" s="6" t="str">
        <f>VLOOKUP(B197,Sheet3!$B$2:$E$311,3,)</f>
        <v>#N/A</v>
      </c>
      <c r="E197" s="6" t="str">
        <f>VLOOKUP(B197,Sheet3!$B$2:$E$311,4,)</f>
        <v>#N/A</v>
      </c>
      <c r="F197" s="6"/>
      <c r="G197" s="6"/>
      <c r="H197" s="6"/>
    </row>
    <row r="198" ht="15.75" customHeight="1">
      <c r="A198" s="23"/>
      <c r="B198" s="6"/>
      <c r="C198" s="6" t="str">
        <f>VLOOKUP(B198,Sheet3!$B$2:$E$311,2,FALSE)</f>
        <v>#N/A</v>
      </c>
      <c r="D198" s="6" t="str">
        <f>VLOOKUP(B198,Sheet3!$B$2:$E$311,3,)</f>
        <v>#N/A</v>
      </c>
      <c r="E198" s="6" t="str">
        <f>VLOOKUP(B198,Sheet3!$B$2:$E$311,4,)</f>
        <v>#N/A</v>
      </c>
      <c r="F198" s="6"/>
      <c r="G198" s="6"/>
      <c r="H198" s="6"/>
    </row>
    <row r="199" ht="15.75" customHeight="1">
      <c r="A199" s="23"/>
      <c r="B199" s="6"/>
      <c r="C199" s="6" t="str">
        <f>VLOOKUP(B199,Sheet3!$B$2:$E$311,2,FALSE)</f>
        <v>#N/A</v>
      </c>
      <c r="D199" s="6" t="str">
        <f>VLOOKUP(B199,Sheet3!$B$2:$E$311,3,)</f>
        <v>#N/A</v>
      </c>
      <c r="E199" s="6" t="str">
        <f>VLOOKUP(B199,Sheet3!$B$2:$E$311,4,)</f>
        <v>#N/A</v>
      </c>
      <c r="F199" s="6"/>
      <c r="G199" s="6"/>
      <c r="H199" s="6"/>
    </row>
    <row r="200" ht="15.75" customHeight="1">
      <c r="A200" s="23"/>
      <c r="B200" s="6"/>
      <c r="C200" s="6" t="str">
        <f>VLOOKUP(B200,Sheet3!$B$2:$E$311,2,FALSE)</f>
        <v>#N/A</v>
      </c>
      <c r="D200" s="6" t="str">
        <f>VLOOKUP(B200,Sheet3!$B$2:$E$311,3,)</f>
        <v>#N/A</v>
      </c>
      <c r="E200" s="6" t="str">
        <f>VLOOKUP(B200,Sheet3!$B$2:$E$311,4,)</f>
        <v>#N/A</v>
      </c>
      <c r="F200" s="6"/>
      <c r="G200" s="6"/>
      <c r="H200" s="6"/>
    </row>
    <row r="201" ht="15.75" customHeight="1">
      <c r="A201" s="23"/>
      <c r="B201" s="6"/>
      <c r="C201" s="6" t="str">
        <f>VLOOKUP(B201,Sheet3!$B$2:$E$311,2,FALSE)</f>
        <v>#N/A</v>
      </c>
      <c r="D201" s="6" t="str">
        <f>VLOOKUP(B201,Sheet3!$B$2:$E$311,3,)</f>
        <v>#N/A</v>
      </c>
      <c r="E201" s="6" t="str">
        <f>VLOOKUP(B201,Sheet3!$B$2:$E$311,4,)</f>
        <v>#N/A</v>
      </c>
      <c r="F201" s="6"/>
      <c r="G201" s="6"/>
      <c r="H201" s="6"/>
    </row>
    <row r="202" ht="15.75" customHeight="1">
      <c r="A202" s="23"/>
      <c r="B202" s="6"/>
      <c r="C202" s="6" t="str">
        <f>VLOOKUP(B202,Sheet3!$B$2:$E$311,2,FALSE)</f>
        <v>#N/A</v>
      </c>
      <c r="D202" s="6" t="str">
        <f>VLOOKUP(B202,Sheet3!$B$2:$E$311,3,)</f>
        <v>#N/A</v>
      </c>
      <c r="E202" s="6" t="str">
        <f>VLOOKUP(B202,Sheet3!$B$2:$E$311,4,)</f>
        <v>#N/A</v>
      </c>
      <c r="F202" s="6"/>
      <c r="G202" s="6"/>
      <c r="H202" s="6"/>
    </row>
    <row r="203" ht="15.75" customHeight="1">
      <c r="A203" s="23"/>
      <c r="B203" s="6"/>
      <c r="C203" s="6" t="str">
        <f>VLOOKUP(B203,Sheet3!$B$2:$E$311,2,FALSE)</f>
        <v>#N/A</v>
      </c>
      <c r="D203" s="6" t="str">
        <f>VLOOKUP(B203,Sheet3!$B$2:$E$311,3,)</f>
        <v>#N/A</v>
      </c>
      <c r="E203" s="6" t="str">
        <f>VLOOKUP(B203,Sheet3!$B$2:$E$311,4,)</f>
        <v>#N/A</v>
      </c>
      <c r="F203" s="6"/>
      <c r="G203" s="6"/>
      <c r="H203" s="6"/>
    </row>
    <row r="204" ht="15.75" customHeight="1">
      <c r="A204" s="23"/>
      <c r="B204" s="6"/>
      <c r="C204" s="6" t="str">
        <f>VLOOKUP(B204,Sheet3!$B$2:$E$311,2,FALSE)</f>
        <v>#N/A</v>
      </c>
      <c r="D204" s="6" t="str">
        <f>VLOOKUP(B204,Sheet3!$B$2:$E$311,3,)</f>
        <v>#N/A</v>
      </c>
      <c r="E204" s="6" t="str">
        <f>VLOOKUP(B204,Sheet3!$B$2:$E$311,4,)</f>
        <v>#N/A</v>
      </c>
      <c r="F204" s="6"/>
      <c r="G204" s="6"/>
      <c r="H204" s="6"/>
    </row>
    <row r="205" ht="15.75" customHeight="1">
      <c r="A205" s="23"/>
      <c r="B205" s="6"/>
      <c r="C205" s="6" t="str">
        <f>VLOOKUP(B205,Sheet3!$B$2:$E$311,2,FALSE)</f>
        <v>#N/A</v>
      </c>
      <c r="D205" s="6" t="str">
        <f>VLOOKUP(B205,Sheet3!$B$2:$E$311,3,)</f>
        <v>#N/A</v>
      </c>
      <c r="E205" s="6" t="str">
        <f>VLOOKUP(B205,Sheet3!$B$2:$E$311,4,)</f>
        <v>#N/A</v>
      </c>
      <c r="F205" s="6"/>
      <c r="G205" s="6"/>
      <c r="H205" s="6"/>
    </row>
    <row r="206" ht="15.75" customHeight="1">
      <c r="A206" s="23"/>
      <c r="B206" s="6"/>
      <c r="C206" s="6" t="str">
        <f>VLOOKUP(B206,Sheet3!$B$2:$E$311,2,FALSE)</f>
        <v>#N/A</v>
      </c>
      <c r="D206" s="6" t="str">
        <f>VLOOKUP(B206,Sheet3!$B$2:$E$311,3,)</f>
        <v>#N/A</v>
      </c>
      <c r="E206" s="6" t="str">
        <f>VLOOKUP(B206,Sheet3!$B$2:$E$311,4,)</f>
        <v>#N/A</v>
      </c>
      <c r="F206" s="6"/>
      <c r="G206" s="6"/>
      <c r="H206" s="6"/>
    </row>
    <row r="207" ht="15.75" customHeight="1">
      <c r="A207" s="23"/>
      <c r="B207" s="6"/>
      <c r="C207" s="6" t="str">
        <f>VLOOKUP(B207,Sheet3!$B$2:$E$311,2,FALSE)</f>
        <v>#N/A</v>
      </c>
      <c r="D207" s="6" t="str">
        <f>VLOOKUP(B207,Sheet3!$B$2:$E$311,3,)</f>
        <v>#N/A</v>
      </c>
      <c r="E207" s="6" t="str">
        <f>VLOOKUP(B207,Sheet3!$B$2:$E$311,4,)</f>
        <v>#N/A</v>
      </c>
      <c r="F207" s="6"/>
      <c r="G207" s="6"/>
      <c r="H207" s="6"/>
    </row>
    <row r="208" ht="15.75" customHeight="1">
      <c r="A208" s="23"/>
      <c r="B208" s="6"/>
      <c r="C208" s="6" t="str">
        <f>VLOOKUP(B208,Sheet3!$B$2:$E$311,2,FALSE)</f>
        <v>#N/A</v>
      </c>
      <c r="D208" s="6" t="str">
        <f>VLOOKUP(B208,Sheet3!$B$2:$E$311,3,)</f>
        <v>#N/A</v>
      </c>
      <c r="E208" s="6" t="str">
        <f>VLOOKUP(B208,Sheet3!$B$2:$E$311,4,)</f>
        <v>#N/A</v>
      </c>
      <c r="F208" s="6"/>
      <c r="G208" s="6"/>
      <c r="H208" s="6"/>
    </row>
    <row r="209" ht="15.75" customHeight="1">
      <c r="A209" s="23"/>
      <c r="B209" s="6"/>
      <c r="C209" s="6" t="str">
        <f>VLOOKUP(B209,Sheet3!$B$2:$E$311,2,FALSE)</f>
        <v>#N/A</v>
      </c>
      <c r="D209" s="6" t="str">
        <f>VLOOKUP(B209,Sheet3!$B$2:$E$311,3,)</f>
        <v>#N/A</v>
      </c>
      <c r="E209" s="6" t="str">
        <f>VLOOKUP(B209,Sheet3!$B$2:$E$311,4,)</f>
        <v>#N/A</v>
      </c>
      <c r="F209" s="6"/>
      <c r="G209" s="6"/>
      <c r="H209" s="6"/>
    </row>
    <row r="210" ht="15.75" customHeight="1">
      <c r="A210" s="23"/>
      <c r="B210" s="6"/>
      <c r="C210" s="6" t="str">
        <f>VLOOKUP(B210,Sheet3!$B$2:$E$311,2,FALSE)</f>
        <v>#N/A</v>
      </c>
      <c r="D210" s="6" t="str">
        <f>VLOOKUP(B210,Sheet3!$B$2:$E$311,3,)</f>
        <v>#N/A</v>
      </c>
      <c r="E210" s="6" t="str">
        <f>VLOOKUP(B210,Sheet3!$B$2:$E$311,4,)</f>
        <v>#N/A</v>
      </c>
      <c r="F210" s="6"/>
      <c r="G210" s="6"/>
      <c r="H210" s="6"/>
    </row>
    <row r="211" ht="15.75" customHeight="1">
      <c r="A211" s="23"/>
      <c r="B211" s="6"/>
      <c r="C211" s="6" t="str">
        <f>VLOOKUP(B211,Sheet3!$B$2:$E$311,2,FALSE)</f>
        <v>#N/A</v>
      </c>
      <c r="D211" s="6" t="str">
        <f>VLOOKUP(B211,Sheet3!$B$2:$E$311,3,)</f>
        <v>#N/A</v>
      </c>
      <c r="E211" s="6" t="str">
        <f>VLOOKUP(B211,Sheet3!$B$2:$E$311,4,)</f>
        <v>#N/A</v>
      </c>
      <c r="F211" s="6"/>
      <c r="G211" s="6"/>
      <c r="H211" s="6"/>
    </row>
    <row r="212" ht="15.75" customHeight="1">
      <c r="A212" s="23"/>
      <c r="B212" s="6"/>
      <c r="C212" s="6" t="str">
        <f>VLOOKUP(B212,Sheet3!$B$2:$E$311,2,FALSE)</f>
        <v>#N/A</v>
      </c>
      <c r="D212" s="6" t="str">
        <f>VLOOKUP(B212,Sheet3!$B$2:$E$311,3,)</f>
        <v>#N/A</v>
      </c>
      <c r="E212" s="6" t="str">
        <f>VLOOKUP(B212,Sheet3!$B$2:$E$311,4,)</f>
        <v>#N/A</v>
      </c>
      <c r="F212" s="6"/>
      <c r="G212" s="6"/>
      <c r="H212" s="6"/>
    </row>
    <row r="213" ht="15.75" customHeight="1">
      <c r="A213" s="23"/>
      <c r="B213" s="6"/>
      <c r="C213" s="6" t="str">
        <f>VLOOKUP(B213,Sheet3!$B$2:$E$311,2,FALSE)</f>
        <v>#N/A</v>
      </c>
      <c r="D213" s="6" t="str">
        <f>VLOOKUP(B213,Sheet3!$B$2:$E$311,3,)</f>
        <v>#N/A</v>
      </c>
      <c r="E213" s="6" t="str">
        <f>VLOOKUP(B213,Sheet3!$B$2:$E$311,4,)</f>
        <v>#N/A</v>
      </c>
      <c r="F213" s="6"/>
      <c r="G213" s="6"/>
      <c r="H213" s="6"/>
    </row>
    <row r="214" ht="15.75" customHeight="1">
      <c r="A214" s="23"/>
      <c r="B214" s="6"/>
      <c r="C214" s="6" t="str">
        <f>VLOOKUP(B214,Sheet3!$B$2:$E$311,2,FALSE)</f>
        <v>#N/A</v>
      </c>
      <c r="D214" s="6" t="str">
        <f>VLOOKUP(B214,Sheet3!$B$2:$E$311,3,)</f>
        <v>#N/A</v>
      </c>
      <c r="E214" s="6" t="str">
        <f>VLOOKUP(B214,Sheet3!$B$2:$E$311,4,)</f>
        <v>#N/A</v>
      </c>
      <c r="F214" s="6"/>
      <c r="G214" s="6"/>
      <c r="H214" s="6"/>
    </row>
    <row r="215" ht="15.75" customHeight="1">
      <c r="A215" s="23"/>
      <c r="B215" s="6"/>
      <c r="C215" s="6" t="str">
        <f>VLOOKUP(B215,Sheet3!$B$2:$E$311,2,FALSE)</f>
        <v>#N/A</v>
      </c>
      <c r="D215" s="6" t="str">
        <f>VLOOKUP(B215,Sheet3!$B$2:$E$311,3,)</f>
        <v>#N/A</v>
      </c>
      <c r="E215" s="6" t="str">
        <f>VLOOKUP(B215,Sheet3!$B$2:$E$311,4,)</f>
        <v>#N/A</v>
      </c>
      <c r="F215" s="6"/>
      <c r="G215" s="6"/>
      <c r="H215" s="6"/>
    </row>
    <row r="216" ht="15.75" customHeight="1">
      <c r="A216" s="23"/>
      <c r="B216" s="6"/>
      <c r="C216" s="6" t="str">
        <f>VLOOKUP(B216,Sheet3!$B$2:$E$311,2,FALSE)</f>
        <v>#N/A</v>
      </c>
      <c r="D216" s="6" t="str">
        <f>VLOOKUP(B216,Sheet3!$B$2:$E$311,3,)</f>
        <v>#N/A</v>
      </c>
      <c r="E216" s="6" t="str">
        <f>VLOOKUP(B216,Sheet3!$B$2:$E$311,4,)</f>
        <v>#N/A</v>
      </c>
      <c r="F216" s="6"/>
      <c r="G216" s="6"/>
      <c r="H216" s="6"/>
    </row>
    <row r="217" ht="15.75" customHeight="1">
      <c r="A217" s="23"/>
      <c r="B217" s="6"/>
      <c r="C217" s="6" t="str">
        <f>VLOOKUP(B217,Sheet3!$B$2:$E$311,2,FALSE)</f>
        <v>#N/A</v>
      </c>
      <c r="D217" s="6" t="str">
        <f>VLOOKUP(B217,Sheet3!$B$2:$E$311,3,)</f>
        <v>#N/A</v>
      </c>
      <c r="E217" s="6" t="s">
        <v>628</v>
      </c>
      <c r="F217" s="6"/>
      <c r="G217" s="6"/>
      <c r="H217" s="6"/>
    </row>
    <row r="218" ht="15.75" customHeight="1">
      <c r="A218" s="23"/>
      <c r="B218" s="6"/>
      <c r="C218" s="6" t="str">
        <f>VLOOKUP(B218,Sheet3!$B$2:$E$311,2,FALSE)</f>
        <v>#N/A</v>
      </c>
      <c r="D218" s="6" t="str">
        <f>VLOOKUP(B218,Sheet3!$B$2:$E$311,3,)</f>
        <v>#N/A</v>
      </c>
      <c r="E218" s="6" t="str">
        <f>VLOOKUP(B218,Sheet3!$B$2:$E$311,4,)</f>
        <v>#N/A</v>
      </c>
      <c r="F218" s="6"/>
      <c r="G218" s="6"/>
      <c r="H218" s="6"/>
    </row>
    <row r="219" ht="15.75" customHeight="1">
      <c r="A219" s="23"/>
      <c r="B219" s="6"/>
      <c r="C219" s="6" t="str">
        <f>VLOOKUP(B219,Sheet3!$B$2:$E$311,2,FALSE)</f>
        <v>#N/A</v>
      </c>
      <c r="D219" s="6" t="str">
        <f>VLOOKUP(B219,Sheet3!$B$2:$E$311,3,)</f>
        <v>#N/A</v>
      </c>
      <c r="E219" s="6" t="str">
        <f>VLOOKUP(B219,Sheet3!$B$2:$E$311,4,)</f>
        <v>#N/A</v>
      </c>
      <c r="F219" s="6"/>
      <c r="G219" s="6"/>
      <c r="H219" s="6"/>
    </row>
    <row r="220" ht="15.75" customHeight="1">
      <c r="A220" s="23"/>
      <c r="B220" s="6"/>
      <c r="C220" s="6" t="str">
        <f>VLOOKUP(B220,Sheet3!$B$2:$E$311,2,FALSE)</f>
        <v>#N/A</v>
      </c>
      <c r="D220" s="6" t="str">
        <f>VLOOKUP(B220,Sheet3!$B$2:$E$311,3,)</f>
        <v>#N/A</v>
      </c>
      <c r="E220" s="6" t="str">
        <f>VLOOKUP(B220,Sheet3!$B$2:$E$311,4,)</f>
        <v>#N/A</v>
      </c>
      <c r="F220" s="6"/>
      <c r="G220" s="6"/>
      <c r="H220" s="6"/>
    </row>
    <row r="221" ht="15.75" customHeight="1">
      <c r="A221" s="23"/>
      <c r="B221" s="6"/>
      <c r="C221" s="6" t="str">
        <f>VLOOKUP(B221,Sheet3!$B$2:$E$311,2,FALSE)</f>
        <v>#N/A</v>
      </c>
      <c r="D221" s="6" t="str">
        <f>VLOOKUP(B221,Sheet3!$B$2:$E$311,3,)</f>
        <v>#N/A</v>
      </c>
      <c r="E221" s="6" t="str">
        <f>VLOOKUP(B221,Sheet3!$B$2:$E$311,4,)</f>
        <v>#N/A</v>
      </c>
      <c r="F221" s="6"/>
      <c r="G221" s="6"/>
      <c r="H221" s="6"/>
    </row>
    <row r="222" ht="15.75" customHeight="1">
      <c r="A222" s="23"/>
      <c r="B222" s="6"/>
      <c r="C222" s="6" t="str">
        <f>VLOOKUP(B222,Sheet3!$B$2:$E$311,2,FALSE)</f>
        <v>#N/A</v>
      </c>
      <c r="D222" s="6" t="str">
        <f>VLOOKUP(B222,Sheet3!$B$2:$E$311,3,)</f>
        <v>#N/A</v>
      </c>
      <c r="E222" s="6" t="str">
        <f>VLOOKUP(B222,Sheet3!$B$2:$E$311,4,)</f>
        <v>#N/A</v>
      </c>
      <c r="F222" s="6"/>
      <c r="G222" s="6"/>
      <c r="H222" s="6"/>
    </row>
    <row r="223" ht="15.75" customHeight="1">
      <c r="A223" s="23"/>
      <c r="B223" s="6"/>
      <c r="C223" s="6" t="str">
        <f>VLOOKUP(B223,Sheet3!$B$2:$E$311,2,FALSE)</f>
        <v>#N/A</v>
      </c>
      <c r="D223" s="6" t="str">
        <f>VLOOKUP(B223,Sheet3!$B$2:$E$311,3,)</f>
        <v>#N/A</v>
      </c>
      <c r="E223" s="6" t="str">
        <f>VLOOKUP(B223,Sheet3!$B$2:$E$311,4,)</f>
        <v>#N/A</v>
      </c>
      <c r="F223" s="6"/>
      <c r="G223" s="6"/>
      <c r="H223" s="6"/>
    </row>
    <row r="224" ht="15.75" customHeight="1">
      <c r="A224" s="23"/>
      <c r="B224" s="6"/>
      <c r="C224" s="6" t="str">
        <f>VLOOKUP(B224,Sheet3!$B$2:$E$311,2,FALSE)</f>
        <v>#N/A</v>
      </c>
      <c r="D224" s="6" t="str">
        <f>VLOOKUP(B224,Sheet3!$B$2:$E$311,3,)</f>
        <v>#N/A</v>
      </c>
      <c r="E224" s="6" t="str">
        <f>VLOOKUP(B224,Sheet3!$B$2:$E$311,4,)</f>
        <v>#N/A</v>
      </c>
      <c r="F224" s="6"/>
      <c r="G224" s="6"/>
      <c r="H224" s="6"/>
    </row>
    <row r="225" ht="15.75" customHeight="1">
      <c r="A225" s="23"/>
      <c r="B225" s="6"/>
      <c r="C225" s="6" t="str">
        <f>VLOOKUP(B225,Sheet3!$B$2:$E$311,2,FALSE)</f>
        <v>#N/A</v>
      </c>
      <c r="D225" s="6" t="str">
        <f>VLOOKUP(B225,Sheet3!$B$2:$E$311,3,)</f>
        <v>#N/A</v>
      </c>
      <c r="E225" s="6" t="str">
        <f>VLOOKUP(B225,Sheet3!$B$2:$E$311,4,)</f>
        <v>#N/A</v>
      </c>
      <c r="F225" s="6"/>
      <c r="G225" s="6"/>
      <c r="H225" s="6"/>
    </row>
    <row r="226" ht="15.75" customHeight="1">
      <c r="A226" s="23"/>
      <c r="B226" s="6"/>
      <c r="C226" s="6" t="str">
        <f>VLOOKUP(B226,Sheet3!$B$2:$E$311,2,FALSE)</f>
        <v>#N/A</v>
      </c>
      <c r="D226" s="6" t="str">
        <f>VLOOKUP(B226,Sheet3!$B$2:$E$311,3,)</f>
        <v>#N/A</v>
      </c>
      <c r="E226" s="6" t="str">
        <f>VLOOKUP(B226,Sheet3!$B$2:$E$311,4,)</f>
        <v>#N/A</v>
      </c>
      <c r="F226" s="6"/>
      <c r="G226" s="6"/>
      <c r="H226" s="6"/>
    </row>
    <row r="227" ht="15.75" customHeight="1">
      <c r="A227" s="23"/>
      <c r="B227" s="6"/>
      <c r="C227" s="6" t="str">
        <f>VLOOKUP(B227,Sheet3!$B$2:$E$311,2,FALSE)</f>
        <v>#N/A</v>
      </c>
      <c r="D227" s="6" t="str">
        <f>VLOOKUP(B227,Sheet3!$B$2:$E$311,3,)</f>
        <v>#N/A</v>
      </c>
      <c r="E227" s="6" t="str">
        <f>VLOOKUP(B227,Sheet3!$B$2:$E$311,4,)</f>
        <v>#N/A</v>
      </c>
      <c r="F227" s="6"/>
      <c r="G227" s="6"/>
      <c r="H227" s="6"/>
    </row>
    <row r="228" ht="15.75" customHeight="1">
      <c r="A228" s="23"/>
      <c r="B228" s="6"/>
      <c r="C228" s="6" t="str">
        <f>VLOOKUP(B228,Sheet3!$B$2:$E$311,2,FALSE)</f>
        <v>#N/A</v>
      </c>
      <c r="D228" s="6" t="str">
        <f>VLOOKUP(B228,Sheet3!$B$2:$E$311,3,)</f>
        <v>#N/A</v>
      </c>
      <c r="E228" s="6" t="str">
        <f>VLOOKUP(B228,Sheet3!$B$2:$E$311,4,)</f>
        <v>#N/A</v>
      </c>
      <c r="F228" s="6"/>
      <c r="G228" s="6"/>
      <c r="H228" s="6"/>
    </row>
    <row r="229" ht="15.75" customHeight="1">
      <c r="A229" s="23"/>
      <c r="B229" s="6"/>
      <c r="C229" s="6" t="str">
        <f>VLOOKUP(B229,Sheet3!$B$2:$E$311,2,FALSE)</f>
        <v>#N/A</v>
      </c>
      <c r="D229" s="6" t="str">
        <f>VLOOKUP(B229,Sheet3!$B$2:$E$311,3,)</f>
        <v>#N/A</v>
      </c>
      <c r="E229" s="6" t="str">
        <f>VLOOKUP(B229,Sheet3!$B$2:$E$311,4,)</f>
        <v>#N/A</v>
      </c>
      <c r="F229" s="6"/>
      <c r="G229" s="6"/>
      <c r="H229" s="6"/>
    </row>
    <row r="230" ht="15.75" customHeight="1">
      <c r="A230" s="23"/>
      <c r="B230" s="6"/>
      <c r="C230" s="6" t="str">
        <f>VLOOKUP(B230,Sheet3!$B$2:$E$311,2,FALSE)</f>
        <v>#N/A</v>
      </c>
      <c r="D230" s="6" t="str">
        <f>VLOOKUP(B230,Sheet3!$B$2:$E$311,3,)</f>
        <v>#N/A</v>
      </c>
      <c r="E230" s="6" t="str">
        <f>VLOOKUP(B230,Sheet3!$B$2:$E$311,4,)</f>
        <v>#N/A</v>
      </c>
      <c r="F230" s="6"/>
      <c r="G230" s="6"/>
      <c r="H230" s="6"/>
    </row>
    <row r="231" ht="15.75" customHeight="1">
      <c r="A231" s="23"/>
      <c r="B231" s="6"/>
      <c r="C231" s="6" t="str">
        <f>VLOOKUP(B231,Sheet3!$B$2:$E$311,2,FALSE)</f>
        <v>#N/A</v>
      </c>
      <c r="D231" s="6" t="str">
        <f>VLOOKUP(B231,Sheet3!$B$2:$E$311,3,)</f>
        <v>#N/A</v>
      </c>
      <c r="E231" s="6" t="str">
        <f>VLOOKUP(B231,Sheet3!$B$2:$E$311,4,)</f>
        <v>#N/A</v>
      </c>
      <c r="F231" s="6"/>
      <c r="G231" s="6"/>
      <c r="H231" s="6"/>
    </row>
    <row r="232" ht="15.75" customHeight="1">
      <c r="A232" s="23"/>
      <c r="B232" s="6"/>
      <c r="C232" s="6" t="str">
        <f>VLOOKUP(B232,Sheet3!$B$2:$E$311,2,FALSE)</f>
        <v>#N/A</v>
      </c>
      <c r="D232" s="6" t="str">
        <f>VLOOKUP(B232,Sheet3!$B$2:$E$311,3,)</f>
        <v>#N/A</v>
      </c>
      <c r="E232" s="6" t="str">
        <f>VLOOKUP(B232,Sheet3!$B$2:$E$311,4,)</f>
        <v>#N/A</v>
      </c>
      <c r="F232" s="6"/>
      <c r="G232" s="6"/>
      <c r="H232" s="6"/>
    </row>
    <row r="233" ht="15.75" customHeight="1">
      <c r="A233" s="23"/>
      <c r="B233" s="6"/>
      <c r="C233" s="6" t="str">
        <f>VLOOKUP(B233,Sheet3!$B$2:$E$311,2,FALSE)</f>
        <v>#N/A</v>
      </c>
      <c r="D233" s="6" t="str">
        <f>VLOOKUP(B233,Sheet3!$B$2:$E$311,3,)</f>
        <v>#N/A</v>
      </c>
      <c r="E233" s="6" t="str">
        <f>VLOOKUP(B233,Sheet3!$B$2:$E$311,4,)</f>
        <v>#N/A</v>
      </c>
      <c r="F233" s="6"/>
      <c r="G233" s="6"/>
      <c r="H233" s="6"/>
    </row>
    <row r="234" ht="15.75" customHeight="1">
      <c r="A234" s="23"/>
      <c r="B234" s="6"/>
      <c r="C234" s="6" t="str">
        <f>VLOOKUP(B234,Sheet3!$B$2:$E$311,2,FALSE)</f>
        <v>#N/A</v>
      </c>
      <c r="D234" s="6" t="str">
        <f>VLOOKUP(B234,Sheet3!$B$2:$E$311,3,)</f>
        <v>#N/A</v>
      </c>
      <c r="E234" s="6" t="str">
        <f>VLOOKUP(B234,Sheet3!$B$2:$E$311,4,)</f>
        <v>#N/A</v>
      </c>
      <c r="F234" s="6"/>
      <c r="G234" s="6"/>
      <c r="H234" s="6"/>
    </row>
    <row r="235" ht="15.75" customHeight="1">
      <c r="A235" s="23"/>
      <c r="B235" s="6"/>
      <c r="C235" s="6" t="str">
        <f>VLOOKUP(B235,Sheet3!$B$2:$E$311,2,FALSE)</f>
        <v>#N/A</v>
      </c>
      <c r="D235" s="6" t="str">
        <f>VLOOKUP(B235,Sheet3!$B$2:$E$311,3,)</f>
        <v>#N/A</v>
      </c>
      <c r="E235" s="6" t="str">
        <f>VLOOKUP(B235,Sheet3!$B$2:$E$311,4,)</f>
        <v>#N/A</v>
      </c>
      <c r="F235" s="6"/>
      <c r="G235" s="6"/>
      <c r="H235" s="6"/>
    </row>
    <row r="236" ht="15.75" customHeight="1">
      <c r="A236" s="23"/>
      <c r="B236" s="6"/>
      <c r="C236" s="6" t="str">
        <f>VLOOKUP(B236,Sheet3!$B$2:$E$311,2,FALSE)</f>
        <v>#N/A</v>
      </c>
      <c r="D236" s="6" t="str">
        <f>VLOOKUP(B236,Sheet3!$B$2:$E$311,3,)</f>
        <v>#N/A</v>
      </c>
      <c r="E236" s="6" t="str">
        <f>VLOOKUP(B236,Sheet3!$B$2:$E$311,4,)</f>
        <v>#N/A</v>
      </c>
      <c r="F236" s="6"/>
      <c r="G236" s="6"/>
      <c r="H236" s="6"/>
    </row>
    <row r="237" ht="15.75" customHeight="1">
      <c r="A237" s="23"/>
      <c r="B237" s="6"/>
      <c r="C237" s="6" t="str">
        <f>VLOOKUP(B237,Sheet3!$B$2:$E$311,2,FALSE)</f>
        <v>#N/A</v>
      </c>
      <c r="D237" s="6" t="str">
        <f>VLOOKUP(B237,Sheet3!$B$2:$E$311,3,)</f>
        <v>#N/A</v>
      </c>
      <c r="E237" s="6" t="str">
        <f>VLOOKUP(B237,Sheet3!$B$2:$E$311,4,)</f>
        <v>#N/A</v>
      </c>
      <c r="F237" s="6"/>
      <c r="G237" s="6"/>
      <c r="H237" s="6"/>
    </row>
    <row r="238" ht="15.75" customHeight="1">
      <c r="A238" s="23"/>
      <c r="B238" s="6"/>
      <c r="C238" s="6" t="str">
        <f>VLOOKUP(B238,Sheet3!$B$2:$E$311,2,FALSE)</f>
        <v>#N/A</v>
      </c>
      <c r="D238" s="6" t="str">
        <f>VLOOKUP(B238,Sheet3!$B$2:$E$311,3,)</f>
        <v>#N/A</v>
      </c>
      <c r="E238" s="6" t="str">
        <f>VLOOKUP(B238,Sheet3!$B$2:$E$311,4,)</f>
        <v>#N/A</v>
      </c>
      <c r="F238" s="6"/>
      <c r="G238" s="6"/>
      <c r="H238" s="6"/>
    </row>
    <row r="239" ht="15.75" customHeight="1">
      <c r="A239" s="23"/>
      <c r="B239" s="6"/>
      <c r="C239" s="6" t="str">
        <f>VLOOKUP(B239,Sheet3!$B$2:$E$311,2,FALSE)</f>
        <v>#N/A</v>
      </c>
      <c r="D239" s="6" t="str">
        <f>VLOOKUP(B239,Sheet3!$B$2:$E$311,3,)</f>
        <v>#N/A</v>
      </c>
      <c r="E239" s="6" t="str">
        <f>VLOOKUP(B239,Sheet3!$B$2:$E$311,4,)</f>
        <v>#N/A</v>
      </c>
      <c r="F239" s="6"/>
      <c r="G239" s="6"/>
      <c r="H239" s="6"/>
    </row>
    <row r="240" ht="15.75" customHeight="1">
      <c r="A240" s="23"/>
      <c r="B240" s="6"/>
      <c r="C240" s="6" t="str">
        <f>VLOOKUP(B240,Sheet3!$B$2:$E$311,2,FALSE)</f>
        <v>#N/A</v>
      </c>
      <c r="D240" s="6" t="str">
        <f>VLOOKUP(B240,Sheet3!$B$2:$E$311,3,)</f>
        <v>#N/A</v>
      </c>
      <c r="E240" s="6" t="str">
        <f>VLOOKUP(B240,Sheet3!$B$2:$E$311,4,)</f>
        <v>#N/A</v>
      </c>
      <c r="F240" s="6"/>
      <c r="G240" s="6"/>
      <c r="H240" s="6"/>
    </row>
    <row r="241" ht="15.75" customHeight="1">
      <c r="A241" s="6"/>
      <c r="B241" s="6"/>
      <c r="C241" s="6" t="str">
        <f>VLOOKUP(B241,Sheet3!$B$2:$E$311,2,FALSE)</f>
        <v>#N/A</v>
      </c>
      <c r="D241" s="6" t="str">
        <f>VLOOKUP(B241,Sheet3!$B$2:$E$311,3,)</f>
        <v>#N/A</v>
      </c>
      <c r="E241" s="6" t="str">
        <f>VLOOKUP(B241,Sheet3!$B$2:$E$311,4,)</f>
        <v>#N/A</v>
      </c>
      <c r="F241" s="6"/>
      <c r="G241" s="6"/>
      <c r="H241" s="6"/>
    </row>
    <row r="242" ht="15.75" customHeight="1">
      <c r="A242" s="6"/>
      <c r="B242" s="6"/>
      <c r="C242" s="6" t="str">
        <f>VLOOKUP(B242,Sheet3!$B$2:$E$311,2,FALSE)</f>
        <v>#N/A</v>
      </c>
      <c r="D242" s="6" t="str">
        <f>VLOOKUP(B242,Sheet3!$B$2:$E$311,3,)</f>
        <v>#N/A</v>
      </c>
      <c r="E242" s="6" t="str">
        <f>VLOOKUP(B242,Sheet3!$B$2:$E$311,4,)</f>
        <v>#N/A</v>
      </c>
      <c r="F242" s="6"/>
      <c r="G242" s="6"/>
      <c r="H242" s="6"/>
    </row>
    <row r="243" ht="15.75" customHeight="1">
      <c r="A243" s="6"/>
      <c r="B243" s="6"/>
      <c r="C243" s="6" t="str">
        <f>VLOOKUP(B243,Sheet3!$B$2:$E$311,2,FALSE)</f>
        <v>#N/A</v>
      </c>
      <c r="D243" s="6" t="str">
        <f>VLOOKUP(B243,Sheet3!$B$2:$E$311,3,)</f>
        <v>#N/A</v>
      </c>
      <c r="E243" s="6" t="str">
        <f>VLOOKUP(B243,Sheet3!$B$2:$E$311,4,)</f>
        <v>#N/A</v>
      </c>
      <c r="F243" s="6"/>
      <c r="G243" s="6"/>
      <c r="H243" s="6"/>
    </row>
    <row r="244" ht="15.75" customHeight="1">
      <c r="A244" s="6"/>
      <c r="B244" s="6"/>
      <c r="C244" s="6" t="str">
        <f>VLOOKUP(B244,Sheet3!$B$2:$E$311,2,FALSE)</f>
        <v>#N/A</v>
      </c>
      <c r="D244" s="6" t="str">
        <f>VLOOKUP(B244,Sheet3!$B$2:$E$311,3,)</f>
        <v>#N/A</v>
      </c>
      <c r="E244" s="6" t="str">
        <f>VLOOKUP(B244,Sheet3!$B$2:$E$311,4,)</f>
        <v>#N/A</v>
      </c>
      <c r="F244" s="6"/>
      <c r="G244" s="6"/>
      <c r="H244" s="6"/>
    </row>
    <row r="245" ht="15.75" customHeight="1">
      <c r="A245" s="6"/>
      <c r="B245" s="6"/>
      <c r="C245" s="6" t="str">
        <f>VLOOKUP(B245,Sheet3!$B$2:$E$311,2,FALSE)</f>
        <v>#N/A</v>
      </c>
      <c r="D245" s="6" t="str">
        <f>VLOOKUP(B245,Sheet3!$B$2:$E$311,3,)</f>
        <v>#N/A</v>
      </c>
      <c r="E245" s="6" t="str">
        <f>VLOOKUP(B245,Sheet3!$B$2:$E$311,4,)</f>
        <v>#N/A</v>
      </c>
      <c r="F245" s="6"/>
      <c r="G245" s="6"/>
      <c r="H245" s="6"/>
    </row>
    <row r="246" ht="15.75" customHeight="1">
      <c r="A246" s="6"/>
      <c r="B246" s="6"/>
      <c r="C246" s="6" t="str">
        <f>VLOOKUP(B246,Sheet3!$B$2:$E$311,2,FALSE)</f>
        <v>#N/A</v>
      </c>
      <c r="D246" s="6" t="str">
        <f>VLOOKUP(B246,Sheet3!$B$2:$E$311,3,)</f>
        <v>#N/A</v>
      </c>
      <c r="E246" s="6" t="str">
        <f>VLOOKUP(B246,Sheet3!$B$2:$E$311,4,)</f>
        <v>#N/A</v>
      </c>
      <c r="F246" s="6"/>
      <c r="G246" s="6"/>
      <c r="H246" s="6"/>
    </row>
    <row r="247" ht="15.75" customHeight="1">
      <c r="A247" s="6"/>
      <c r="B247" s="6"/>
      <c r="C247" s="6" t="str">
        <f>VLOOKUP(B247,Sheet3!$B$2:$E$311,2,FALSE)</f>
        <v>#N/A</v>
      </c>
      <c r="D247" s="6" t="str">
        <f>VLOOKUP(B247,Sheet3!$B$2:$E$311,3,)</f>
        <v>#N/A</v>
      </c>
      <c r="E247" s="6" t="str">
        <f>VLOOKUP(B247,Sheet3!$B$2:$E$311,4,)</f>
        <v>#N/A</v>
      </c>
      <c r="F247" s="6"/>
      <c r="G247" s="6"/>
      <c r="H247" s="6"/>
    </row>
    <row r="248" ht="15.75" customHeight="1">
      <c r="A248" s="6"/>
      <c r="B248" s="6"/>
      <c r="C248" s="6" t="str">
        <f>VLOOKUP(B248,Sheet3!$B$2:$E$311,2,FALSE)</f>
        <v>#N/A</v>
      </c>
      <c r="D248" s="6" t="str">
        <f>VLOOKUP(B248,Sheet3!$B$2:$E$311,3,)</f>
        <v>#N/A</v>
      </c>
      <c r="E248" s="6" t="str">
        <f>VLOOKUP(B248,Sheet3!$B$2:$E$311,4,)</f>
        <v>#N/A</v>
      </c>
      <c r="F248" s="6"/>
      <c r="G248" s="6"/>
      <c r="H248" s="6"/>
    </row>
    <row r="249" ht="15.75" customHeight="1">
      <c r="A249" s="6"/>
      <c r="B249" s="6"/>
      <c r="C249" s="6" t="str">
        <f>VLOOKUP(B249,Sheet3!$B$2:$E$311,2,FALSE)</f>
        <v>#N/A</v>
      </c>
      <c r="D249" s="6" t="str">
        <f>VLOOKUP(B249,Sheet3!$B$2:$E$311,3,)</f>
        <v>#N/A</v>
      </c>
      <c r="E249" s="6" t="str">
        <f>VLOOKUP(B249,Sheet3!$B$2:$E$311,4,)</f>
        <v>#N/A</v>
      </c>
      <c r="F249" s="6"/>
      <c r="G249" s="6"/>
      <c r="H249" s="6"/>
    </row>
    <row r="250" ht="15.75" customHeight="1">
      <c r="A250" s="6"/>
      <c r="B250" s="6"/>
      <c r="C250" s="6" t="str">
        <f>VLOOKUP(B250,Sheet3!$B$2:$E$311,2,FALSE)</f>
        <v>#N/A</v>
      </c>
      <c r="D250" s="6" t="str">
        <f>VLOOKUP(B250,Sheet3!$B$2:$E$311,3,)</f>
        <v>#N/A</v>
      </c>
      <c r="E250" s="6" t="str">
        <f>VLOOKUP(B250,Sheet3!$B$2:$E$311,4,)</f>
        <v>#N/A</v>
      </c>
      <c r="F250" s="6"/>
      <c r="G250" s="6"/>
      <c r="H250" s="6"/>
    </row>
    <row r="251" ht="15.75" customHeight="1">
      <c r="A251" s="6"/>
      <c r="B251" s="6"/>
      <c r="C251" s="6" t="str">
        <f>VLOOKUP(B251,Sheet3!$B$2:$E$311,2,FALSE)</f>
        <v>#N/A</v>
      </c>
      <c r="D251" s="6" t="str">
        <f>VLOOKUP(B251,Sheet3!$B$2:$E$311,3,)</f>
        <v>#N/A</v>
      </c>
      <c r="E251" s="6" t="str">
        <f>VLOOKUP(B251,Sheet3!$B$2:$E$311,4,)</f>
        <v>#N/A</v>
      </c>
      <c r="F251" s="6"/>
      <c r="G251" s="6"/>
      <c r="H251" s="6"/>
    </row>
    <row r="252" ht="15.75" customHeight="1">
      <c r="A252" s="6"/>
      <c r="B252" s="6"/>
      <c r="C252" s="6" t="str">
        <f>VLOOKUP(B252,Sheet3!$B$2:$E$311,2,FALSE)</f>
        <v>#N/A</v>
      </c>
      <c r="D252" s="6" t="str">
        <f>VLOOKUP(B252,Sheet3!$B$2:$E$311,3,)</f>
        <v>#N/A</v>
      </c>
      <c r="E252" s="6" t="str">
        <f>VLOOKUP(B252,Sheet3!$B$2:$E$311,4,)</f>
        <v>#N/A</v>
      </c>
      <c r="F252" s="6"/>
      <c r="G252" s="6"/>
      <c r="H252" s="6"/>
    </row>
    <row r="253" ht="15.75" customHeight="1">
      <c r="A253" s="6"/>
      <c r="B253" s="6"/>
      <c r="C253" s="6" t="str">
        <f>VLOOKUP(B253,Sheet3!$B$2:$E$311,2,FALSE)</f>
        <v>#N/A</v>
      </c>
      <c r="D253" s="6" t="str">
        <f>VLOOKUP(B253,Sheet3!$B$2:$E$311,3,)</f>
        <v>#N/A</v>
      </c>
      <c r="E253" s="6" t="str">
        <f>VLOOKUP(B253,Sheet3!$B$2:$E$311,4,)</f>
        <v>#N/A</v>
      </c>
      <c r="F253" s="6"/>
      <c r="G253" s="6"/>
      <c r="H253" s="6"/>
    </row>
    <row r="254" ht="15.75" customHeight="1">
      <c r="A254" s="6"/>
      <c r="B254" s="6"/>
      <c r="C254" s="6" t="str">
        <f>VLOOKUP(B254,Sheet3!$B$2:$E$311,2,FALSE)</f>
        <v>#N/A</v>
      </c>
      <c r="D254" s="6" t="str">
        <f>VLOOKUP(B254,Sheet3!$B$2:$E$311,3,)</f>
        <v>#N/A</v>
      </c>
      <c r="E254" s="6" t="str">
        <f>VLOOKUP(B254,Sheet3!$B$2:$E$311,4,)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VLOOKUP(B255,Sheet3!$B$2:$E$311,2,FALSE)</f>
        <v>#N/A</v>
      </c>
      <c r="D255" s="6" t="str">
        <f>VLOOKUP(B255,Sheet3!$B$2:$E$311,3,)</f>
        <v>#N/A</v>
      </c>
      <c r="E255" s="6" t="str">
        <f>VLOOKUP(B255,Sheet3!$B$2:$E$311,4,)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VLOOKUP(B256,Sheet3!$B$2:$E$311,2,FALSE)</f>
        <v>#N/A</v>
      </c>
      <c r="D256" s="6" t="str">
        <f>VLOOKUP(B256,Sheet3!$B$2:$E$311,3,)</f>
        <v>#N/A</v>
      </c>
      <c r="E256" s="6" t="str">
        <f>VLOOKUP(B256,Sheet3!$B$2:$E$311,4,)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VLOOKUP(B257,Sheet3!$B$2:$E$311,2,FALSE)</f>
        <v>#N/A</v>
      </c>
      <c r="D257" s="6" t="str">
        <f>VLOOKUP(B257,Sheet3!$B$2:$E$311,3,)</f>
        <v>#N/A</v>
      </c>
      <c r="E257" s="6" t="str">
        <f>VLOOKUP(B257,Sheet3!$B$2:$E$311,4,)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VLOOKUP(B258,Sheet3!$B$2:$E$311,2,FALSE)</f>
        <v>#N/A</v>
      </c>
      <c r="D258" s="6" t="str">
        <f>VLOOKUP(B258,Sheet3!$B$2:$E$311,3,)</f>
        <v>#N/A</v>
      </c>
      <c r="E258" s="6" t="str">
        <f>VLOOKUP(B258,Sheet3!$B$2:$E$311,4,)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VLOOKUP(B259,Sheet3!$B$2:$E$311,2,FALSE)</f>
        <v>#N/A</v>
      </c>
      <c r="D259" s="6" t="str">
        <f>VLOOKUP(B259,Sheet3!$B$2:$E$311,3,)</f>
        <v>#N/A</v>
      </c>
      <c r="E259" s="6" t="str">
        <f>VLOOKUP(B259,Sheet3!$B$2:$E$311,4,)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VLOOKUP(B260,Sheet3!$B$2:$E$311,2,FALSE)</f>
        <v>#N/A</v>
      </c>
      <c r="D260" s="6" t="str">
        <f>VLOOKUP(B260,Sheet3!$B$2:$E$311,3,)</f>
        <v>#N/A</v>
      </c>
      <c r="E260" s="6" t="str">
        <f>VLOOKUP(B260,Sheet3!$B$2:$E$311,4,)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VLOOKUP(B261,Sheet3!$B$2:$E$311,2,FALSE)</f>
        <v>#N/A</v>
      </c>
      <c r="D261" s="6" t="str">
        <f>VLOOKUP(B261,Sheet3!$B$2:$E$311,3,)</f>
        <v>#N/A</v>
      </c>
      <c r="E261" s="6" t="str">
        <f>VLOOKUP(B261,Sheet3!$B$2:$E$311,4,)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VLOOKUP(B262,Sheet3!$B$2:$E$311,2,FALSE)</f>
        <v>#N/A</v>
      </c>
      <c r="D262" s="6" t="str">
        <f>VLOOKUP(B262,Sheet3!$B$2:$E$311,3,)</f>
        <v>#N/A</v>
      </c>
      <c r="E262" s="6" t="str">
        <f>VLOOKUP(B262,Sheet3!$B$2:$E$311,4,)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VLOOKUP(B263,Sheet3!$B$2:$E$311,2,FALSE)</f>
        <v>#N/A</v>
      </c>
      <c r="D263" s="6" t="str">
        <f>VLOOKUP(B263,Sheet3!$B$2:$E$311,3,)</f>
        <v>#N/A</v>
      </c>
      <c r="E263" s="6" t="str">
        <f>VLOOKUP(B263,Sheet3!$B$2:$E$311,4,)</f>
        <v>#N/A</v>
      </c>
      <c r="F263" s="6"/>
      <c r="G263" s="6"/>
      <c r="H263" s="6"/>
    </row>
    <row r="264" ht="15.75" customHeight="1">
      <c r="A264" s="6"/>
      <c r="B264" s="6"/>
      <c r="C264" s="6" t="str">
        <f>VLOOKUP(B264,Sheet3!$B$2:$E$311,2,FALSE)</f>
        <v>#N/A</v>
      </c>
      <c r="D264" s="6" t="str">
        <f>VLOOKUP(B264,Sheet3!$B$2:$E$311,3,)</f>
        <v>#N/A</v>
      </c>
      <c r="E264" s="6" t="str">
        <f>VLOOKUP(B264,Sheet3!$B$2:$E$311,4,)</f>
        <v>#N/A</v>
      </c>
      <c r="F264" s="6"/>
      <c r="G264" s="6"/>
      <c r="H264" s="6"/>
    </row>
    <row r="265" ht="15.75" customHeight="1">
      <c r="A265" s="6"/>
      <c r="B265" s="6"/>
      <c r="C265" s="6" t="str">
        <f>VLOOKUP(B265,Sheet3!$B$2:$E$311,2,FALSE)</f>
        <v>#N/A</v>
      </c>
      <c r="D265" s="6" t="str">
        <f>VLOOKUP(B265,Sheet3!$B$2:$E$311,3,)</f>
        <v>#N/A</v>
      </c>
      <c r="E265" s="6" t="str">
        <f>VLOOKUP(B265,Sheet3!$B$2:$E$311,4,)</f>
        <v>#N/A</v>
      </c>
      <c r="F265" s="6"/>
      <c r="G265" s="6"/>
      <c r="H265" s="6"/>
    </row>
    <row r="266" ht="15.75" customHeight="1">
      <c r="A266" s="6"/>
      <c r="B266" s="6"/>
      <c r="C266" s="6" t="str">
        <f>VLOOKUP(B266,Sheet3!$B$2:$E$311,2,FALSE)</f>
        <v>#N/A</v>
      </c>
      <c r="D266" s="6" t="str">
        <f>VLOOKUP(B266,Sheet3!$B$2:$E$311,3,)</f>
        <v>#N/A</v>
      </c>
      <c r="E266" s="6" t="str">
        <f>VLOOKUP(B266,Sheet3!$B$2:$E$311,4,)</f>
        <v>#N/A</v>
      </c>
      <c r="F266" s="6"/>
      <c r="G266" s="6"/>
      <c r="H266" s="6"/>
    </row>
    <row r="267" ht="15.75" customHeight="1">
      <c r="A267" s="6"/>
      <c r="B267" s="6"/>
      <c r="C267" s="6" t="str">
        <f>VLOOKUP(B267,Sheet3!$B$2:$E$311,2,FALSE)</f>
        <v>#N/A</v>
      </c>
      <c r="D267" s="6" t="str">
        <f>VLOOKUP(B267,Sheet3!$B$2:$E$311,3,)</f>
        <v>#N/A</v>
      </c>
      <c r="E267" s="6" t="str">
        <f>VLOOKUP(B267,Sheet3!$B$2:$E$311,4,)</f>
        <v>#N/A</v>
      </c>
      <c r="F267" s="6"/>
      <c r="G267" s="6"/>
      <c r="H267" s="6"/>
    </row>
    <row r="268" ht="15.75" customHeight="1">
      <c r="A268" s="6"/>
      <c r="B268" s="6"/>
      <c r="C268" s="6" t="str">
        <f>VLOOKUP(B268,Sheet3!$B$2:$E$311,2,FALSE)</f>
        <v>#N/A</v>
      </c>
      <c r="D268" s="6" t="str">
        <f>VLOOKUP(B268,Sheet3!$B$2:$E$311,3,)</f>
        <v>#N/A</v>
      </c>
      <c r="E268" s="6" t="str">
        <f>VLOOKUP(B268,Sheet3!$B$2:$E$311,4,)</f>
        <v>#N/A</v>
      </c>
      <c r="F268" s="6"/>
      <c r="G268" s="6"/>
      <c r="H268" s="6"/>
    </row>
    <row r="269" ht="15.75" customHeight="1">
      <c r="A269" s="6"/>
      <c r="B269" s="6"/>
      <c r="C269" s="6" t="str">
        <f>VLOOKUP(B269,Sheet3!$B$2:$E$311,2,FALSE)</f>
        <v>#N/A</v>
      </c>
      <c r="D269" s="6" t="str">
        <f>VLOOKUP(B269,Sheet3!$B$2:$E$311,3,)</f>
        <v>#N/A</v>
      </c>
      <c r="E269" s="6" t="str">
        <f>VLOOKUP(B269,Sheet3!$B$2:$E$311,4,)</f>
        <v>#N/A</v>
      </c>
      <c r="F269" s="6"/>
      <c r="G269" s="6"/>
      <c r="H269" s="6"/>
    </row>
    <row r="270" ht="15.75" customHeight="1">
      <c r="A270" s="6"/>
      <c r="B270" s="6"/>
      <c r="C270" s="6" t="str">
        <f>VLOOKUP(B270,Sheet3!$B$2:$E$311,2,FALSE)</f>
        <v>#N/A</v>
      </c>
      <c r="D270" s="6" t="str">
        <f>VLOOKUP(B270,Sheet3!$B$2:$E$311,3,)</f>
        <v>#N/A</v>
      </c>
      <c r="E270" s="6" t="str">
        <f>VLOOKUP(B270,Sheet3!$B$2:$E$311,4,)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VLOOKUP(B271,Sheet3!$B$2:$E$311,2,FALSE)</f>
        <v>#N/A</v>
      </c>
      <c r="D271" s="6" t="str">
        <f>VLOOKUP(B271,Sheet3!$B$2:$E$311,3,)</f>
        <v>#N/A</v>
      </c>
      <c r="E271" s="6" t="str">
        <f>VLOOKUP(B271,Sheet3!$B$2:$E$311,4,)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VLOOKUP(B272,Sheet3!$B$2:$E$311,2,FALSE)</f>
        <v>#N/A</v>
      </c>
      <c r="D272" s="6" t="str">
        <f>VLOOKUP(B272,Sheet3!$B$2:$E$311,3,)</f>
        <v>#N/A</v>
      </c>
      <c r="E272" s="6" t="str">
        <f>VLOOKUP(B272,Sheet3!$B$2:$E$311,4,)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VLOOKUP(B273,Sheet3!$B$2:$E$311,2,FALSE)</f>
        <v>#N/A</v>
      </c>
      <c r="D273" s="6" t="str">
        <f>VLOOKUP(B273,Sheet3!$B$2:$E$311,3,)</f>
        <v>#N/A</v>
      </c>
      <c r="E273" s="6" t="str">
        <f>VLOOKUP(B273,Sheet3!$B$2:$E$311,4,)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VLOOKUP(B274,Sheet3!$B$2:$E$311,2,FALSE)</f>
        <v>#N/A</v>
      </c>
      <c r="D274" s="6" t="str">
        <f>VLOOKUP(B274,Sheet3!$B$2:$E$311,3,)</f>
        <v>#N/A</v>
      </c>
      <c r="E274" s="6" t="str">
        <f>VLOOKUP(B274,Sheet3!$B$2:$E$311,4,)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VLOOKUP(B275,Sheet3!$B$2:$E$311,2,FALSE)</f>
        <v>#N/A</v>
      </c>
      <c r="D275" s="6" t="str">
        <f>VLOOKUP(B275,Sheet3!$B$2:$E$311,3,)</f>
        <v>#N/A</v>
      </c>
      <c r="E275" s="6" t="str">
        <f>VLOOKUP(B275,Sheet3!$B$2:$E$311,4,)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VLOOKUP(B276,Sheet3!$B$2:$E$311,2,FALSE)</f>
        <v>#N/A</v>
      </c>
      <c r="D276" s="6" t="str">
        <f>VLOOKUP(B276,Sheet3!$B$2:$E$311,3,)</f>
        <v>#N/A</v>
      </c>
      <c r="E276" s="6" t="str">
        <f>VLOOKUP(B276,Sheet3!$B$2:$E$311,4,)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VLOOKUP(B277,Sheet3!$B$2:$E$311,2,FALSE)</f>
        <v>#N/A</v>
      </c>
      <c r="D277" s="6" t="str">
        <f>VLOOKUP(B277,Sheet3!$B$2:$E$311,3,)</f>
        <v>#N/A</v>
      </c>
      <c r="E277" s="6" t="str">
        <f>VLOOKUP(B277,Sheet3!$B$2:$E$311,4,)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VLOOKUP(B278,Sheet3!$B$2:$E$311,2,FALSE)</f>
        <v>#N/A</v>
      </c>
      <c r="D278" s="6" t="str">
        <f>VLOOKUP(B278,Sheet3!$B$2:$E$311,3,)</f>
        <v>#N/A</v>
      </c>
      <c r="E278" s="6" t="str">
        <f>VLOOKUP(B278,Sheet3!$B$2:$E$311,4,)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VLOOKUP(B279,Sheet3!$B$2:$E$311,2,FALSE)</f>
        <v>#N/A</v>
      </c>
      <c r="D279" s="6" t="str">
        <f>VLOOKUP(B279,Sheet3!$B$2:$E$311,3,)</f>
        <v>#N/A</v>
      </c>
      <c r="E279" s="6" t="str">
        <f>VLOOKUP(B279,Sheet3!$B$2:$E$311,4,)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VLOOKUP(B280,Sheet3!$B$2:$E$311,2,FALSE)</f>
        <v>#N/A</v>
      </c>
      <c r="D280" s="6" t="str">
        <f>VLOOKUP(B280,Sheet3!$B$2:$E$311,3,)</f>
        <v>#N/A</v>
      </c>
      <c r="E280" s="6" t="str">
        <f>VLOOKUP(B280,Sheet3!$B$2:$E$311,4,)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VLOOKUP(B281,Sheet3!$B$2:$E$311,2,FALSE)</f>
        <v>#N/A</v>
      </c>
      <c r="D281" s="6" t="str">
        <f>VLOOKUP(B281,Sheet3!$B$2:$E$311,3,)</f>
        <v>#N/A</v>
      </c>
      <c r="E281" s="6" t="str">
        <f>VLOOKUP(B281,Sheet3!$B$2:$E$311,4,)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VLOOKUP(B282,Sheet3!$B$2:$E$311,2,FALSE)</f>
        <v>#N/A</v>
      </c>
      <c r="D282" s="6" t="str">
        <f>VLOOKUP(B282,Sheet3!$B$2:$E$311,3,)</f>
        <v>#N/A</v>
      </c>
      <c r="E282" s="6" t="str">
        <f>VLOOKUP(B282,Sheet3!$B$2:$E$311,4,)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VLOOKUP(B283,Sheet3!$B$2:$E$311,2,FALSE)</f>
        <v>#N/A</v>
      </c>
      <c r="D283" s="6" t="str">
        <f>VLOOKUP(B283,Sheet3!$B$2:$E$311,3,)</f>
        <v>#N/A</v>
      </c>
      <c r="E283" s="6" t="str">
        <f>VLOOKUP(B283,Sheet3!$B$2:$E$311,4,)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VLOOKUP(B284,Sheet3!$B$2:$E$311,2,FALSE)</f>
        <v>#N/A</v>
      </c>
      <c r="D284" s="6" t="str">
        <f>VLOOKUP(B284,Sheet3!$B$2:$E$311,3,)</f>
        <v>#N/A</v>
      </c>
      <c r="E284" s="6" t="str">
        <f>VLOOKUP(B284,Sheet3!$B$2:$E$311,4,)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VLOOKUP(B285,Sheet3!$B$2:$E$311,2,FALSE)</f>
        <v>#N/A</v>
      </c>
      <c r="D285" s="6" t="str">
        <f>VLOOKUP(B285,Sheet3!$B$2:$E$311,3,)</f>
        <v>#N/A</v>
      </c>
      <c r="E285" s="6" t="str">
        <f>VLOOKUP(B285,Sheet3!$B$2:$E$311,4,)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VLOOKUP(B286,Sheet3!$B$2:$E$311,2,FALSE)</f>
        <v>#N/A</v>
      </c>
      <c r="D286" s="6" t="str">
        <f>VLOOKUP(B286,Sheet3!$B$2:$E$311,3,)</f>
        <v>#N/A</v>
      </c>
      <c r="E286" s="6" t="str">
        <f>VLOOKUP(B286,Sheet3!$B$2:$E$311,4,)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VLOOKUP(B287,Sheet3!$B$2:$E$311,2,FALSE)</f>
        <v>#N/A</v>
      </c>
      <c r="D287" s="6" t="str">
        <f>VLOOKUP(B287,Sheet3!$B$2:$E$311,3,)</f>
        <v>#N/A</v>
      </c>
      <c r="E287" s="6" t="str">
        <f>VLOOKUP(B287,Sheet3!$B$2:$E$311,4,)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VLOOKUP(B288,Sheet3!$B$2:$E$311,2,FALSE)</f>
        <v>#N/A</v>
      </c>
      <c r="D288" s="6" t="str">
        <f>VLOOKUP(B288,Sheet3!$B$2:$E$311,3,)</f>
        <v>#N/A</v>
      </c>
      <c r="E288" s="6" t="str">
        <f>VLOOKUP(B288,Sheet3!$B$2:$E$311,4,)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VLOOKUP(B289,Sheet3!$B$2:$E$311,2,FALSE)</f>
        <v>#N/A</v>
      </c>
      <c r="D289" s="6" t="str">
        <f>VLOOKUP(B289,Sheet3!$B$2:$E$311,3,)</f>
        <v>#N/A</v>
      </c>
      <c r="E289" s="6" t="str">
        <f>VLOOKUP(B289,Sheet3!$B$2:$E$311,4,)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VLOOKUP(B290,Sheet3!$B$2:$E$311,2,FALSE)</f>
        <v>#N/A</v>
      </c>
      <c r="D290" s="6" t="str">
        <f>VLOOKUP(B290,Sheet3!$B$2:$E$311,3,)</f>
        <v>#N/A</v>
      </c>
      <c r="E290" s="6" t="str">
        <f>VLOOKUP(B290,Sheet3!$B$2:$E$311,4,)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VLOOKUP(B291,Sheet3!$B$2:$E$311,2,FALSE)</f>
        <v>#N/A</v>
      </c>
      <c r="D291" s="6" t="str">
        <f>VLOOKUP(B291,Sheet3!$B$2:$E$311,3,)</f>
        <v>#N/A</v>
      </c>
      <c r="E291" s="6" t="str">
        <f>VLOOKUP(B291,Sheet3!$B$2:$E$311,4,)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VLOOKUP(B292,Sheet3!$B$2:$E$311,2,FALSE)</f>
        <v>#N/A</v>
      </c>
      <c r="D292" s="6" t="str">
        <f>VLOOKUP(B292,Sheet3!$B$2:$E$311,3,)</f>
        <v>#N/A</v>
      </c>
      <c r="E292" s="6" t="str">
        <f>VLOOKUP(B292,Sheet3!$B$2:$E$311,4,)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VLOOKUP(B293,Sheet3!$B$2:$E$311,2,FALSE)</f>
        <v>#N/A</v>
      </c>
      <c r="D293" s="6" t="str">
        <f>VLOOKUP(B293,Sheet3!$B$2:$E$311,3,)</f>
        <v>#N/A</v>
      </c>
      <c r="E293" s="6" t="str">
        <f>VLOOKUP(B293,Sheet3!$B$2:$E$311,4,)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VLOOKUP(B294,Sheet3!$B$2:$E$311,2,FALSE)</f>
        <v>#N/A</v>
      </c>
      <c r="D294" s="6" t="str">
        <f>VLOOKUP(B294,Sheet3!$B$2:$E$311,3,)</f>
        <v>#N/A</v>
      </c>
      <c r="E294" s="6" t="str">
        <f>VLOOKUP(B294,Sheet3!$B$2:$E$311,4,)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VLOOKUP(B295,Sheet3!$B$2:$E$311,2,FALSE)</f>
        <v>#N/A</v>
      </c>
      <c r="D295" s="6" t="str">
        <f>VLOOKUP(B295,Sheet3!$B$2:$E$311,3,)</f>
        <v>#N/A</v>
      </c>
      <c r="E295" s="6" t="str">
        <f>VLOOKUP(B295,Sheet3!$B$2:$E$311,4,)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VLOOKUP(B296,Sheet3!$B$2:$E$311,2,FALSE)</f>
        <v>#N/A</v>
      </c>
      <c r="D296" s="6" t="str">
        <f>VLOOKUP(B296,Sheet3!$B$2:$E$311,3,)</f>
        <v>#N/A</v>
      </c>
      <c r="E296" s="6" t="str">
        <f>VLOOKUP(B296,Sheet3!$B$2:$E$311,4,)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VLOOKUP(B297,Sheet3!$B$2:$E$311,2,FALSE)</f>
        <v>#N/A</v>
      </c>
      <c r="D297" s="6" t="str">
        <f>VLOOKUP(B297,Sheet3!$B$2:$E$311,3,)</f>
        <v>#N/A</v>
      </c>
      <c r="E297" s="6" t="str">
        <f>VLOOKUP(B297,Sheet3!$B$2:$E$311,4,)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VLOOKUP(B298,Sheet3!$B$2:$E$311,2,FALSE)</f>
        <v>#N/A</v>
      </c>
      <c r="D298" s="6" t="str">
        <f>VLOOKUP(B298,Sheet3!$B$2:$E$311,3,)</f>
        <v>#N/A</v>
      </c>
      <c r="E298" s="6" t="str">
        <f>VLOOKUP(B298,Sheet3!$B$2:$E$311,4,)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VLOOKUP(B299,Sheet3!$B$2:$E$311,2,FALSE)</f>
        <v>#N/A</v>
      </c>
      <c r="D299" s="6" t="str">
        <f>VLOOKUP(B299,Sheet3!$B$2:$E$311,3,)</f>
        <v>#N/A</v>
      </c>
      <c r="E299" s="6" t="str">
        <f>VLOOKUP(B299,Sheet3!$B$2:$E$311,4,)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VLOOKUP(B300,Sheet3!$B$2:$E$311,2,FALSE)</f>
        <v>#N/A</v>
      </c>
      <c r="D300" s="6" t="str">
        <f>VLOOKUP(B300,Sheet3!$B$2:$E$311,3,)</f>
        <v>#N/A</v>
      </c>
      <c r="E300" s="6" t="str">
        <f>VLOOKUP(B300,Sheet3!$B$2:$E$311,4,)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VLOOKUP(B301,Sheet3!$B$2:$E$311,2,FALSE)</f>
        <v>#N/A</v>
      </c>
      <c r="D301" s="6" t="str">
        <f>VLOOKUP(B301,Sheet3!$B$2:$E$311,3,)</f>
        <v>#N/A</v>
      </c>
      <c r="E301" s="6" t="str">
        <f>VLOOKUP(B301,Sheet3!$B$2:$E$311,4,)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VLOOKUP(B302,Sheet3!$B$2:$E$311,2,FALSE)</f>
        <v>#N/A</v>
      </c>
      <c r="D302" s="6" t="str">
        <f>VLOOKUP(B302,Sheet3!$B$2:$E$311,3,)</f>
        <v>#N/A</v>
      </c>
      <c r="E302" s="6" t="str">
        <f>VLOOKUP(B302,Sheet3!$B$2:$E$311,4,)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VLOOKUP(B303,Sheet3!$B$2:$E$311,2,FALSE)</f>
        <v>#N/A</v>
      </c>
      <c r="D303" s="6" t="str">
        <f>VLOOKUP(B303,Sheet3!$B$2:$E$311,3,)</f>
        <v>#N/A</v>
      </c>
      <c r="E303" s="6" t="str">
        <f>VLOOKUP(B303,Sheet3!$B$2:$E$311,4,)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VLOOKUP(B304,Sheet3!$B$2:$E$311,2,FALSE)</f>
        <v>#N/A</v>
      </c>
      <c r="D304" s="6" t="str">
        <f>VLOOKUP(B304,Sheet3!$B$2:$E$311,3,)</f>
        <v>#N/A</v>
      </c>
      <c r="E304" s="6" t="str">
        <f>VLOOKUP(B304,Sheet3!$B$2:$E$311,4,)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VLOOKUP(B305,Sheet3!$B$2:$E$311,2,FALSE)</f>
        <v>#N/A</v>
      </c>
      <c r="D305" s="6" t="str">
        <f>VLOOKUP(B305,Sheet3!$B$2:$E$311,3,)</f>
        <v>#N/A</v>
      </c>
      <c r="E305" s="6" t="str">
        <f>VLOOKUP(B305,Sheet3!$B$2:$E$311,4,)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VLOOKUP(B306,Sheet3!$B$2:$E$311,2,FALSE)</f>
        <v>#N/A</v>
      </c>
      <c r="D306" s="6" t="str">
        <f>VLOOKUP(B306,Sheet3!$B$2:$E$311,3,)</f>
        <v>#N/A</v>
      </c>
      <c r="E306" s="6" t="str">
        <f>VLOOKUP(B306,Sheet3!$B$2:$E$311,4,)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VLOOKUP(B307,Sheet3!$B$2:$E$311,2,FALSE)</f>
        <v>#N/A</v>
      </c>
      <c r="D307" s="6" t="str">
        <f>VLOOKUP(B307,Sheet3!$B$2:$E$311,3,)</f>
        <v>#N/A</v>
      </c>
      <c r="E307" s="6" t="str">
        <f>VLOOKUP(B307,Sheet3!$B$2:$E$311,4,)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VLOOKUP(B308,Sheet3!$B$2:$E$311,2,FALSE)</f>
        <v>#N/A</v>
      </c>
      <c r="D308" s="6" t="str">
        <f>VLOOKUP(B308,Sheet3!$B$2:$E$311,3,)</f>
        <v>#N/A</v>
      </c>
      <c r="E308" s="6" t="str">
        <f>VLOOKUP(B308,Sheet3!$B$2:$E$311,4,)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VLOOKUP(B309,Sheet3!$B$2:$E$311,2,FALSE)</f>
        <v>#N/A</v>
      </c>
      <c r="D309" s="6" t="str">
        <f>VLOOKUP(B309,Sheet3!$B$2:$E$311,3,)</f>
        <v>#N/A</v>
      </c>
      <c r="E309" s="6" t="str">
        <f>VLOOKUP(B309,Sheet3!$B$2:$E$311,4,)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VLOOKUP(B310,Sheet3!$B$2:$E$311,2,FALSE)</f>
        <v>#N/A</v>
      </c>
      <c r="D310" s="6" t="str">
        <f>VLOOKUP(B310,Sheet3!$B$2:$E$311,3,)</f>
        <v>#N/A</v>
      </c>
      <c r="E310" s="6" t="str">
        <f>VLOOKUP(B310,Sheet3!$B$2:$E$311,4,)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VLOOKUP(B311,Sheet3!$B$2:$E$311,2,FALSE)</f>
        <v>#N/A</v>
      </c>
      <c r="D311" s="6" t="str">
        <f>VLOOKUP(B311,Sheet3!$B$2:$E$311,3,)</f>
        <v>#N/A</v>
      </c>
      <c r="E311" s="6" t="str">
        <f>VLOOKUP(B311,Sheet3!$B$2:$E$311,4,)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VLOOKUP(B312,Sheet3!$B$2:$E$311,2,FALSE)</f>
        <v>#N/A</v>
      </c>
      <c r="D312" s="6" t="str">
        <f>VLOOKUP(B312,Sheet3!$B$2:$E$311,3,)</f>
        <v>#N/A</v>
      </c>
      <c r="E312" s="6" t="str">
        <f>VLOOKUP(B312,Sheet3!$B$2:$E$311,4,)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VLOOKUP(B313,Sheet3!$B$2:$E$311,2,FALSE)</f>
        <v>#N/A</v>
      </c>
      <c r="D313" s="6" t="str">
        <f>VLOOKUP(B313,Sheet3!$B$2:$E$311,3,)</f>
        <v>#N/A</v>
      </c>
      <c r="E313" s="6" t="str">
        <f>VLOOKUP(B313,Sheet3!$B$2:$E$311,4,)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VLOOKUP(B314,Sheet3!$B$2:$E$311,2,FALSE)</f>
        <v>#N/A</v>
      </c>
      <c r="D314" s="6" t="str">
        <f>VLOOKUP(B314,Sheet3!$B$2:$E$311,3,)</f>
        <v>#N/A</v>
      </c>
      <c r="E314" s="6" t="str">
        <f>VLOOKUP(B314,Sheet3!$B$2:$E$311,4,)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VLOOKUP(B315,Sheet3!$B$2:$E$311,2,FALSE)</f>
        <v>#N/A</v>
      </c>
      <c r="D315" s="6" t="str">
        <f>VLOOKUP(B315,Sheet3!$B$2:$E$311,3,)</f>
        <v>#N/A</v>
      </c>
      <c r="E315" s="6" t="str">
        <f>VLOOKUP(B315,Sheet3!$B$2:$E$311,4,)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VLOOKUP(B316,Sheet3!$B$2:$E$311,2,FALSE)</f>
        <v>#N/A</v>
      </c>
      <c r="D316" s="6" t="str">
        <f>VLOOKUP(B316,Sheet3!$B$2:$E$311,3,)</f>
        <v>#N/A</v>
      </c>
      <c r="E316" s="6" t="str">
        <f>VLOOKUP(B316,Sheet3!$B$2:$E$311,4,)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VLOOKUP(B317,Sheet3!$B$2:$E$311,2,FALSE)</f>
        <v>#N/A</v>
      </c>
      <c r="D317" s="6" t="str">
        <f>VLOOKUP(B317,Sheet3!$B$2:$E$311,3,)</f>
        <v>#N/A</v>
      </c>
      <c r="E317" s="6" t="str">
        <f>VLOOKUP(B317,Sheet3!$B$2:$E$311,4,)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VLOOKUP(B318,Sheet3!$B$2:$E$311,2,FALSE)</f>
        <v>#N/A</v>
      </c>
      <c r="D318" s="6" t="str">
        <f>VLOOKUP(B318,Sheet3!$B$2:$E$311,3,)</f>
        <v>#N/A</v>
      </c>
      <c r="E318" s="6" t="str">
        <f>VLOOKUP(B318,Sheet3!$B$2:$E$311,4,)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VLOOKUP(B319,Sheet3!$B$2:$E$311,2,FALSE)</f>
        <v>#N/A</v>
      </c>
      <c r="D319" s="6" t="str">
        <f>VLOOKUP(B319,Sheet3!$B$2:$E$311,3,)</f>
        <v>#N/A</v>
      </c>
      <c r="E319" s="6" t="str">
        <f>VLOOKUP(B319,Sheet3!$B$2:$E$311,4,)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VLOOKUP(B320,Sheet3!$B$2:$E$311,2,FALSE)</f>
        <v>#N/A</v>
      </c>
      <c r="D320" s="6" t="str">
        <f>VLOOKUP(B320,Sheet3!$B$2:$E$311,3,)</f>
        <v>#N/A</v>
      </c>
      <c r="E320" s="6" t="str">
        <f>VLOOKUP(B320,Sheet3!$B$2:$E$311,4,)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VLOOKUP(B321,Sheet3!$B$2:$E$311,2,FALSE)</f>
        <v>#N/A</v>
      </c>
      <c r="D321" s="6" t="str">
        <f>VLOOKUP(B321,Sheet3!$B$2:$E$311,3,)</f>
        <v>#N/A</v>
      </c>
      <c r="E321" s="6" t="str">
        <f>VLOOKUP(B321,Sheet3!$B$2:$E$311,4,)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VLOOKUP(B322,Sheet3!$B$2:$E$311,2,FALSE)</f>
        <v>#N/A</v>
      </c>
      <c r="D322" s="6" t="str">
        <f>VLOOKUP(B322,Sheet3!$B$2:$E$311,3,)</f>
        <v>#N/A</v>
      </c>
      <c r="E322" s="6" t="str">
        <f>VLOOKUP(B322,Sheet3!$B$2:$E$311,4,)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VLOOKUP(B323,Sheet3!$B$2:$E$311,2,FALSE)</f>
        <v>#N/A</v>
      </c>
      <c r="D323" s="6" t="str">
        <f>VLOOKUP(B323,Sheet3!$B$2:$E$311,3,)</f>
        <v>#N/A</v>
      </c>
      <c r="E323" s="6" t="str">
        <f>VLOOKUP(B323,Sheet3!$B$2:$E$311,4,)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VLOOKUP(B324,Sheet3!$B$2:$E$311,2,FALSE)</f>
        <v>#N/A</v>
      </c>
      <c r="D324" s="6" t="str">
        <f>VLOOKUP(B324,Sheet3!$B$2:$E$311,3,)</f>
        <v>#N/A</v>
      </c>
      <c r="E324" s="6" t="str">
        <f>VLOOKUP(B324,Sheet3!$B$2:$E$311,4,)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VLOOKUP(B325,Sheet3!$B$2:$E$311,2,FALSE)</f>
        <v>#N/A</v>
      </c>
      <c r="D325" s="6" t="str">
        <f>VLOOKUP(B325,Sheet3!$B$2:$E$311,3,)</f>
        <v>#N/A</v>
      </c>
      <c r="E325" s="6" t="str">
        <f>VLOOKUP(B325,Sheet3!$B$2:$E$311,4,)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VLOOKUP(B326,Sheet3!$B$2:$E$311,2,FALSE)</f>
        <v>#N/A</v>
      </c>
      <c r="D326" s="6" t="str">
        <f>VLOOKUP(B326,Sheet3!$B$2:$E$311,3,)</f>
        <v>#N/A</v>
      </c>
      <c r="E326" s="6" t="str">
        <f>VLOOKUP(B326,Sheet3!$B$2:$E$311,4,)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VLOOKUP(B327,Sheet3!$B$2:$E$311,2,FALSE)</f>
        <v>#N/A</v>
      </c>
      <c r="D327" s="6" t="str">
        <f>VLOOKUP(B327,Sheet3!$B$2:$E$311,3,)</f>
        <v>#N/A</v>
      </c>
      <c r="E327" s="6" t="str">
        <f>VLOOKUP(B327,Sheet3!$B$2:$E$311,4,)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VLOOKUP(B328,Sheet3!$B$2:$E$311,2,FALSE)</f>
        <v>#N/A</v>
      </c>
      <c r="D328" s="6" t="str">
        <f>VLOOKUP(B328,Sheet3!$B$2:$E$311,3,)</f>
        <v>#N/A</v>
      </c>
      <c r="E328" s="6" t="str">
        <f>VLOOKUP(B328,Sheet3!$B$2:$E$311,4,)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VLOOKUP(B329,Sheet3!$B$2:$E$311,2,FALSE)</f>
        <v>#N/A</v>
      </c>
      <c r="D329" s="6" t="str">
        <f>VLOOKUP(B329,Sheet3!$B$2:$E$311,3,)</f>
        <v>#N/A</v>
      </c>
      <c r="E329" s="6" t="str">
        <f>VLOOKUP(B329,Sheet3!$B$2:$E$311,4,)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VLOOKUP(B330,Sheet3!$B$2:$E$311,2,FALSE)</f>
        <v>#N/A</v>
      </c>
      <c r="D330" s="6" t="str">
        <f>VLOOKUP(B330,Sheet3!$B$2:$E$311,3,)</f>
        <v>#N/A</v>
      </c>
      <c r="E330" s="6" t="str">
        <f>VLOOKUP(B330,Sheet3!$B$2:$E$311,4,)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VLOOKUP(B331,Sheet3!$B$2:$E$311,2,FALSE)</f>
        <v>#N/A</v>
      </c>
      <c r="D331" s="6" t="str">
        <f>VLOOKUP(B331,Sheet3!$B$2:$E$311,3,)</f>
        <v>#N/A</v>
      </c>
      <c r="E331" s="6" t="str">
        <f>VLOOKUP(B331,Sheet3!$B$2:$E$311,4,)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VLOOKUP(B332,Sheet3!$B$2:$E$311,2,FALSE)</f>
        <v>#N/A</v>
      </c>
      <c r="D332" s="6" t="str">
        <f>VLOOKUP(B332,Sheet3!$B$2:$E$311,3,)</f>
        <v>#N/A</v>
      </c>
      <c r="E332" s="6" t="str">
        <f>VLOOKUP(B332,Sheet3!$B$2:$E$311,4,)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VLOOKUP(B333,Sheet3!$B$2:$E$311,2,FALSE)</f>
        <v>#N/A</v>
      </c>
      <c r="D333" s="6" t="str">
        <f>VLOOKUP(B333,Sheet3!$B$2:$E$311,3,)</f>
        <v>#N/A</v>
      </c>
      <c r="E333" s="6" t="str">
        <f>VLOOKUP(B333,Sheet3!$B$2:$E$311,4,)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VLOOKUP(B334,Sheet3!$B$2:$E$311,2,FALSE)</f>
        <v>#N/A</v>
      </c>
      <c r="D334" s="6" t="str">
        <f>VLOOKUP(B334,Sheet3!$B$2:$E$311,3,)</f>
        <v>#N/A</v>
      </c>
      <c r="E334" s="6" t="str">
        <f>VLOOKUP(B334,Sheet3!$B$2:$E$311,4,)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VLOOKUP(B335,Sheet3!$B$2:$E$311,2,FALSE)</f>
        <v>#N/A</v>
      </c>
      <c r="D335" s="6" t="str">
        <f>VLOOKUP(B335,Sheet3!$B$2:$E$311,3,)</f>
        <v>#N/A</v>
      </c>
      <c r="E335" s="6" t="str">
        <f>VLOOKUP(B335,Sheet3!$B$2:$E$311,4,)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VLOOKUP(B336,Sheet3!$B$2:$E$311,2,FALSE)</f>
        <v>#N/A</v>
      </c>
      <c r="D336" s="6" t="str">
        <f>VLOOKUP(B336,Sheet3!$B$2:$E$311,3,)</f>
        <v>#N/A</v>
      </c>
      <c r="E336" s="6" t="str">
        <f>VLOOKUP(B336,Sheet3!$B$2:$E$311,4,)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VLOOKUP(B337,Sheet3!$B$2:$E$311,2,FALSE)</f>
        <v>#N/A</v>
      </c>
      <c r="D337" s="6" t="str">
        <f>VLOOKUP(B337,Sheet3!$B$2:$E$311,3,)</f>
        <v>#N/A</v>
      </c>
      <c r="E337" s="6" t="str">
        <f>VLOOKUP(B337,Sheet3!$B$2:$E$311,4,)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VLOOKUP(B338,Sheet3!$B$2:$E$311,2,FALSE)</f>
        <v>#N/A</v>
      </c>
      <c r="D338" s="6" t="str">
        <f>VLOOKUP(B338,Sheet3!$B$2:$E$311,3,)</f>
        <v>#N/A</v>
      </c>
      <c r="E338" s="6" t="str">
        <f>VLOOKUP(B338,Sheet3!$B$2:$E$311,4,)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VLOOKUP(B339,Sheet3!$B$2:$E$311,2,FALSE)</f>
        <v>#N/A</v>
      </c>
      <c r="D339" s="6" t="str">
        <f>VLOOKUP(B339,Sheet3!$B$2:$E$311,3,)</f>
        <v>#N/A</v>
      </c>
      <c r="E339" s="6" t="str">
        <f>VLOOKUP(B339,Sheet3!$B$2:$E$311,4,)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VLOOKUP(B340,Sheet3!$B$2:$E$311,2,FALSE)</f>
        <v>#N/A</v>
      </c>
      <c r="D340" s="6" t="str">
        <f>VLOOKUP(B340,Sheet3!$B$2:$E$311,3,)</f>
        <v>#N/A</v>
      </c>
      <c r="E340" s="6" t="str">
        <f>VLOOKUP(B340,Sheet3!$B$2:$E$311,4,)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VLOOKUP(B341,Sheet3!$B$2:$E$311,2,FALSE)</f>
        <v>#N/A</v>
      </c>
      <c r="D341" s="6" t="str">
        <f>VLOOKUP(B341,Sheet3!$B$2:$E$311,3,)</f>
        <v>#N/A</v>
      </c>
      <c r="E341" s="6" t="str">
        <f>VLOOKUP(B341,Sheet3!$B$2:$E$311,4,)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VLOOKUP(B342,Sheet3!$B$2:$E$311,2,FALSE)</f>
        <v>#N/A</v>
      </c>
      <c r="D342" s="6" t="str">
        <f>VLOOKUP(B342,Sheet3!$B$2:$E$311,3,)</f>
        <v>#N/A</v>
      </c>
      <c r="E342" s="6" t="str">
        <f>VLOOKUP(B342,Sheet3!$B$2:$E$311,4,)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VLOOKUP(B343,Sheet3!$B$2:$E$311,2,FALSE)</f>
        <v>#N/A</v>
      </c>
      <c r="D343" s="6" t="str">
        <f>VLOOKUP(B343,Sheet3!$B$2:$E$311,3,)</f>
        <v>#N/A</v>
      </c>
      <c r="E343" s="6" t="str">
        <f>VLOOKUP(B343,Sheet3!$B$2:$E$311,4,)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VLOOKUP(B344,Sheet3!$B$2:$E$311,2,FALSE)</f>
        <v>#N/A</v>
      </c>
      <c r="D344" s="6" t="str">
        <f>VLOOKUP(B344,Sheet3!$B$2:$E$311,3,)</f>
        <v>#N/A</v>
      </c>
      <c r="E344" s="6" t="str">
        <f>VLOOKUP(B344,Sheet3!$B$2:$E$311,4,)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VLOOKUP(B345,Sheet3!$B$2:$E$311,2,FALSE)</f>
        <v>#N/A</v>
      </c>
      <c r="D345" s="6" t="str">
        <f>VLOOKUP(B345,Sheet3!$B$2:$E$311,3,)</f>
        <v>#N/A</v>
      </c>
      <c r="E345" s="6" t="str">
        <f>VLOOKUP(B345,Sheet3!$B$2:$E$311,4,)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VLOOKUP(B346,Sheet3!$B$2:$E$311,2,FALSE)</f>
        <v>#N/A</v>
      </c>
      <c r="D346" s="6" t="str">
        <f>VLOOKUP(B346,Sheet3!$B$2:$E$311,3,)</f>
        <v>#N/A</v>
      </c>
      <c r="E346" s="6" t="str">
        <f>VLOOKUP(B346,Sheet3!$B$2:$E$311,4,)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VLOOKUP(B347,Sheet3!$B$2:$E$311,2,FALSE)</f>
        <v>#N/A</v>
      </c>
      <c r="D347" s="6" t="str">
        <f>VLOOKUP(B347,Sheet3!$B$2:$E$311,3,)</f>
        <v>#N/A</v>
      </c>
      <c r="E347" s="6" t="str">
        <f>VLOOKUP(B347,Sheet3!$B$2:$E$311,4,)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VLOOKUP(B348,Sheet3!$B$2:$E$311,2,FALSE)</f>
        <v>#N/A</v>
      </c>
      <c r="D348" s="6" t="str">
        <f>VLOOKUP(B348,Sheet3!$B$2:$E$311,3,)</f>
        <v>#N/A</v>
      </c>
      <c r="E348" s="6" t="str">
        <f>VLOOKUP(B348,Sheet3!$B$2:$E$311,4,)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VLOOKUP(B349,Sheet3!$B$2:$E$311,2,FALSE)</f>
        <v>#N/A</v>
      </c>
      <c r="D349" s="6" t="str">
        <f>VLOOKUP(B349,Sheet3!$B$2:$E$311,3,)</f>
        <v>#N/A</v>
      </c>
      <c r="E349" s="6" t="str">
        <f>VLOOKUP(B349,Sheet3!$B$2:$E$311,4,)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VLOOKUP(B350,Sheet3!$B$2:$E$311,2,FALSE)</f>
        <v>#N/A</v>
      </c>
      <c r="D350" s="6" t="str">
        <f>VLOOKUP(B350,Sheet3!$B$2:$E$311,3,)</f>
        <v>#N/A</v>
      </c>
      <c r="E350" s="6" t="str">
        <f>VLOOKUP(B350,Sheet3!$B$2:$E$311,4,)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VLOOKUP(B351,Sheet3!$B$2:$E$311,2,FALSE)</f>
        <v>#N/A</v>
      </c>
      <c r="D351" s="6" t="str">
        <f>VLOOKUP(B351,Sheet3!$B$2:$E$311,3,)</f>
        <v>#N/A</v>
      </c>
      <c r="E351" s="6" t="str">
        <f>VLOOKUP(B351,Sheet3!$B$2:$E$311,4,)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VLOOKUP(B352,Sheet3!$B$2:$E$311,2,FALSE)</f>
        <v>#N/A</v>
      </c>
      <c r="D352" s="6" t="str">
        <f>VLOOKUP(B352,Sheet3!$B$2:$E$311,3,)</f>
        <v>#N/A</v>
      </c>
      <c r="E352" s="6" t="str">
        <f>VLOOKUP(B352,Sheet3!$B$2:$E$311,4,)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VLOOKUP(B353,Sheet3!$B$2:$E$311,2,FALSE)</f>
        <v>#N/A</v>
      </c>
      <c r="D353" s="6" t="str">
        <f>VLOOKUP(B353,Sheet3!$B$2:$E$311,3,)</f>
        <v>#N/A</v>
      </c>
      <c r="E353" s="6" t="str">
        <f>VLOOKUP(B353,Sheet3!$B$2:$E$311,4,)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VLOOKUP(B354,Sheet3!$B$2:$E$311,2,FALSE)</f>
        <v>#N/A</v>
      </c>
      <c r="D354" s="6" t="str">
        <f>VLOOKUP(B354,Sheet3!$B$2:$E$311,3,)</f>
        <v>#N/A</v>
      </c>
      <c r="E354" s="6" t="str">
        <f>VLOOKUP(B354,Sheet3!$B$2:$E$311,4,)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VLOOKUP(B355,Sheet3!$B$2:$E$311,2,FALSE)</f>
        <v>#N/A</v>
      </c>
      <c r="D355" s="6" t="str">
        <f>VLOOKUP(B355,Sheet3!$B$2:$E$311,3,)</f>
        <v>#N/A</v>
      </c>
      <c r="E355" s="6" t="str">
        <f>VLOOKUP(B355,Sheet3!$B$2:$E$311,4,)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VLOOKUP(B356,Sheet3!$B$2:$E$311,2,FALSE)</f>
        <v>#N/A</v>
      </c>
      <c r="D356" s="6" t="str">
        <f>VLOOKUP(B356,Sheet3!$B$2:$E$311,3,)</f>
        <v>#N/A</v>
      </c>
      <c r="E356" s="6" t="str">
        <f>VLOOKUP(B356,Sheet3!$B$2:$E$311,4,)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VLOOKUP(B357,Sheet3!$B$2:$E$311,2,FALSE)</f>
        <v>#N/A</v>
      </c>
      <c r="D357" s="6" t="str">
        <f>VLOOKUP(B357,Sheet3!$B$2:$E$311,3,)</f>
        <v>#N/A</v>
      </c>
      <c r="E357" s="6" t="str">
        <f>VLOOKUP(B357,Sheet3!$B$2:$E$311,4,)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VLOOKUP(B358,Sheet3!$B$2:$E$311,2,FALSE)</f>
        <v>#N/A</v>
      </c>
      <c r="D358" s="6" t="str">
        <f>VLOOKUP(B358,Sheet3!$B$2:$E$311,3,)</f>
        <v>#N/A</v>
      </c>
      <c r="E358" s="6" t="str">
        <f>VLOOKUP(B358,Sheet3!$B$2:$E$311,4,)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VLOOKUP(B359,Sheet3!$B$2:$E$311,2,FALSE)</f>
        <v>#N/A</v>
      </c>
      <c r="D359" s="6" t="str">
        <f>VLOOKUP(B359,Sheet3!$B$2:$E$311,3,)</f>
        <v>#N/A</v>
      </c>
      <c r="E359" s="6" t="str">
        <f>VLOOKUP(B359,Sheet3!$B$2:$E$311,4,)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VLOOKUP(B360,Sheet3!$B$2:$E$311,2,FALSE)</f>
        <v>#N/A</v>
      </c>
      <c r="D360" s="6" t="str">
        <f>VLOOKUP(B360,Sheet3!$B$2:$E$311,3,)</f>
        <v>#N/A</v>
      </c>
      <c r="E360" s="6" t="str">
        <f>VLOOKUP(B360,Sheet3!$B$2:$E$311,4,)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VLOOKUP(B361,Sheet3!$B$2:$E$311,2,FALSE)</f>
        <v>#N/A</v>
      </c>
      <c r="D361" s="6" t="str">
        <f>VLOOKUP(B361,Sheet3!$B$2:$E$311,3,)</f>
        <v>#N/A</v>
      </c>
      <c r="E361" s="6" t="str">
        <f>VLOOKUP(B361,Sheet3!$B$2:$E$311,4,)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VLOOKUP(B362,Sheet3!$B$2:$E$311,2,FALSE)</f>
        <v>#N/A</v>
      </c>
      <c r="D362" s="6" t="str">
        <f>VLOOKUP(B362,Sheet3!$B$2:$E$311,3,)</f>
        <v>#N/A</v>
      </c>
      <c r="E362" s="6" t="str">
        <f>VLOOKUP(B362,Sheet3!$B$2:$E$311,4,)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VLOOKUP(B363,Sheet3!$B$2:$E$311,2,FALSE)</f>
        <v>#N/A</v>
      </c>
      <c r="D363" s="6" t="str">
        <f>VLOOKUP(B363,Sheet3!$B$2:$E$311,3,)</f>
        <v>#N/A</v>
      </c>
      <c r="E363" s="6" t="str">
        <f>VLOOKUP(B363,Sheet3!$B$2:$E$311,4,)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VLOOKUP(B364,Sheet3!$B$2:$E$311,2,FALSE)</f>
        <v>#N/A</v>
      </c>
      <c r="D364" s="6" t="str">
        <f>VLOOKUP(B364,Sheet3!$B$2:$E$311,3,)</f>
        <v>#N/A</v>
      </c>
      <c r="E364" s="6" t="str">
        <f>VLOOKUP(B364,Sheet3!$B$2:$E$311,4,)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VLOOKUP(B365,Sheet3!$B$2:$E$311,2,FALSE)</f>
        <v>#N/A</v>
      </c>
      <c r="D365" s="6" t="str">
        <f>VLOOKUP(B365,Sheet3!$B$2:$E$311,3,)</f>
        <v>#N/A</v>
      </c>
      <c r="E365" s="6" t="str">
        <f>VLOOKUP(B365,Sheet3!$B$2:$E$311,4,)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VLOOKUP(B366,Sheet3!$B$2:$E$311,2,FALSE)</f>
        <v>#N/A</v>
      </c>
      <c r="D366" s="6" t="str">
        <f>VLOOKUP(B366,Sheet3!$B$2:$E$311,3,)</f>
        <v>#N/A</v>
      </c>
      <c r="E366" s="6" t="str">
        <f>VLOOKUP(B366,Sheet3!$B$2:$E$311,4,)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VLOOKUP(B367,Sheet3!$B$2:$E$311,2,FALSE)</f>
        <v>#N/A</v>
      </c>
      <c r="D367" s="6" t="str">
        <f>VLOOKUP(B367,Sheet3!$B$2:$E$311,3,)</f>
        <v>#N/A</v>
      </c>
      <c r="E367" s="6" t="str">
        <f>VLOOKUP(B367,Sheet3!$B$2:$E$311,4,)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VLOOKUP(B368,Sheet3!$B$2:$E$311,2,FALSE)</f>
        <v>#N/A</v>
      </c>
      <c r="D368" s="6" t="str">
        <f>VLOOKUP(B368,Sheet3!$B$2:$E$311,3,)</f>
        <v>#N/A</v>
      </c>
      <c r="E368" s="6" t="str">
        <f>VLOOKUP(B368,Sheet3!$B$2:$E$311,4,)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VLOOKUP(B369,Sheet3!$B$2:$E$311,2,FALSE)</f>
        <v>#N/A</v>
      </c>
      <c r="D369" s="6" t="str">
        <f>VLOOKUP(B369,Sheet3!$B$2:$E$311,3,)</f>
        <v>#N/A</v>
      </c>
      <c r="E369" s="6" t="str">
        <f>VLOOKUP(B369,Sheet3!$B$2:$E$311,4,)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VLOOKUP(B370,Sheet3!$B$2:$E$311,2,FALSE)</f>
        <v>#N/A</v>
      </c>
      <c r="D370" s="6" t="str">
        <f>VLOOKUP(B370,Sheet3!$B$2:$E$311,3,)</f>
        <v>#N/A</v>
      </c>
      <c r="E370" s="6" t="str">
        <f>VLOOKUP(B370,Sheet3!$B$2:$E$311,4,)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VLOOKUP(B371,Sheet3!$B$2:$E$311,2,FALSE)</f>
        <v>#N/A</v>
      </c>
      <c r="D371" s="6" t="str">
        <f>VLOOKUP(B371,Sheet3!$B$2:$E$311,3,)</f>
        <v>#N/A</v>
      </c>
      <c r="E371" s="6" t="str">
        <f>VLOOKUP(B371,Sheet3!$B$2:$E$311,4,)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VLOOKUP(B372,Sheet3!$B$2:$E$311,2,FALSE)</f>
        <v>#N/A</v>
      </c>
      <c r="D372" s="6" t="str">
        <f>VLOOKUP(B372,Sheet3!$B$2:$E$311,3,)</f>
        <v>#N/A</v>
      </c>
      <c r="E372" s="6" t="str">
        <f>VLOOKUP(B372,Sheet3!$B$2:$E$311,4,)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VLOOKUP(B373,Sheet3!$B$2:$E$311,2,FALSE)</f>
        <v>#N/A</v>
      </c>
      <c r="D373" s="6" t="str">
        <f>VLOOKUP(B373,Sheet3!$B$2:$E$311,3,)</f>
        <v>#N/A</v>
      </c>
      <c r="E373" s="6" t="str">
        <f>VLOOKUP(B373,Sheet3!$B$2:$E$311,4,)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VLOOKUP(B374,Sheet3!$B$2:$E$311,2,FALSE)</f>
        <v>#N/A</v>
      </c>
      <c r="D374" s="6" t="str">
        <f>VLOOKUP(B374,Sheet3!$B$2:$E$311,3,)</f>
        <v>#N/A</v>
      </c>
      <c r="E374" s="6" t="str">
        <f>VLOOKUP(B374,Sheet3!$B$2:$E$311,4,)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VLOOKUP(B375,Sheet3!$B$2:$E$311,2,FALSE)</f>
        <v>#N/A</v>
      </c>
      <c r="D375" s="6" t="str">
        <f>VLOOKUP(B375,Sheet3!$B$2:$E$311,3,)</f>
        <v>#N/A</v>
      </c>
      <c r="E375" s="6" t="str">
        <f>VLOOKUP(B375,Sheet3!$B$2:$E$311,4,)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VLOOKUP(B376,Sheet3!$B$2:$E$311,2,FALSE)</f>
        <v>#N/A</v>
      </c>
      <c r="D376" s="6" t="str">
        <f>VLOOKUP(B376,Sheet3!$B$2:$E$311,3,)</f>
        <v>#N/A</v>
      </c>
      <c r="E376" s="6" t="str">
        <f>VLOOKUP(B376,Sheet3!$B$2:$E$311,4,)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VLOOKUP(B377,Sheet3!$B$2:$E$311,2,FALSE)</f>
        <v>#N/A</v>
      </c>
      <c r="D377" s="6" t="str">
        <f>VLOOKUP(B377,Sheet3!$B$2:$E$311,3,)</f>
        <v>#N/A</v>
      </c>
      <c r="E377" s="6" t="str">
        <f>VLOOKUP(B377,Sheet3!$B$2:$E$311,4,)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VLOOKUP(B378,Sheet3!$B$2:$E$311,2,FALSE)</f>
        <v>#N/A</v>
      </c>
      <c r="D378" s="6" t="str">
        <f>VLOOKUP(B378,Sheet3!$B$2:$E$311,3,)</f>
        <v>#N/A</v>
      </c>
      <c r="E378" s="6" t="str">
        <f>VLOOKUP(B378,Sheet3!$B$2:$E$311,4,)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VLOOKUP(B379,Sheet3!$B$2:$E$311,2,FALSE)</f>
        <v>#N/A</v>
      </c>
      <c r="D379" s="6" t="str">
        <f>VLOOKUP(B379,Sheet3!$B$2:$E$311,3,)</f>
        <v>#N/A</v>
      </c>
      <c r="E379" s="6" t="str">
        <f>VLOOKUP(B379,Sheet3!$B$2:$E$311,4,)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VLOOKUP(B380,Sheet3!$B$2:$E$311,2,FALSE)</f>
        <v>#N/A</v>
      </c>
      <c r="D380" s="6" t="str">
        <f>VLOOKUP(B380,Sheet3!$B$2:$E$311,3,)</f>
        <v>#N/A</v>
      </c>
      <c r="E380" s="6" t="str">
        <f>VLOOKUP(B380,Sheet3!$B$2:$E$311,4,)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VLOOKUP(B381,Sheet3!$B$2:$E$311,2,FALSE)</f>
        <v>#N/A</v>
      </c>
      <c r="D381" s="6" t="str">
        <f>VLOOKUP(B381,Sheet3!$B$2:$E$311,3,)</f>
        <v>#N/A</v>
      </c>
      <c r="E381" s="6" t="str">
        <f>VLOOKUP(B381,Sheet3!$B$2:$E$311,4,)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VLOOKUP(B382,Sheet3!$B$2:$E$311,2,FALSE)</f>
        <v>#N/A</v>
      </c>
      <c r="D382" s="6" t="str">
        <f>VLOOKUP(B382,Sheet3!$B$2:$E$311,3,)</f>
        <v>#N/A</v>
      </c>
      <c r="E382" s="6" t="str">
        <f>VLOOKUP(B382,Sheet3!$B$2:$E$311,4,)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VLOOKUP(B383,Sheet3!$B$2:$E$311,2,FALSE)</f>
        <v>#N/A</v>
      </c>
      <c r="D383" s="6" t="str">
        <f>VLOOKUP(B383,Sheet3!$B$2:$E$311,3,)</f>
        <v>#N/A</v>
      </c>
      <c r="E383" s="6" t="str">
        <f>VLOOKUP(B383,Sheet3!$B$2:$E$311,4,)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VLOOKUP(B384,Sheet3!$B$2:$E$311,2,FALSE)</f>
        <v>#N/A</v>
      </c>
      <c r="D384" s="6" t="str">
        <f>VLOOKUP(B384,Sheet3!$B$2:$E$311,3,)</f>
        <v>#N/A</v>
      </c>
      <c r="E384" s="6" t="str">
        <f>VLOOKUP(B384,Sheet3!$B$2:$E$311,4,)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VLOOKUP(B385,Sheet3!$B$2:$E$311,2,FALSE)</f>
        <v>#N/A</v>
      </c>
      <c r="D385" s="6" t="str">
        <f>VLOOKUP(B385,Sheet3!$B$2:$E$311,3,)</f>
        <v>#N/A</v>
      </c>
      <c r="E385" s="6" t="str">
        <f>VLOOKUP(B385,Sheet3!$B$2:$E$311,4,)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VLOOKUP(B386,Sheet3!$B$2:$E$311,2,FALSE)</f>
        <v>#N/A</v>
      </c>
      <c r="D386" s="6" t="str">
        <f>VLOOKUP(B386,Sheet3!$B$2:$E$311,3,)</f>
        <v>#N/A</v>
      </c>
      <c r="E386" s="6" t="str">
        <f>VLOOKUP(B386,Sheet3!$B$2:$E$311,4,)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VLOOKUP(B387,Sheet3!$B$2:$E$311,2,FALSE)</f>
        <v>#N/A</v>
      </c>
      <c r="D387" s="6" t="str">
        <f>VLOOKUP(B387,Sheet3!$B$2:$E$311,3,)</f>
        <v>#N/A</v>
      </c>
      <c r="E387" s="6" t="str">
        <f>VLOOKUP(B387,Sheet3!$B$2:$E$311,4,)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VLOOKUP(B388,Sheet3!$B$2:$E$311,2,FALSE)</f>
        <v>#N/A</v>
      </c>
      <c r="D388" s="6" t="str">
        <f>VLOOKUP(B388,Sheet3!$B$2:$E$311,3,)</f>
        <v>#N/A</v>
      </c>
      <c r="E388" s="6" t="str">
        <f>VLOOKUP(B388,Sheet3!$B$2:$E$311,4,)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VLOOKUP(B389,Sheet3!$B$2:$E$311,2,FALSE)</f>
        <v>#N/A</v>
      </c>
      <c r="D389" s="6" t="str">
        <f>VLOOKUP(B389,Sheet3!$B$2:$E$311,3,)</f>
        <v>#N/A</v>
      </c>
      <c r="E389" s="6" t="str">
        <f>VLOOKUP(B389,Sheet3!$B$2:$E$311,4,)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VLOOKUP(B390,Sheet3!$B$2:$E$311,2,FALSE)</f>
        <v>#N/A</v>
      </c>
      <c r="D390" s="6" t="str">
        <f>VLOOKUP(B390,Sheet3!$B$2:$E$311,3,)</f>
        <v>#N/A</v>
      </c>
      <c r="E390" s="6" t="str">
        <f>VLOOKUP(B390,Sheet3!$B$2:$E$311,4,)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VLOOKUP(B391,Sheet3!$B$2:$E$311,2,FALSE)</f>
        <v>#N/A</v>
      </c>
      <c r="D391" s="6" t="str">
        <f>VLOOKUP(B391,Sheet3!$B$2:$E$311,3,)</f>
        <v>#N/A</v>
      </c>
      <c r="E391" s="6" t="str">
        <f>VLOOKUP(B391,Sheet3!$B$2:$E$311,4,)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VLOOKUP(B392,Sheet3!$B$2:$E$311,2,FALSE)</f>
        <v>#N/A</v>
      </c>
      <c r="D392" s="6" t="str">
        <f>VLOOKUP(B392,Sheet3!$B$2:$E$311,3,)</f>
        <v>#N/A</v>
      </c>
      <c r="E392" s="6" t="str">
        <f>VLOOKUP(B392,Sheet3!$B$2:$E$311,4,)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VLOOKUP(B393,Sheet3!$B$2:$E$311,2,FALSE)</f>
        <v>#N/A</v>
      </c>
      <c r="D393" s="6" t="str">
        <f>VLOOKUP(B393,Sheet3!$B$2:$E$311,3,)</f>
        <v>#N/A</v>
      </c>
      <c r="E393" s="6" t="str">
        <f>VLOOKUP(B393,Sheet3!$B$2:$E$311,4,)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VLOOKUP(B394,Sheet3!$B$2:$E$311,2,FALSE)</f>
        <v>#N/A</v>
      </c>
      <c r="D394" s="6" t="str">
        <f>VLOOKUP(B394,Sheet3!$B$2:$E$311,3,)</f>
        <v>#N/A</v>
      </c>
      <c r="E394" s="6" t="str">
        <f>VLOOKUP(B394,Sheet3!$B$2:$E$311,4,)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VLOOKUP(B395,Sheet3!$B$2:$E$311,2,FALSE)</f>
        <v>#N/A</v>
      </c>
      <c r="D395" s="6" t="str">
        <f>VLOOKUP(B395,Sheet3!$B$2:$E$311,3,)</f>
        <v>#N/A</v>
      </c>
      <c r="E395" s="6" t="str">
        <f>VLOOKUP(B395,Sheet3!$B$2:$E$311,4,)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VLOOKUP(B396,Sheet3!$B$2:$E$311,2,FALSE)</f>
        <v>#N/A</v>
      </c>
      <c r="D396" s="6" t="str">
        <f>VLOOKUP(B396,Sheet3!$B$2:$E$311,3,)</f>
        <v>#N/A</v>
      </c>
      <c r="E396" s="6" t="str">
        <f>VLOOKUP(B396,Sheet3!$B$2:$E$311,4,)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VLOOKUP(B397,Sheet3!$B$2:$E$311,2,FALSE)</f>
        <v>#N/A</v>
      </c>
      <c r="D397" s="6" t="str">
        <f>VLOOKUP(B397,Sheet3!$B$2:$E$311,3,)</f>
        <v>#N/A</v>
      </c>
      <c r="E397" s="6" t="str">
        <f>VLOOKUP(B397,Sheet3!$B$2:$E$311,4,)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VLOOKUP(B398,Sheet3!$B$2:$E$311,2,FALSE)</f>
        <v>#N/A</v>
      </c>
      <c r="D398" s="6" t="str">
        <f>VLOOKUP(B398,Sheet3!$B$2:$E$311,3,)</f>
        <v>#N/A</v>
      </c>
      <c r="E398" s="6" t="str">
        <f>VLOOKUP(B398,Sheet3!$B$2:$E$311,4,)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VLOOKUP(B399,Sheet3!$B$2:$E$311,2,FALSE)</f>
        <v>#N/A</v>
      </c>
      <c r="D399" s="6" t="str">
        <f>VLOOKUP(B399,Sheet3!$B$2:$E$311,3,)</f>
        <v>#N/A</v>
      </c>
      <c r="E399" s="6" t="str">
        <f>VLOOKUP(B399,Sheet3!$B$2:$E$311,4,)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VLOOKUP(B400,Sheet3!$B$2:$E$311,2,FALSE)</f>
        <v>#N/A</v>
      </c>
      <c r="D400" s="6" t="str">
        <f>VLOOKUP(B400,Sheet3!$B$2:$E$311,3,)</f>
        <v>#N/A</v>
      </c>
      <c r="E400" s="6" t="str">
        <f>VLOOKUP(B400,Sheet3!$B$2:$E$311,4,)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VLOOKUP(B401,Sheet3!$B$2:$E$311,2,FALSE)</f>
        <v>#N/A</v>
      </c>
      <c r="D401" s="6" t="str">
        <f>VLOOKUP(B401,Sheet3!$B$2:$E$311,3,)</f>
        <v>#N/A</v>
      </c>
      <c r="E401" s="6" t="str">
        <f>VLOOKUP(B401,Sheet3!$B$2:$E$311,4,)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VLOOKUP(B402,Sheet3!$B$2:$E$311,2,FALSE)</f>
        <v>#N/A</v>
      </c>
      <c r="D402" s="6" t="str">
        <f>VLOOKUP(B402,Sheet3!$B$2:$E$311,3,)</f>
        <v>#N/A</v>
      </c>
      <c r="E402" s="6" t="str">
        <f>VLOOKUP(B402,Sheet3!$B$2:$E$311,4,)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VLOOKUP(B403,Sheet3!$B$2:$E$311,2,FALSE)</f>
        <v>#N/A</v>
      </c>
      <c r="D403" s="6" t="str">
        <f>VLOOKUP(B403,Sheet3!$B$2:$E$311,3,)</f>
        <v>#N/A</v>
      </c>
      <c r="E403" s="6" t="str">
        <f>VLOOKUP(B403,Sheet3!$B$2:$E$311,4,)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VLOOKUP(B404,Sheet3!$B$2:$E$311,2,FALSE)</f>
        <v>#N/A</v>
      </c>
      <c r="D404" s="6" t="str">
        <f>VLOOKUP(B404,Sheet3!$B$2:$E$311,3,)</f>
        <v>#N/A</v>
      </c>
      <c r="E404" s="6" t="str">
        <f>VLOOKUP(B404,Sheet3!$B$2:$E$311,4,)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VLOOKUP(B405,Sheet3!$B$2:$E$311,2,FALSE)</f>
        <v>#N/A</v>
      </c>
      <c r="D405" s="6" t="str">
        <f>VLOOKUP(B405,Sheet3!$B$2:$E$311,3,)</f>
        <v>#N/A</v>
      </c>
      <c r="E405" s="6" t="str">
        <f>VLOOKUP(B405,Sheet3!$B$2:$E$311,4,)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VLOOKUP(B406,Sheet3!$B$2:$E$311,2,FALSE)</f>
        <v>#N/A</v>
      </c>
      <c r="D406" s="6" t="str">
        <f>VLOOKUP(B406,Sheet3!$B$2:$E$311,3,)</f>
        <v>#N/A</v>
      </c>
      <c r="E406" s="6" t="str">
        <f>VLOOKUP(B406,Sheet3!$B$2:$E$311,4,)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VLOOKUP(B407,Sheet3!$B$2:$E$311,2,FALSE)</f>
        <v>#N/A</v>
      </c>
      <c r="D407" s="6" t="str">
        <f>VLOOKUP(B407,Sheet3!$B$2:$E$311,3,)</f>
        <v>#N/A</v>
      </c>
      <c r="E407" s="6" t="str">
        <f>VLOOKUP(B407,Sheet3!$B$2:$E$311,4,)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VLOOKUP(B408,Sheet3!$B$2:$E$311,2,FALSE)</f>
        <v>#N/A</v>
      </c>
      <c r="D408" s="6" t="str">
        <f>VLOOKUP(B408,Sheet3!$B$2:$E$311,3,)</f>
        <v>#N/A</v>
      </c>
      <c r="E408" s="6" t="str">
        <f>VLOOKUP(B408,Sheet3!$B$2:$E$311,4,)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VLOOKUP(B409,Sheet3!$B$2:$E$311,2,FALSE)</f>
        <v>#N/A</v>
      </c>
      <c r="D409" s="6" t="str">
        <f>VLOOKUP(B409,Sheet3!$B$2:$E$311,3,)</f>
        <v>#N/A</v>
      </c>
      <c r="E409" s="6" t="str">
        <f>VLOOKUP(B409,Sheet3!$B$2:$E$311,4,)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VLOOKUP(B410,Sheet3!$B$2:$E$311,2,FALSE)</f>
        <v>#N/A</v>
      </c>
      <c r="D410" s="6" t="str">
        <f>VLOOKUP(B410,Sheet3!$B$2:$E$311,3,)</f>
        <v>#N/A</v>
      </c>
      <c r="E410" s="6" t="str">
        <f>VLOOKUP(B410,Sheet3!$B$2:$E$311,4,)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VLOOKUP(B411,Sheet3!$B$2:$E$311,2,FALSE)</f>
        <v>#N/A</v>
      </c>
      <c r="D411" s="6" t="str">
        <f>VLOOKUP(B411,Sheet3!$B$2:$E$311,3,)</f>
        <v>#N/A</v>
      </c>
      <c r="E411" s="6" t="str">
        <f>VLOOKUP(B411,Sheet3!$B$2:$E$311,4,)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VLOOKUP(B412,Sheet3!$B$2:$E$311,2,FALSE)</f>
        <v>#N/A</v>
      </c>
      <c r="D412" s="6" t="str">
        <f>VLOOKUP(B412,Sheet3!$B$2:$E$311,3,)</f>
        <v>#N/A</v>
      </c>
      <c r="E412" s="6" t="str">
        <f>VLOOKUP(B412,Sheet3!$B$2:$E$311,4,)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VLOOKUP(B413,Sheet3!$B$2:$E$311,2,FALSE)</f>
        <v>#N/A</v>
      </c>
      <c r="D413" s="6" t="str">
        <f>VLOOKUP(B413,Sheet3!$B$2:$E$311,3,)</f>
        <v>#N/A</v>
      </c>
      <c r="E413" s="6" t="str">
        <f>VLOOKUP(B413,Sheet3!$B$2:$E$311,4,)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VLOOKUP(B414,Sheet3!$B$2:$E$311,2,FALSE)</f>
        <v>#N/A</v>
      </c>
      <c r="D414" s="6" t="str">
        <f>VLOOKUP(B414,Sheet3!$B$2:$E$311,3,)</f>
        <v>#N/A</v>
      </c>
      <c r="E414" s="6" t="str">
        <f>VLOOKUP(B414,Sheet3!$B$2:$E$311,4,)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VLOOKUP(B415,Sheet3!$B$2:$E$311,2,FALSE)</f>
        <v>#N/A</v>
      </c>
      <c r="D415" s="6" t="str">
        <f>VLOOKUP(B415,Sheet3!$B$2:$E$311,3,)</f>
        <v>#N/A</v>
      </c>
      <c r="E415" s="6" t="str">
        <f>VLOOKUP(B415,Sheet3!$B$2:$E$311,4,)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VLOOKUP(B416,Sheet3!$B$2:$E$311,2,FALSE)</f>
        <v>#N/A</v>
      </c>
      <c r="D416" s="6" t="str">
        <f>VLOOKUP(B416,Sheet3!$B$2:$E$311,3,)</f>
        <v>#N/A</v>
      </c>
      <c r="E416" s="6" t="str">
        <f>VLOOKUP(B416,Sheet3!$B$2:$E$311,4,)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VLOOKUP(B417,Sheet3!$B$2:$E$311,2,FALSE)</f>
        <v>#N/A</v>
      </c>
      <c r="D417" s="6" t="str">
        <f>VLOOKUP(B417,Sheet3!$B$2:$E$311,3,)</f>
        <v>#N/A</v>
      </c>
      <c r="E417" s="6" t="str">
        <f>VLOOKUP(B417,Sheet3!$B$2:$E$311,4,)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VLOOKUP(B418,Sheet3!$B$2:$E$311,2,FALSE)</f>
        <v>#N/A</v>
      </c>
      <c r="D418" s="6" t="str">
        <f>VLOOKUP(B418,Sheet3!$B$2:$E$311,3,)</f>
        <v>#N/A</v>
      </c>
      <c r="E418" s="6" t="str">
        <f>VLOOKUP(B418,Sheet3!$B$2:$E$311,4,)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VLOOKUP(B419,Sheet3!$B$2:$E$311,2,FALSE)</f>
        <v>#N/A</v>
      </c>
      <c r="D419" s="6" t="str">
        <f>VLOOKUP(B419,Sheet3!$B$2:$E$311,3,)</f>
        <v>#N/A</v>
      </c>
      <c r="E419" s="6" t="str">
        <f>VLOOKUP(B419,Sheet3!$B$2:$E$311,4,)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VLOOKUP(B420,Sheet3!$B$2:$E$311,2,FALSE)</f>
        <v>#N/A</v>
      </c>
      <c r="D420" s="6" t="str">
        <f>VLOOKUP(B420,Sheet3!$B$2:$E$311,3,)</f>
        <v>#N/A</v>
      </c>
      <c r="E420" s="6" t="str">
        <f>VLOOKUP(B420,Sheet3!$B$2:$E$311,4,)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VLOOKUP(B421,Sheet3!$B$2:$E$311,2,FALSE)</f>
        <v>#N/A</v>
      </c>
      <c r="D421" s="6" t="str">
        <f>VLOOKUP(B421,Sheet3!$B$2:$E$311,3,)</f>
        <v>#N/A</v>
      </c>
      <c r="E421" s="6" t="str">
        <f>VLOOKUP(B421,Sheet3!$B$2:$E$311,4,)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VLOOKUP(B422,Sheet3!$B$2:$E$311,2,FALSE)</f>
        <v>#N/A</v>
      </c>
      <c r="D422" s="6" t="str">
        <f>VLOOKUP(B422,Sheet3!$B$2:$E$311,3,)</f>
        <v>#N/A</v>
      </c>
      <c r="E422" s="6" t="str">
        <f>VLOOKUP(B422,Sheet3!$B$2:$E$311,4,)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VLOOKUP(B423,Sheet3!$B$2:$E$311,2,FALSE)</f>
        <v>#N/A</v>
      </c>
      <c r="D423" s="6" t="str">
        <f>VLOOKUP(B423,Sheet3!$B$2:$E$311,3,)</f>
        <v>#N/A</v>
      </c>
      <c r="E423" s="6" t="str">
        <f>VLOOKUP(B423,Sheet3!$B$2:$E$311,4,)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VLOOKUP(B424,Sheet3!$B$2:$E$311,2,FALSE)</f>
        <v>#N/A</v>
      </c>
      <c r="D424" s="6" t="str">
        <f>VLOOKUP(B424,Sheet3!$B$2:$E$311,3,)</f>
        <v>#N/A</v>
      </c>
      <c r="E424" s="6" t="str">
        <f>VLOOKUP(B424,Sheet3!$B$2:$E$311,4,)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VLOOKUP(B425,Sheet3!$B$2:$E$311,2,FALSE)</f>
        <v>#N/A</v>
      </c>
      <c r="D425" s="6" t="str">
        <f>VLOOKUP(B425,Sheet3!$B$2:$E$311,3,)</f>
        <v>#N/A</v>
      </c>
      <c r="E425" s="6" t="str">
        <f>VLOOKUP(B425,Sheet3!$B$2:$E$311,4,)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VLOOKUP(B426,Sheet3!$B$2:$E$311,2,FALSE)</f>
        <v>#N/A</v>
      </c>
      <c r="D426" s="6" t="str">
        <f>VLOOKUP(B426,Sheet3!$B$2:$E$311,3,)</f>
        <v>#N/A</v>
      </c>
      <c r="E426" s="6" t="str">
        <f>VLOOKUP(B426,Sheet3!$B$2:$E$311,4,)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VLOOKUP(B427,Sheet3!$B$2:$E$311,2,FALSE)</f>
        <v>#N/A</v>
      </c>
      <c r="D427" s="6" t="str">
        <f>VLOOKUP(B427,Sheet3!$B$2:$E$311,3,)</f>
        <v>#N/A</v>
      </c>
      <c r="E427" s="6" t="str">
        <f>VLOOKUP(B427,Sheet3!$B$2:$E$311,4,)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VLOOKUP(B428,Sheet3!$B$2:$E$311,2,FALSE)</f>
        <v>#N/A</v>
      </c>
      <c r="D428" s="6" t="str">
        <f>VLOOKUP(B428,Sheet3!$B$2:$E$311,3,)</f>
        <v>#N/A</v>
      </c>
      <c r="E428" s="6" t="str">
        <f>VLOOKUP(B428,Sheet3!$B$2:$E$311,4,)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VLOOKUP(B429,Sheet3!$B$2:$E$311,2,FALSE)</f>
        <v>#N/A</v>
      </c>
      <c r="D429" s="6" t="str">
        <f>VLOOKUP(B429,Sheet3!$B$2:$E$311,3,)</f>
        <v>#N/A</v>
      </c>
      <c r="E429" s="6" t="str">
        <f>VLOOKUP(B429,Sheet3!$B$2:$E$311,4,)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VLOOKUP(B430,Sheet3!$B$2:$E$311,2,FALSE)</f>
        <v>#N/A</v>
      </c>
      <c r="D430" s="6" t="str">
        <f>VLOOKUP(B430,Sheet3!$B$2:$E$311,3,)</f>
        <v>#N/A</v>
      </c>
      <c r="E430" s="6" t="str">
        <f>VLOOKUP(B430,Sheet3!$B$2:$E$311,4,)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VLOOKUP(B431,Sheet3!$B$2:$E$311,2,FALSE)</f>
        <v>#N/A</v>
      </c>
      <c r="D431" s="6" t="str">
        <f>VLOOKUP(B431,Sheet3!$B$2:$E$311,3,)</f>
        <v>#N/A</v>
      </c>
      <c r="E431" s="6" t="str">
        <f>VLOOKUP(B431,Sheet3!$B$2:$E$311,4,)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VLOOKUP(B432,Sheet3!$B$2:$E$311,2,FALSE)</f>
        <v>#N/A</v>
      </c>
      <c r="D432" s="6" t="str">
        <f>VLOOKUP(B432,Sheet3!$B$2:$E$311,3,)</f>
        <v>#N/A</v>
      </c>
      <c r="E432" s="6" t="str">
        <f>VLOOKUP(B432,Sheet3!$B$2:$E$311,4,)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VLOOKUP(B433,Sheet3!$B$2:$E$311,2,FALSE)</f>
        <v>#N/A</v>
      </c>
      <c r="D433" s="6" t="str">
        <f>VLOOKUP(B433,Sheet3!$B$2:$E$311,3,)</f>
        <v>#N/A</v>
      </c>
      <c r="E433" s="6" t="str">
        <f>VLOOKUP(B433,Sheet3!$B$2:$E$311,4,)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VLOOKUP(B434,Sheet3!$B$2:$E$311,2,FALSE)</f>
        <v>#N/A</v>
      </c>
      <c r="D434" s="6" t="str">
        <f>VLOOKUP(B434,Sheet3!$B$2:$E$311,3,)</f>
        <v>#N/A</v>
      </c>
      <c r="E434" s="6" t="str">
        <f>VLOOKUP(B434,Sheet3!$B$2:$E$311,4,)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VLOOKUP(B435,Sheet3!$B$2:$E$311,2,FALSE)</f>
        <v>#N/A</v>
      </c>
      <c r="D435" s="6" t="str">
        <f>VLOOKUP(B435,Sheet3!$B$2:$E$311,3,)</f>
        <v>#N/A</v>
      </c>
      <c r="E435" s="6" t="str">
        <f>VLOOKUP(B435,Sheet3!$B$2:$E$311,4,)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VLOOKUP(B436,Sheet3!$B$2:$E$311,2,FALSE)</f>
        <v>#N/A</v>
      </c>
      <c r="D436" s="6" t="str">
        <f>VLOOKUP(B436,Sheet3!$B$2:$E$311,3,)</f>
        <v>#N/A</v>
      </c>
      <c r="E436" s="6" t="str">
        <f>VLOOKUP(B436,Sheet3!$B$2:$E$311,4,)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VLOOKUP(B437,Sheet3!$B$2:$E$311,2,FALSE)</f>
        <v>#N/A</v>
      </c>
      <c r="D437" s="6" t="str">
        <f>VLOOKUP(B437,Sheet3!$B$2:$E$311,3,)</f>
        <v>#N/A</v>
      </c>
      <c r="E437" s="6" t="str">
        <f>VLOOKUP(B437,Sheet3!$B$2:$E$311,4,)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VLOOKUP(B438,Sheet3!$B$2:$E$311,2,FALSE)</f>
        <v>#N/A</v>
      </c>
      <c r="D438" s="6" t="str">
        <f>VLOOKUP(B438,Sheet3!$B$2:$E$311,3,)</f>
        <v>#N/A</v>
      </c>
      <c r="E438" s="6" t="str">
        <f>VLOOKUP(B438,Sheet3!$B$2:$E$311,4,)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VLOOKUP(B439,Sheet3!$B$2:$E$311,2,FALSE)</f>
        <v>#N/A</v>
      </c>
      <c r="D439" s="6" t="str">
        <f>VLOOKUP(B439,Sheet3!$B$2:$E$311,3,)</f>
        <v>#N/A</v>
      </c>
      <c r="E439" s="6" t="str">
        <f>VLOOKUP(B439,Sheet3!$B$2:$E$311,4,)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VLOOKUP(B440,Sheet3!$B$2:$E$311,2,FALSE)</f>
        <v>#N/A</v>
      </c>
      <c r="D440" s="6" t="str">
        <f>VLOOKUP(B440,Sheet3!$B$2:$E$311,3,)</f>
        <v>#N/A</v>
      </c>
      <c r="E440" s="6" t="str">
        <f>VLOOKUP(B440,Sheet3!$B$2:$E$311,4,)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VLOOKUP(B441,Sheet3!$B$2:$E$311,2,FALSE)</f>
        <v>#N/A</v>
      </c>
      <c r="D441" s="6" t="str">
        <f>VLOOKUP(B441,Sheet3!$B$2:$E$311,3,)</f>
        <v>#N/A</v>
      </c>
      <c r="E441" s="6" t="str">
        <f>VLOOKUP(B441,Sheet3!$B$2:$E$311,4,)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VLOOKUP(B442,Sheet3!$B$2:$E$311,2,FALSE)</f>
        <v>#N/A</v>
      </c>
      <c r="D442" s="6" t="str">
        <f>VLOOKUP(B442,Sheet3!$B$2:$E$311,3,)</f>
        <v>#N/A</v>
      </c>
      <c r="E442" s="6" t="str">
        <f>VLOOKUP(B442,Sheet3!$B$2:$E$311,4,)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VLOOKUP(B443,Sheet3!$B$2:$E$311,2,FALSE)</f>
        <v>#N/A</v>
      </c>
      <c r="D443" s="6" t="str">
        <f>VLOOKUP(B443,Sheet3!$B$2:$E$311,3,)</f>
        <v>#N/A</v>
      </c>
      <c r="E443" s="6" t="str">
        <f>VLOOKUP(B443,Sheet3!$B$2:$E$311,4,)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VLOOKUP(B444,Sheet3!$B$2:$E$311,2,FALSE)</f>
        <v>#N/A</v>
      </c>
      <c r="D444" s="6" t="str">
        <f>VLOOKUP(B444,Sheet3!$B$2:$E$311,3,)</f>
        <v>#N/A</v>
      </c>
      <c r="E444" s="6" t="str">
        <f>VLOOKUP(B444,Sheet3!$B$2:$E$311,4,)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VLOOKUP(B445,Sheet3!$B$2:$E$311,2,FALSE)</f>
        <v>#N/A</v>
      </c>
      <c r="D445" s="6" t="str">
        <f>VLOOKUP(B445,Sheet3!$B$2:$E$311,3,)</f>
        <v>#N/A</v>
      </c>
      <c r="E445" s="6" t="str">
        <f>VLOOKUP(B445,Sheet3!$B$2:$E$311,4,)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VLOOKUP(B446,Sheet3!$B$2:$E$311,2,FALSE)</f>
        <v>#N/A</v>
      </c>
      <c r="D446" s="6" t="str">
        <f>VLOOKUP(B446,Sheet3!$B$2:$E$311,3,)</f>
        <v>#N/A</v>
      </c>
      <c r="E446" s="6" t="str">
        <f>VLOOKUP(B446,Sheet3!$B$2:$E$311,4,)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VLOOKUP(B447,Sheet3!$B$2:$E$311,2,FALSE)</f>
        <v>#N/A</v>
      </c>
      <c r="D447" s="6" t="str">
        <f>VLOOKUP(B447,Sheet3!$B$2:$E$311,3,)</f>
        <v>#N/A</v>
      </c>
      <c r="E447" s="6" t="str">
        <f>VLOOKUP(B447,Sheet3!$B$2:$E$311,4,)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VLOOKUP(B448,Sheet3!$B$2:$E$311,2,FALSE)</f>
        <v>#N/A</v>
      </c>
      <c r="D448" s="6" t="str">
        <f>VLOOKUP(B448,Sheet3!$B$2:$E$311,3,)</f>
        <v>#N/A</v>
      </c>
      <c r="E448" s="6" t="str">
        <f>VLOOKUP(B448,Sheet3!$B$2:$E$311,4,)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VLOOKUP(B449,Sheet3!$B$2:$E$311,2,FALSE)</f>
        <v>#N/A</v>
      </c>
      <c r="D449" s="6" t="str">
        <f>VLOOKUP(B449,Sheet3!$B$2:$E$311,3,)</f>
        <v>#N/A</v>
      </c>
      <c r="E449" s="6" t="str">
        <f>VLOOKUP(B449,Sheet3!$B$2:$E$311,4,)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VLOOKUP(B450,Sheet3!$B$2:$E$311,2,FALSE)</f>
        <v>#N/A</v>
      </c>
      <c r="D450" s="6" t="str">
        <f>VLOOKUP(B450,Sheet3!$B$2:$E$311,3,)</f>
        <v>#N/A</v>
      </c>
      <c r="E450" s="6" t="str">
        <f>VLOOKUP(B450,Sheet3!$B$2:$E$311,4,)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VLOOKUP(B451,Sheet3!$B$2:$E$311,2,FALSE)</f>
        <v>#N/A</v>
      </c>
      <c r="D451" s="6" t="str">
        <f>VLOOKUP(B451,Sheet3!$B$2:$E$311,3,)</f>
        <v>#N/A</v>
      </c>
      <c r="E451" s="6" t="str">
        <f>VLOOKUP(B451,Sheet3!$B$2:$E$311,4,)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VLOOKUP(B452,Sheet3!$B$2:$E$311,2,FALSE)</f>
        <v>#N/A</v>
      </c>
      <c r="D452" s="6" t="str">
        <f>VLOOKUP(B452,Sheet3!$B$2:$E$311,3,)</f>
        <v>#N/A</v>
      </c>
      <c r="E452" s="6" t="str">
        <f>VLOOKUP(B452,Sheet3!$B$2:$E$311,4,)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VLOOKUP(B453,Sheet3!$B$2:$E$311,2,FALSE)</f>
        <v>#N/A</v>
      </c>
      <c r="D453" s="6" t="str">
        <f>VLOOKUP(B453,Sheet3!$B$2:$E$311,3,)</f>
        <v>#N/A</v>
      </c>
      <c r="E453" s="6" t="str">
        <f>VLOOKUP(B453,Sheet3!$B$2:$E$311,4,)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VLOOKUP(B454,Sheet3!$B$2:$E$311,2,FALSE)</f>
        <v>#N/A</v>
      </c>
      <c r="D454" s="6" t="str">
        <f>VLOOKUP(B454,Sheet3!$B$2:$E$311,3,)</f>
        <v>#N/A</v>
      </c>
      <c r="E454" s="6" t="str">
        <f>VLOOKUP(B454,Sheet3!$B$2:$E$311,4,)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VLOOKUP(B455,Sheet3!$B$2:$E$311,2,FALSE)</f>
        <v>#N/A</v>
      </c>
      <c r="D455" s="6" t="str">
        <f>VLOOKUP(B455,Sheet3!$B$2:$E$311,3,)</f>
        <v>#N/A</v>
      </c>
      <c r="E455" s="6" t="str">
        <f>VLOOKUP(B455,Sheet3!$B$2:$E$311,4,)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VLOOKUP(B456,Sheet3!$B$2:$E$311,2,FALSE)</f>
        <v>#N/A</v>
      </c>
      <c r="D456" s="6" t="str">
        <f>VLOOKUP(B456,Sheet3!$B$2:$E$311,3,)</f>
        <v>#N/A</v>
      </c>
      <c r="E456" s="6" t="str">
        <f>VLOOKUP(B456,Sheet3!$B$2:$E$311,4,)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VLOOKUP(B457,Sheet3!$B$2:$E$311,2,FALSE)</f>
        <v>#N/A</v>
      </c>
      <c r="D457" s="6" t="str">
        <f>VLOOKUP(B457,Sheet3!$B$2:$E$311,3,)</f>
        <v>#N/A</v>
      </c>
      <c r="E457" s="6" t="str">
        <f>VLOOKUP(B457,Sheet3!$B$2:$E$311,4,)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VLOOKUP(B458,Sheet3!$B$2:$E$311,2,FALSE)</f>
        <v>#N/A</v>
      </c>
      <c r="D458" s="6" t="str">
        <f>VLOOKUP(B458,Sheet3!$B$2:$E$311,3,)</f>
        <v>#N/A</v>
      </c>
      <c r="E458" s="6" t="str">
        <f>VLOOKUP(B458,Sheet3!$B$2:$E$311,4,)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VLOOKUP(B459,Sheet3!$B$2:$E$311,2,FALSE)</f>
        <v>#N/A</v>
      </c>
      <c r="D459" s="6" t="str">
        <f>VLOOKUP(B459,Sheet3!$B$2:$E$311,3,)</f>
        <v>#N/A</v>
      </c>
      <c r="E459" s="6" t="str">
        <f>VLOOKUP(B459,Sheet3!$B$2:$E$311,4,)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VLOOKUP(B460,Sheet3!$B$2:$E$311,2,FALSE)</f>
        <v>#N/A</v>
      </c>
      <c r="D460" s="6" t="str">
        <f>VLOOKUP(B460,Sheet3!$B$2:$E$311,3,)</f>
        <v>#N/A</v>
      </c>
      <c r="E460" s="6" t="str">
        <f>VLOOKUP(B460,Sheet3!$B$2:$E$311,4,)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VLOOKUP(B461,Sheet3!$B$2:$E$311,2,FALSE)</f>
        <v>#N/A</v>
      </c>
      <c r="D461" s="6" t="str">
        <f>VLOOKUP(B461,Sheet3!$B$2:$E$311,3,)</f>
        <v>#N/A</v>
      </c>
      <c r="E461" s="6" t="str">
        <f>VLOOKUP(B461,Sheet3!$B$2:$E$311,4,)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VLOOKUP(B462,Sheet3!$B$2:$E$311,2,FALSE)</f>
        <v>#N/A</v>
      </c>
      <c r="D462" s="6" t="str">
        <f>VLOOKUP(B462,Sheet3!$B$2:$E$311,3,)</f>
        <v>#N/A</v>
      </c>
      <c r="E462" s="6" t="str">
        <f>VLOOKUP(B462,Sheet3!$B$2:$E$311,4,)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VLOOKUP(B463,Sheet3!$B$2:$E$311,2,FALSE)</f>
        <v>#N/A</v>
      </c>
      <c r="D463" s="6" t="str">
        <f>VLOOKUP(B463,Sheet3!$B$2:$E$311,3,)</f>
        <v>#N/A</v>
      </c>
      <c r="E463" s="6" t="str">
        <f>VLOOKUP(B463,Sheet3!$B$2:$E$311,4,)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VLOOKUP(B464,Sheet3!$B$2:$E$311,2,FALSE)</f>
        <v>#N/A</v>
      </c>
      <c r="D464" s="6" t="str">
        <f>VLOOKUP(B464,Sheet3!$B$2:$E$311,3,)</f>
        <v>#N/A</v>
      </c>
      <c r="E464" s="6" t="str">
        <f>VLOOKUP(B464,Sheet3!$B$2:$E$311,4,)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VLOOKUP(B465,Sheet3!$B$2:$E$311,2,FALSE)</f>
        <v>#N/A</v>
      </c>
      <c r="D465" s="6" t="str">
        <f>VLOOKUP(B465,Sheet3!$B$2:$E$311,3,)</f>
        <v>#N/A</v>
      </c>
      <c r="E465" s="6" t="str">
        <f>VLOOKUP(B465,Sheet3!$B$2:$E$311,4,)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VLOOKUP(B466,Sheet3!$B$2:$E$311,2,FALSE)</f>
        <v>#N/A</v>
      </c>
      <c r="D466" s="6" t="str">
        <f>VLOOKUP(B466,Sheet3!$B$2:$E$311,3,)</f>
        <v>#N/A</v>
      </c>
      <c r="E466" s="6" t="str">
        <f>VLOOKUP(B466,Sheet3!$B$2:$E$311,4,)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VLOOKUP(B467,Sheet3!$B$2:$E$311,2,FALSE)</f>
        <v>#N/A</v>
      </c>
      <c r="D467" s="6" t="str">
        <f>VLOOKUP(B467,Sheet3!$B$2:$E$311,3,)</f>
        <v>#N/A</v>
      </c>
      <c r="E467" s="6" t="str">
        <f>VLOOKUP(B467,Sheet3!$B$2:$E$311,4,)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VLOOKUP(B468,Sheet3!$B$2:$E$311,2,FALSE)</f>
        <v>#N/A</v>
      </c>
      <c r="D468" s="6" t="str">
        <f>VLOOKUP(B468,Sheet3!$B$2:$E$311,3,)</f>
        <v>#N/A</v>
      </c>
      <c r="E468" s="6" t="str">
        <f>VLOOKUP(B468,Sheet3!$B$2:$E$311,4,)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VLOOKUP(B469,Sheet3!$B$2:$E$311,2,FALSE)</f>
        <v>#N/A</v>
      </c>
      <c r="D469" s="6" t="str">
        <f>VLOOKUP(B469,Sheet3!$B$2:$E$311,3,)</f>
        <v>#N/A</v>
      </c>
      <c r="E469" s="6" t="str">
        <f>VLOOKUP(B469,Sheet3!$B$2:$E$311,4,)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VLOOKUP(B470,Sheet3!$B$2:$E$311,2,FALSE)</f>
        <v>#N/A</v>
      </c>
      <c r="D470" s="6" t="str">
        <f>VLOOKUP(B470,Sheet3!$B$2:$E$311,3,)</f>
        <v>#N/A</v>
      </c>
      <c r="E470" s="6" t="str">
        <f>VLOOKUP(B470,Sheet3!$B$2:$E$311,4,)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VLOOKUP(B471,Sheet3!$B$2:$E$311,2,FALSE)</f>
        <v>#N/A</v>
      </c>
      <c r="D471" s="6" t="str">
        <f>VLOOKUP(B471,Sheet3!$B$2:$E$311,3,)</f>
        <v>#N/A</v>
      </c>
      <c r="E471" s="6" t="str">
        <f>VLOOKUP(B471,Sheet3!$B$2:$E$311,4,)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VLOOKUP(B472,Sheet3!$B$2:$E$311,2,FALSE)</f>
        <v>#N/A</v>
      </c>
      <c r="D472" s="6" t="str">
        <f>VLOOKUP(B472,Sheet3!$B$2:$E$311,3,)</f>
        <v>#N/A</v>
      </c>
      <c r="E472" s="6" t="str">
        <f>VLOOKUP(B472,Sheet3!$B$2:$E$311,4,)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VLOOKUP(B473,Sheet3!$B$2:$E$311,2,FALSE)</f>
        <v>#N/A</v>
      </c>
      <c r="D473" s="6" t="str">
        <f>VLOOKUP(B473,Sheet3!$B$2:$E$311,3,)</f>
        <v>#N/A</v>
      </c>
      <c r="E473" s="6" t="str">
        <f>VLOOKUP(B473,Sheet3!$B$2:$E$311,4,)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VLOOKUP(B474,Sheet3!$B$2:$E$311,2,FALSE)</f>
        <v>#N/A</v>
      </c>
      <c r="D474" s="6" t="str">
        <f>VLOOKUP(B474,Sheet3!$B$2:$E$311,3,)</f>
        <v>#N/A</v>
      </c>
      <c r="E474" s="6" t="str">
        <f>VLOOKUP(B474,Sheet3!$B$2:$E$311,4,)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VLOOKUP(B475,Sheet3!$B$2:$E$311,2,FALSE)</f>
        <v>#N/A</v>
      </c>
      <c r="D475" s="6" t="str">
        <f>VLOOKUP(B475,Sheet3!$B$2:$E$311,3,)</f>
        <v>#N/A</v>
      </c>
      <c r="E475" s="6" t="str">
        <f>VLOOKUP(B475,Sheet3!$B$2:$E$311,4,)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VLOOKUP(B476,Sheet3!$B$2:$E$311,2,FALSE)</f>
        <v>#N/A</v>
      </c>
      <c r="D476" s="6" t="str">
        <f>VLOOKUP(B476,Sheet3!$B$2:$E$311,3,)</f>
        <v>#N/A</v>
      </c>
      <c r="E476" s="6" t="str">
        <f>VLOOKUP(B476,Sheet3!$B$2:$E$311,4,)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VLOOKUP(B477,Sheet3!$B$2:$E$311,2,FALSE)</f>
        <v>#N/A</v>
      </c>
      <c r="D477" s="6" t="str">
        <f>VLOOKUP(B477,Sheet3!$B$2:$E$311,3,)</f>
        <v>#N/A</v>
      </c>
      <c r="E477" s="6" t="str">
        <f>VLOOKUP(B477,Sheet3!$B$2:$E$311,4,)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VLOOKUP(B478,Sheet3!$B$2:$E$311,2,FALSE)</f>
        <v>#N/A</v>
      </c>
      <c r="D478" s="6" t="str">
        <f>VLOOKUP(B478,Sheet3!$B$2:$E$311,3,)</f>
        <v>#N/A</v>
      </c>
      <c r="E478" s="6" t="str">
        <f>VLOOKUP(B478,Sheet3!$B$2:$E$311,4,)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VLOOKUP(B479,Sheet3!$B$2:$E$311,2,FALSE)</f>
        <v>#N/A</v>
      </c>
      <c r="D479" s="6" t="str">
        <f>VLOOKUP(B479,Sheet3!$B$2:$E$311,3,)</f>
        <v>#N/A</v>
      </c>
      <c r="E479" s="6" t="str">
        <f>VLOOKUP(B479,Sheet3!$B$2:$E$311,4,)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VLOOKUP(B480,Sheet3!$B$2:$E$311,2,FALSE)</f>
        <v>#N/A</v>
      </c>
      <c r="D480" s="6" t="str">
        <f>VLOOKUP(B480,Sheet3!$B$2:$E$311,3,)</f>
        <v>#N/A</v>
      </c>
      <c r="E480" s="6" t="str">
        <f>VLOOKUP(B480,Sheet3!$B$2:$E$311,4,)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VLOOKUP(B481,Sheet3!$B$2:$E$311,2,FALSE)</f>
        <v>#N/A</v>
      </c>
      <c r="D481" s="6" t="str">
        <f>VLOOKUP(B481,Sheet3!$B$2:$E$311,3,)</f>
        <v>#N/A</v>
      </c>
      <c r="E481" s="6" t="str">
        <f>VLOOKUP(B481,Sheet3!$B$2:$E$311,4,)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VLOOKUP(B482,Sheet3!$B$2:$E$311,2,FALSE)</f>
        <v>#N/A</v>
      </c>
      <c r="D482" s="6" t="str">
        <f>VLOOKUP(B482,Sheet3!$B$2:$E$311,3,)</f>
        <v>#N/A</v>
      </c>
      <c r="E482" s="6" t="str">
        <f>VLOOKUP(B482,Sheet3!$B$2:$E$311,4,)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VLOOKUP(B483,Sheet3!$B$2:$E$311,2,FALSE)</f>
        <v>#N/A</v>
      </c>
      <c r="D483" s="6" t="str">
        <f>VLOOKUP(B483,Sheet3!$B$2:$E$311,3,)</f>
        <v>#N/A</v>
      </c>
      <c r="E483" s="6" t="str">
        <f>VLOOKUP(B483,Sheet3!$B$2:$E$311,4,)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VLOOKUP(B484,Sheet3!$B$2:$E$311,2,FALSE)</f>
        <v>#N/A</v>
      </c>
      <c r="D484" s="6" t="str">
        <f>VLOOKUP(B484,Sheet3!$B$2:$E$311,3,)</f>
        <v>#N/A</v>
      </c>
      <c r="E484" s="6" t="str">
        <f>VLOOKUP(B484,Sheet3!$B$2:$E$311,4,)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VLOOKUP(B485,Sheet3!$B$2:$E$311,2,FALSE)</f>
        <v>#N/A</v>
      </c>
      <c r="D485" s="6" t="str">
        <f>VLOOKUP(B485,Sheet3!$B$2:$E$311,3,)</f>
        <v>#N/A</v>
      </c>
      <c r="E485" s="6" t="str">
        <f>VLOOKUP(B485,Sheet3!$B$2:$E$311,4,)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VLOOKUP(B486,Sheet3!$B$2:$E$311,2,FALSE)</f>
        <v>#N/A</v>
      </c>
      <c r="D486" s="6" t="str">
        <f>VLOOKUP(B486,Sheet3!$B$2:$E$311,3,)</f>
        <v>#N/A</v>
      </c>
      <c r="E486" s="6" t="str">
        <f>VLOOKUP(B486,Sheet3!$B$2:$E$311,4,)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VLOOKUP(B487,Sheet3!$B$2:$E$311,2,FALSE)</f>
        <v>#N/A</v>
      </c>
      <c r="D487" s="6" t="str">
        <f>VLOOKUP(B487,Sheet3!$B$2:$E$311,3,)</f>
        <v>#N/A</v>
      </c>
      <c r="E487" s="6" t="str">
        <f>VLOOKUP(B487,Sheet3!$B$2:$E$311,4,)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VLOOKUP(B488,Sheet3!$B$2:$E$311,2,FALSE)</f>
        <v>#N/A</v>
      </c>
      <c r="D488" s="6" t="str">
        <f>VLOOKUP(B488,Sheet3!$B$2:$E$311,3,)</f>
        <v>#N/A</v>
      </c>
      <c r="E488" s="6" t="str">
        <f>VLOOKUP(B488,Sheet3!$B$2:$E$311,4,)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VLOOKUP(B489,Sheet3!$B$2:$E$311,2,FALSE)</f>
        <v>#N/A</v>
      </c>
      <c r="D489" s="6" t="str">
        <f>VLOOKUP(B489,Sheet3!$B$2:$E$311,3,)</f>
        <v>#N/A</v>
      </c>
      <c r="E489" s="6" t="str">
        <f>VLOOKUP(B489,Sheet3!$B$2:$E$311,4,)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VLOOKUP(B490,Sheet3!$B$2:$E$311,2,FALSE)</f>
        <v>#N/A</v>
      </c>
      <c r="D490" s="6" t="str">
        <f>VLOOKUP(B490,Sheet3!$B$2:$E$311,3,)</f>
        <v>#N/A</v>
      </c>
      <c r="E490" s="6" t="str">
        <f>VLOOKUP(B490,Sheet3!$B$2:$E$311,4,)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VLOOKUP(B491,Sheet3!$B$2:$E$311,2,FALSE)</f>
        <v>#N/A</v>
      </c>
      <c r="D491" s="6" t="str">
        <f>VLOOKUP(B491,Sheet3!$B$2:$E$311,3,)</f>
        <v>#N/A</v>
      </c>
      <c r="E491" s="6" t="str">
        <f>VLOOKUP(B491,Sheet3!$B$2:$E$311,4,)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VLOOKUP(B492,Sheet3!$B$2:$E$311,2,FALSE)</f>
        <v>#N/A</v>
      </c>
      <c r="D492" s="6" t="str">
        <f>VLOOKUP(B492,Sheet3!$B$2:$E$311,3,)</f>
        <v>#N/A</v>
      </c>
      <c r="E492" s="6" t="str">
        <f>VLOOKUP(B492,Sheet3!$B$2:$E$311,4,)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VLOOKUP(B493,Sheet3!$B$2:$E$311,2,FALSE)</f>
        <v>#N/A</v>
      </c>
      <c r="D493" s="6" t="str">
        <f>VLOOKUP(B493,Sheet3!$B$2:$E$311,3,)</f>
        <v>#N/A</v>
      </c>
      <c r="E493" s="6" t="str">
        <f>VLOOKUP(B493,Sheet3!$B$2:$E$311,4,)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VLOOKUP(B494,Sheet3!$B$2:$E$311,2,FALSE)</f>
        <v>#N/A</v>
      </c>
      <c r="D494" s="6" t="str">
        <f>VLOOKUP(B494,Sheet3!$B$2:$E$311,3,)</f>
        <v>#N/A</v>
      </c>
      <c r="E494" s="6" t="str">
        <f>VLOOKUP(B494,Sheet3!$B$2:$E$311,4,)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VLOOKUP(B495,Sheet3!$B$2:$E$311,2,FALSE)</f>
        <v>#N/A</v>
      </c>
      <c r="D495" s="6" t="str">
        <f>VLOOKUP(B495,Sheet3!$B$2:$E$311,3,)</f>
        <v>#N/A</v>
      </c>
      <c r="E495" s="6" t="str">
        <f>VLOOKUP(B495,Sheet3!$B$2:$E$311,4,)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VLOOKUP(B496,Sheet3!$B$2:$E$311,2,FALSE)</f>
        <v>#N/A</v>
      </c>
      <c r="D496" s="6" t="str">
        <f>VLOOKUP(B496,Sheet3!$B$2:$E$311,3,)</f>
        <v>#N/A</v>
      </c>
      <c r="E496" s="6" t="str">
        <f>VLOOKUP(B496,Sheet3!$B$2:$E$311,4,)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VLOOKUP(B497,Sheet3!$B$2:$E$311,2,FALSE)</f>
        <v>#N/A</v>
      </c>
      <c r="D497" s="6" t="str">
        <f>VLOOKUP(B497,Sheet3!$B$2:$E$311,3,)</f>
        <v>#N/A</v>
      </c>
      <c r="E497" s="6" t="str">
        <f>VLOOKUP(B497,Sheet3!$B$2:$E$311,4,)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VLOOKUP(B498,Sheet3!$B$2:$E$311,2,FALSE)</f>
        <v>#N/A</v>
      </c>
      <c r="D498" s="6" t="str">
        <f>VLOOKUP(B498,Sheet3!$B$2:$E$311,3,)</f>
        <v>#N/A</v>
      </c>
      <c r="E498" s="6" t="str">
        <f>VLOOKUP(B498,Sheet3!$B$2:$E$311,4,)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VLOOKUP(B499,Sheet3!$B$2:$E$311,2,FALSE)</f>
        <v>#N/A</v>
      </c>
      <c r="D499" s="6" t="str">
        <f>VLOOKUP(B499,Sheet3!$B$2:$E$311,3,)</f>
        <v>#N/A</v>
      </c>
      <c r="E499" s="6" t="str">
        <f>VLOOKUP(B499,Sheet3!$B$2:$E$311,4,)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VLOOKUP(B500,Sheet3!$B$2:$E$311,2,FALSE)</f>
        <v>#N/A</v>
      </c>
      <c r="D500" s="6" t="str">
        <f>VLOOKUP(B500,Sheet3!$B$2:$E$311,3,)</f>
        <v>#N/A</v>
      </c>
      <c r="E500" s="6" t="str">
        <f>VLOOKUP(B500,Sheet3!$B$2:$E$311,4,)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VLOOKUP(B501,Sheet3!$B$2:$E$311,2,FALSE)</f>
        <v>#N/A</v>
      </c>
      <c r="D501" s="6" t="str">
        <f>VLOOKUP(B501,Sheet3!$B$2:$E$311,3,)</f>
        <v>#N/A</v>
      </c>
      <c r="E501" s="6" t="str">
        <f>VLOOKUP(B501,Sheet3!$B$2:$E$311,4,)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VLOOKUP(B502,Sheet3!$B$2:$E$311,2,FALSE)</f>
        <v>#N/A</v>
      </c>
      <c r="D502" s="6" t="str">
        <f>VLOOKUP(B502,Sheet3!$B$2:$E$311,3,)</f>
        <v>#N/A</v>
      </c>
      <c r="E502" s="6" t="str">
        <f>VLOOKUP(B502,Sheet3!$B$2:$E$311,4,)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VLOOKUP(B503,Sheet3!$B$2:$E$311,2,FALSE)</f>
        <v>#N/A</v>
      </c>
      <c r="D503" s="6" t="str">
        <f>VLOOKUP(B503,Sheet3!$B$2:$E$311,3,)</f>
        <v>#N/A</v>
      </c>
      <c r="E503" s="6" t="str">
        <f>VLOOKUP(B503,Sheet3!$B$2:$E$311,4,)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VLOOKUP(B504,Sheet3!$B$2:$E$311,2,FALSE)</f>
        <v>#N/A</v>
      </c>
      <c r="D504" s="6" t="str">
        <f>VLOOKUP(B504,Sheet3!$B$2:$E$311,3,)</f>
        <v>#N/A</v>
      </c>
      <c r="E504" s="6" t="str">
        <f>VLOOKUP(B504,Sheet3!$B$2:$E$311,4,)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VLOOKUP(B505,Sheet3!$B$2:$E$311,2,FALSE)</f>
        <v>#N/A</v>
      </c>
      <c r="D505" s="6" t="str">
        <f>VLOOKUP(B505,Sheet3!$B$2:$E$311,3,)</f>
        <v>#N/A</v>
      </c>
      <c r="E505" s="6" t="str">
        <f>VLOOKUP(B505,Sheet3!$B$2:$E$311,4,)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VLOOKUP(B506,Sheet3!$B$2:$E$311,2,FALSE)</f>
        <v>#N/A</v>
      </c>
      <c r="D506" s="6" t="str">
        <f>VLOOKUP(B506,Sheet3!$B$2:$E$311,3,)</f>
        <v>#N/A</v>
      </c>
      <c r="E506" s="6" t="str">
        <f>VLOOKUP(B506,Sheet3!$B$2:$E$311,4,)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VLOOKUP(B507,Sheet3!$B$2:$E$311,2,FALSE)</f>
        <v>#N/A</v>
      </c>
      <c r="D507" s="6" t="str">
        <f>VLOOKUP(B507,Sheet3!$B$2:$E$311,3,)</f>
        <v>#N/A</v>
      </c>
      <c r="E507" s="6" t="str">
        <f>VLOOKUP(B507,Sheet3!$B$2:$E$311,4,)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VLOOKUP(B508,Sheet3!$B$2:$E$311,2,FALSE)</f>
        <v>#N/A</v>
      </c>
      <c r="D508" s="6" t="str">
        <f>VLOOKUP(B508,Sheet3!$B$2:$E$311,3,)</f>
        <v>#N/A</v>
      </c>
      <c r="E508" s="6" t="str">
        <f>VLOOKUP(B508,Sheet3!$B$2:$E$311,4,)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VLOOKUP(B509,Sheet3!$B$2:$E$311,2,FALSE)</f>
        <v>#N/A</v>
      </c>
      <c r="D509" s="6" t="str">
        <f>VLOOKUP(B509,Sheet3!$B$2:$E$311,3,)</f>
        <v>#N/A</v>
      </c>
      <c r="E509" s="6" t="str">
        <f>VLOOKUP(B509,Sheet3!$B$2:$E$311,4,)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VLOOKUP(B510,Sheet3!$B$2:$E$311,2,FALSE)</f>
        <v>#N/A</v>
      </c>
      <c r="D510" s="6" t="str">
        <f>VLOOKUP(B510,Sheet3!$B$2:$E$311,3,)</f>
        <v>#N/A</v>
      </c>
      <c r="E510" s="6" t="str">
        <f>VLOOKUP(B510,Sheet3!$B$2:$E$311,4,)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VLOOKUP(B511,Sheet3!$B$2:$E$311,2,FALSE)</f>
        <v>#N/A</v>
      </c>
      <c r="D511" s="6" t="str">
        <f>VLOOKUP(B511,Sheet3!$B$2:$E$311,3,)</f>
        <v>#N/A</v>
      </c>
      <c r="E511" s="6" t="str">
        <f>VLOOKUP(B511,Sheet3!$B$2:$E$311,4,)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VLOOKUP(B512,Sheet3!$B$2:$E$311,2,FALSE)</f>
        <v>#N/A</v>
      </c>
      <c r="D512" s="6" t="str">
        <f>VLOOKUP(B512,Sheet3!$B$2:$E$311,3,)</f>
        <v>#N/A</v>
      </c>
      <c r="E512" s="6" t="str">
        <f>VLOOKUP(B512,Sheet3!$B$2:$E$311,4,)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VLOOKUP(B513,Sheet3!$B$2:$E$311,2,FALSE)</f>
        <v>#N/A</v>
      </c>
      <c r="D513" s="6" t="str">
        <f>VLOOKUP(B513,Sheet3!$B$2:$E$311,3,)</f>
        <v>#N/A</v>
      </c>
      <c r="E513" s="6" t="str">
        <f>VLOOKUP(B513,Sheet3!$B$2:$E$311,4,)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VLOOKUP(B514,Sheet3!$B$2:$E$311,2,FALSE)</f>
        <v>#N/A</v>
      </c>
      <c r="D514" s="6" t="str">
        <f>VLOOKUP(B514,Sheet3!$B$2:$E$311,3,)</f>
        <v>#N/A</v>
      </c>
      <c r="E514" s="6" t="str">
        <f>VLOOKUP(B514,Sheet3!$B$2:$E$311,4,)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VLOOKUP(B515,Sheet3!$B$2:$E$311,2,FALSE)</f>
        <v>#N/A</v>
      </c>
      <c r="D515" s="6" t="str">
        <f>VLOOKUP(B515,Sheet3!$B$2:$E$311,3,)</f>
        <v>#N/A</v>
      </c>
      <c r="E515" s="6" t="str">
        <f>VLOOKUP(B515,Sheet3!$B$2:$E$311,4,)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VLOOKUP(B516,Sheet3!$B$2:$E$311,2,FALSE)</f>
        <v>#N/A</v>
      </c>
      <c r="D516" s="6" t="str">
        <f>VLOOKUP(B516,Sheet3!$B$2:$E$311,3,)</f>
        <v>#N/A</v>
      </c>
      <c r="E516" s="6" t="str">
        <f>VLOOKUP(B516,Sheet3!$B$2:$E$311,4,)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VLOOKUP(B517,Sheet3!$B$2:$E$311,2,FALSE)</f>
        <v>#N/A</v>
      </c>
      <c r="D517" s="6" t="str">
        <f>VLOOKUP(B517,Sheet3!$B$2:$E$311,3,)</f>
        <v>#N/A</v>
      </c>
      <c r="E517" s="6" t="str">
        <f>VLOOKUP(B517,Sheet3!$B$2:$E$311,4,)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VLOOKUP(B518,Sheet3!$B$2:$E$311,2,FALSE)</f>
        <v>#N/A</v>
      </c>
      <c r="D518" s="6" t="str">
        <f>VLOOKUP(B518,Sheet3!$B$2:$E$311,3,)</f>
        <v>#N/A</v>
      </c>
      <c r="E518" s="6" t="str">
        <f>VLOOKUP(B518,Sheet3!$B$2:$E$311,4,)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VLOOKUP(B519,Sheet3!$B$2:$E$311,2,FALSE)</f>
        <v>#N/A</v>
      </c>
      <c r="D519" s="6" t="str">
        <f>VLOOKUP(B519,Sheet3!$B$2:$E$311,3,)</f>
        <v>#N/A</v>
      </c>
      <c r="E519" s="6" t="str">
        <f>VLOOKUP(B519,Sheet3!$B$2:$E$311,4,)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VLOOKUP(B520,Sheet3!$B$2:$E$311,2,FALSE)</f>
        <v>#N/A</v>
      </c>
      <c r="D520" s="6" t="str">
        <f>VLOOKUP(B520,Sheet3!$B$2:$E$311,3,)</f>
        <v>#N/A</v>
      </c>
      <c r="E520" s="6" t="str">
        <f>VLOOKUP(B520,Sheet3!$B$2:$E$311,4,)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VLOOKUP(B521,Sheet3!$B$2:$E$311,2,FALSE)</f>
        <v>#N/A</v>
      </c>
      <c r="D521" s="6" t="str">
        <f>VLOOKUP(B521,Sheet3!$B$2:$E$311,3,)</f>
        <v>#N/A</v>
      </c>
      <c r="E521" s="6" t="str">
        <f>VLOOKUP(B521,Sheet3!$B$2:$E$311,4,)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VLOOKUP(B522,Sheet3!$B$2:$E$311,2,FALSE)</f>
        <v>#N/A</v>
      </c>
      <c r="D522" s="6" t="str">
        <f>VLOOKUP(B522,Sheet3!$B$2:$E$311,3,)</f>
        <v>#N/A</v>
      </c>
      <c r="E522" s="6" t="str">
        <f>VLOOKUP(B522,Sheet3!$B$2:$E$311,4,)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VLOOKUP(B523,Sheet3!$B$2:$E$311,2,FALSE)</f>
        <v>#N/A</v>
      </c>
      <c r="D523" s="6" t="str">
        <f>VLOOKUP(B523,Sheet3!$B$2:$E$311,3,)</f>
        <v>#N/A</v>
      </c>
      <c r="E523" s="6" t="str">
        <f>VLOOKUP(B523,Sheet3!$B$2:$E$311,4,)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VLOOKUP(B524,Sheet3!$B$2:$E$311,2,FALSE)</f>
        <v>#N/A</v>
      </c>
      <c r="D524" s="6" t="str">
        <f>VLOOKUP(B524,Sheet3!$B$2:$E$311,3,)</f>
        <v>#N/A</v>
      </c>
      <c r="E524" s="6" t="str">
        <f>VLOOKUP(B524,Sheet3!$B$2:$E$311,4,)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VLOOKUP(B525,Sheet3!$B$2:$E$311,2,FALSE)</f>
        <v>#N/A</v>
      </c>
      <c r="D525" s="6" t="str">
        <f>VLOOKUP(B525,Sheet3!$B$2:$E$311,3,)</f>
        <v>#N/A</v>
      </c>
      <c r="E525" s="6" t="str">
        <f>VLOOKUP(B525,Sheet3!$B$2:$E$311,4,)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VLOOKUP(B526,Sheet3!$B$2:$E$311,2,FALSE)</f>
        <v>#N/A</v>
      </c>
      <c r="D526" s="6" t="str">
        <f>VLOOKUP(B526,Sheet3!$B$2:$E$311,3,)</f>
        <v>#N/A</v>
      </c>
      <c r="E526" s="6" t="str">
        <f>VLOOKUP(B526,Sheet3!$B$2:$E$311,4,)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VLOOKUP(B527,Sheet3!$B$2:$E$311,2,FALSE)</f>
        <v>#N/A</v>
      </c>
      <c r="D527" s="6" t="str">
        <f>VLOOKUP(B527,Sheet3!$B$2:$E$311,3,)</f>
        <v>#N/A</v>
      </c>
      <c r="E527" s="6" t="str">
        <f>VLOOKUP(B527,Sheet3!$B$2:$E$311,4,)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VLOOKUP(B528,Sheet3!$B$2:$E$311,2,FALSE)</f>
        <v>#N/A</v>
      </c>
      <c r="D528" s="6" t="str">
        <f>VLOOKUP(B528,Sheet3!$B$2:$E$311,3,)</f>
        <v>#N/A</v>
      </c>
      <c r="E528" s="6" t="str">
        <f>VLOOKUP(B528,Sheet3!$B$2:$E$311,4,)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VLOOKUP(B529,Sheet3!$B$2:$E$311,2,FALSE)</f>
        <v>#N/A</v>
      </c>
      <c r="D529" s="6" t="str">
        <f>VLOOKUP(B529,Sheet3!$B$2:$E$311,3,)</f>
        <v>#N/A</v>
      </c>
      <c r="E529" s="6" t="str">
        <f>VLOOKUP(B529,Sheet3!$B$2:$E$311,4,)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VLOOKUP(B530,Sheet3!$B$2:$E$311,2,FALSE)</f>
        <v>#N/A</v>
      </c>
      <c r="D530" s="6" t="str">
        <f>VLOOKUP(B530,Sheet3!$B$2:$E$311,3,)</f>
        <v>#N/A</v>
      </c>
      <c r="E530" s="6" t="str">
        <f>VLOOKUP(B530,Sheet3!$B$2:$E$311,4,)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VLOOKUP(B531,Sheet3!$B$2:$E$311,2,FALSE)</f>
        <v>#N/A</v>
      </c>
      <c r="D531" s="6" t="str">
        <f>VLOOKUP(B531,Sheet3!$B$2:$E$311,3,)</f>
        <v>#N/A</v>
      </c>
      <c r="E531" s="6" t="str">
        <f>VLOOKUP(B531,Sheet3!$B$2:$E$311,4,)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VLOOKUP(B532,Sheet3!$B$2:$E$311,2,FALSE)</f>
        <v>#N/A</v>
      </c>
      <c r="D532" s="6" t="str">
        <f>VLOOKUP(B532,Sheet3!$B$2:$E$311,3,)</f>
        <v>#N/A</v>
      </c>
      <c r="E532" s="6" t="str">
        <f>VLOOKUP(B532,Sheet3!$B$2:$E$311,4,)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VLOOKUP(B533,Sheet3!$B$2:$E$311,2,FALSE)</f>
        <v>#N/A</v>
      </c>
      <c r="D533" s="6" t="str">
        <f>VLOOKUP(B533,Sheet3!$B$2:$E$311,3,)</f>
        <v>#N/A</v>
      </c>
      <c r="E533" s="6" t="str">
        <f>VLOOKUP(B533,Sheet3!$B$2:$E$311,4,)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VLOOKUP(B534,Sheet3!$B$2:$E$311,2,FALSE)</f>
        <v>#N/A</v>
      </c>
      <c r="D534" s="6" t="str">
        <f>VLOOKUP(B534,Sheet3!$B$2:$E$311,3,)</f>
        <v>#N/A</v>
      </c>
      <c r="E534" s="6" t="str">
        <f>VLOOKUP(B534,Sheet3!$B$2:$E$311,4,)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VLOOKUP(B535,Sheet3!$B$2:$E$311,2,FALSE)</f>
        <v>#N/A</v>
      </c>
      <c r="D535" s="6" t="str">
        <f>VLOOKUP(B535,Sheet3!$B$2:$E$311,3,)</f>
        <v>#N/A</v>
      </c>
      <c r="E535" s="6" t="str">
        <f>VLOOKUP(B535,Sheet3!$B$2:$E$311,4,)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VLOOKUP(B536,Sheet3!$B$2:$E$311,2,FALSE)</f>
        <v>#N/A</v>
      </c>
      <c r="D536" s="6" t="str">
        <f>VLOOKUP(B536,Sheet3!$B$2:$E$311,3,)</f>
        <v>#N/A</v>
      </c>
      <c r="E536" s="6" t="str">
        <f>VLOOKUP(B536,Sheet3!$B$2:$E$311,4,)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VLOOKUP(B537,Sheet3!$B$2:$E$311,2,FALSE)</f>
        <v>#N/A</v>
      </c>
      <c r="D537" s="6" t="str">
        <f>VLOOKUP(B537,Sheet3!$B$2:$E$311,3,)</f>
        <v>#N/A</v>
      </c>
      <c r="E537" s="6" t="str">
        <f>VLOOKUP(B537,Sheet3!$B$2:$E$311,4,)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VLOOKUP(B538,Sheet3!$B$2:$E$311,2,FALSE)</f>
        <v>#N/A</v>
      </c>
      <c r="D538" s="6" t="str">
        <f>VLOOKUP(B538,Sheet3!$B$2:$E$311,3,)</f>
        <v>#N/A</v>
      </c>
      <c r="E538" s="6" t="str">
        <f>VLOOKUP(B538,Sheet3!$B$2:$E$311,4,)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VLOOKUP(B539,Sheet3!$B$2:$E$311,2,FALSE)</f>
        <v>#N/A</v>
      </c>
      <c r="D539" s="6" t="str">
        <f>VLOOKUP(B539,Sheet3!$B$2:$E$311,3,)</f>
        <v>#N/A</v>
      </c>
      <c r="E539" s="6" t="str">
        <f>VLOOKUP(B539,Sheet3!$B$2:$E$311,4,)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VLOOKUP(B540,Sheet3!$B$2:$E$311,2,FALSE)</f>
        <v>#N/A</v>
      </c>
      <c r="D540" s="6" t="str">
        <f>VLOOKUP(B540,Sheet3!$B$2:$E$311,3,)</f>
        <v>#N/A</v>
      </c>
      <c r="E540" s="6" t="str">
        <f>VLOOKUP(B540,Sheet3!$B$2:$E$311,4,)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VLOOKUP(B541,Sheet3!$B$2:$E$311,2,FALSE)</f>
        <v>#N/A</v>
      </c>
      <c r="D541" s="6" t="str">
        <f>VLOOKUP(B541,Sheet3!$B$2:$E$311,3,)</f>
        <v>#N/A</v>
      </c>
      <c r="E541" s="6" t="str">
        <f>VLOOKUP(B541,Sheet3!$B$2:$E$311,4,)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VLOOKUP(B542,Sheet3!$B$2:$E$311,2,FALSE)</f>
        <v>#N/A</v>
      </c>
      <c r="D542" s="6" t="str">
        <f>VLOOKUP(B542,Sheet3!$B$2:$E$311,3,)</f>
        <v>#N/A</v>
      </c>
      <c r="E542" s="6" t="str">
        <f>VLOOKUP(B542,Sheet3!$B$2:$E$311,4,)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VLOOKUP(B543,Sheet3!$B$2:$E$311,2,FALSE)</f>
        <v>#N/A</v>
      </c>
      <c r="D543" s="6" t="str">
        <f>VLOOKUP(B543,Sheet3!$B$2:$E$311,3,)</f>
        <v>#N/A</v>
      </c>
      <c r="E543" s="6" t="str">
        <f>VLOOKUP(B543,Sheet3!$B$2:$E$311,4,)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VLOOKUP(B544,Sheet3!$B$2:$E$311,2,FALSE)</f>
        <v>#N/A</v>
      </c>
      <c r="D544" s="6" t="str">
        <f>VLOOKUP(B544,Sheet3!$B$2:$E$311,3,)</f>
        <v>#N/A</v>
      </c>
      <c r="E544" s="6" t="str">
        <f>VLOOKUP(B544,Sheet3!$B$2:$E$311,4,)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VLOOKUP(B545,Sheet3!$B$2:$E$311,2,FALSE)</f>
        <v>#N/A</v>
      </c>
      <c r="D545" s="6" t="str">
        <f>VLOOKUP(B545,Sheet3!$B$2:$E$311,3,)</f>
        <v>#N/A</v>
      </c>
      <c r="E545" s="6" t="str">
        <f>VLOOKUP(B545,Sheet3!$B$2:$E$311,4,)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VLOOKUP(B546,Sheet3!$B$2:$E$311,2,FALSE)</f>
        <v>#N/A</v>
      </c>
      <c r="D546" s="6" t="str">
        <f>VLOOKUP(B546,Sheet3!$B$2:$E$311,3,)</f>
        <v>#N/A</v>
      </c>
      <c r="E546" s="6" t="str">
        <f>VLOOKUP(B546,Sheet3!$B$2:$E$311,4,)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VLOOKUP(B547,Sheet3!$B$2:$E$311,2,FALSE)</f>
        <v>#N/A</v>
      </c>
      <c r="D547" s="6" t="str">
        <f>VLOOKUP(B547,Sheet3!$B$2:$E$311,3,)</f>
        <v>#N/A</v>
      </c>
      <c r="E547" s="6" t="str">
        <f>VLOOKUP(B547,Sheet3!$B$2:$E$311,4,)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VLOOKUP(B548,Sheet3!$B$2:$E$311,2,FALSE)</f>
        <v>#N/A</v>
      </c>
      <c r="D548" s="6" t="str">
        <f>VLOOKUP(B548,Sheet3!$B$2:$E$311,3,)</f>
        <v>#N/A</v>
      </c>
      <c r="E548" s="6" t="str">
        <f>VLOOKUP(B548,Sheet3!$B$2:$E$311,4,)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VLOOKUP(B549,Sheet3!$B$2:$E$311,2,FALSE)</f>
        <v>#N/A</v>
      </c>
      <c r="D549" s="6" t="str">
        <f>VLOOKUP(B549,Sheet3!$B$2:$E$311,3,)</f>
        <v>#N/A</v>
      </c>
      <c r="E549" s="6" t="str">
        <f>VLOOKUP(B549,Sheet3!$B$2:$E$311,4,)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VLOOKUP(B550,Sheet3!$B$2:$E$311,2,FALSE)</f>
        <v>#N/A</v>
      </c>
      <c r="D550" s="6" t="str">
        <f>VLOOKUP(B550,Sheet3!$B$2:$E$311,3,)</f>
        <v>#N/A</v>
      </c>
      <c r="E550" s="6" t="str">
        <f>VLOOKUP(B550,Sheet3!$B$2:$E$311,4,)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VLOOKUP(B551,Sheet3!$B$2:$E$311,2,FALSE)</f>
        <v>#N/A</v>
      </c>
      <c r="D551" s="6" t="str">
        <f>VLOOKUP(B551,Sheet3!$B$2:$E$311,3,)</f>
        <v>#N/A</v>
      </c>
      <c r="E551" s="6" t="str">
        <f>VLOOKUP(B551,Sheet3!$B$2:$E$311,4,)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VLOOKUP(B552,Sheet3!$B$2:$E$311,2,FALSE)</f>
        <v>#N/A</v>
      </c>
      <c r="D552" s="6" t="str">
        <f>VLOOKUP(B552,Sheet3!$B$2:$E$311,3,)</f>
        <v>#N/A</v>
      </c>
      <c r="E552" s="6" t="str">
        <f>VLOOKUP(B552,Sheet3!$B$2:$E$311,4,)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VLOOKUP(B553,Sheet3!$B$2:$E$311,2,FALSE)</f>
        <v>#N/A</v>
      </c>
      <c r="D553" s="6" t="str">
        <f>VLOOKUP(B553,Sheet3!$B$2:$E$311,3,)</f>
        <v>#N/A</v>
      </c>
      <c r="E553" s="6" t="str">
        <f>VLOOKUP(B553,Sheet3!$B$2:$E$311,4,)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VLOOKUP(B554,Sheet3!$B$2:$E$311,2,FALSE)</f>
        <v>#N/A</v>
      </c>
      <c r="D554" s="6" t="str">
        <f>VLOOKUP(B554,Sheet3!$B$2:$E$311,3,)</f>
        <v>#N/A</v>
      </c>
      <c r="E554" s="6" t="str">
        <f>VLOOKUP(B554,Sheet3!$B$2:$E$311,4,)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VLOOKUP(B555,Sheet3!$B$2:$E$311,2,FALSE)</f>
        <v>#N/A</v>
      </c>
      <c r="D555" s="6" t="str">
        <f>VLOOKUP(B555,Sheet3!$B$2:$E$311,3,)</f>
        <v>#N/A</v>
      </c>
      <c r="E555" s="6" t="str">
        <f>VLOOKUP(B555,Sheet3!$B$2:$E$311,4,)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VLOOKUP(B556,Sheet3!$B$2:$E$311,2,FALSE)</f>
        <v>#N/A</v>
      </c>
      <c r="D556" s="6" t="str">
        <f>VLOOKUP(B556,Sheet3!$B$2:$E$311,3,)</f>
        <v>#N/A</v>
      </c>
      <c r="E556" s="6" t="str">
        <f>VLOOKUP(B556,Sheet3!$B$2:$E$311,4,)</f>
        <v>#N/A</v>
      </c>
      <c r="F556" s="6"/>
      <c r="G556" s="6"/>
      <c r="H556" s="6"/>
    </row>
    <row r="557" ht="15.75" customHeight="1">
      <c r="A557" s="6"/>
      <c r="B557" s="6"/>
      <c r="C557" s="6" t="str">
        <f>VLOOKUP(B557,Sheet3!$B$2:$E$311,2,FALSE)</f>
        <v>#N/A</v>
      </c>
      <c r="D557" s="6" t="str">
        <f>VLOOKUP(B557,Sheet3!$B$2:$E$311,3,)</f>
        <v>#N/A</v>
      </c>
      <c r="E557" s="6" t="str">
        <f>VLOOKUP(B557,Sheet3!$B$2:$E$311,4,)</f>
        <v>#N/A</v>
      </c>
      <c r="F557" s="6"/>
      <c r="G557" s="6"/>
      <c r="H557" s="6"/>
    </row>
    <row r="558" ht="15.75" customHeight="1">
      <c r="A558" s="6"/>
      <c r="B558" s="6"/>
      <c r="C558" s="6" t="str">
        <f>VLOOKUP(B558,Sheet3!$B$2:$E$311,2,FALSE)</f>
        <v>#N/A</v>
      </c>
      <c r="D558" s="6" t="str">
        <f>VLOOKUP(B558,Sheet3!$B$2:$E$311,3,)</f>
        <v>#N/A</v>
      </c>
      <c r="E558" s="6" t="str">
        <f>VLOOKUP(B558,Sheet3!$B$2:$E$311,4,)</f>
        <v>#N/A</v>
      </c>
      <c r="F558" s="6"/>
      <c r="G558" s="6"/>
      <c r="H558" s="6"/>
    </row>
    <row r="559" ht="15.75" customHeight="1">
      <c r="B559" s="21"/>
      <c r="C559" s="21" t="str">
        <f>VLOOKUP(B559,Sheet3!$B$2:$E$311,2,FALSE)</f>
        <v>#N/A</v>
      </c>
      <c r="D559" s="21" t="str">
        <f>VLOOKUP(B559,Sheet3!$B$2:$E$311,3,)</f>
        <v>#N/A</v>
      </c>
      <c r="E559" s="21" t="str">
        <f>VLOOKUP(B559,Sheet3!$B$2:$E$311,4,)</f>
        <v>#N/A</v>
      </c>
    </row>
    <row r="560" ht="15.75" customHeight="1">
      <c r="B560" s="21"/>
      <c r="C560" s="21" t="str">
        <f>VLOOKUP(B560,Sheet3!$B$2:$E$311,2,FALSE)</f>
        <v>#N/A</v>
      </c>
      <c r="D560" s="21" t="str">
        <f>VLOOKUP(B560,Sheet3!$B$2:$E$311,3,)</f>
        <v>#N/A</v>
      </c>
      <c r="E560" s="21" t="str">
        <f>VLOOKUP(B560,Sheet3!$B$2:$E$311,4,)</f>
        <v>#N/A</v>
      </c>
    </row>
    <row r="561" ht="15.75" customHeight="1">
      <c r="B561" s="21"/>
      <c r="C561" s="21" t="str">
        <f>VLOOKUP(B561,Sheet3!$B$2:$E$311,2,FALSE)</f>
        <v>#N/A</v>
      </c>
      <c r="D561" s="21" t="str">
        <f>VLOOKUP(B561,Sheet3!$B$2:$E$311,3,)</f>
        <v>#N/A</v>
      </c>
      <c r="E561" s="21" t="str">
        <f>VLOOKUP(B561,Sheet3!$B$2:$E$311,4,)</f>
        <v>#N/A</v>
      </c>
    </row>
    <row r="562" ht="15.75" customHeight="1">
      <c r="B562" s="21"/>
      <c r="C562" s="21" t="str">
        <f>VLOOKUP(B562,Sheet3!$B$2:$E$311,2,FALSE)</f>
        <v>#N/A</v>
      </c>
      <c r="D562" s="21" t="str">
        <f>VLOOKUP(B562,Sheet3!$B$2:$E$311,3,)</f>
        <v>#N/A</v>
      </c>
      <c r="E562" s="21" t="str">
        <f>VLOOKUP(B562,Sheet3!$B$2:$E$311,4,)</f>
        <v>#N/A</v>
      </c>
    </row>
    <row r="563" ht="15.75" customHeight="1">
      <c r="B563" s="21"/>
      <c r="C563" s="21" t="str">
        <f>VLOOKUP(B563,Sheet3!$B$2:$E$311,2,FALSE)</f>
        <v>#N/A</v>
      </c>
      <c r="D563" s="21" t="str">
        <f>VLOOKUP(B563,Sheet3!$B$2:$E$311,3,)</f>
        <v>#N/A</v>
      </c>
      <c r="E563" s="21" t="str">
        <f>VLOOKUP(B563,Sheet3!$B$2:$E$311,4,)</f>
        <v>#N/A</v>
      </c>
    </row>
    <row r="564" ht="15.75" customHeight="1">
      <c r="B564" s="21"/>
      <c r="C564" s="21" t="str">
        <f>VLOOKUP(B564,Sheet3!$B$2:$E$311,2,FALSE)</f>
        <v>#N/A</v>
      </c>
      <c r="D564" s="21" t="str">
        <f>VLOOKUP(B564,Sheet3!$B$2:$E$311,3,)</f>
        <v>#N/A</v>
      </c>
      <c r="E564" s="21" t="str">
        <f>VLOOKUP(B564,Sheet3!$B$2:$E$311,4,)</f>
        <v>#N/A</v>
      </c>
    </row>
    <row r="565" ht="15.75" customHeight="1">
      <c r="B565" s="21"/>
      <c r="C565" s="21" t="str">
        <f>VLOOKUP(B565,Sheet3!$B$2:$E$311,2,FALSE)</f>
        <v>#N/A</v>
      </c>
      <c r="D565" s="21" t="str">
        <f>VLOOKUP(B565,Sheet3!$B$2:$E$311,3,)</f>
        <v>#N/A</v>
      </c>
      <c r="E565" s="21" t="str">
        <f>VLOOKUP(B565,Sheet3!$B$2:$E$311,4,)</f>
        <v>#N/A</v>
      </c>
    </row>
    <row r="566" ht="15.75" customHeight="1">
      <c r="B566" s="21"/>
      <c r="C566" s="21" t="str">
        <f>VLOOKUP(B566,Sheet3!$B$2:$E$311,2,FALSE)</f>
        <v>#N/A</v>
      </c>
      <c r="D566" s="21" t="str">
        <f>VLOOKUP(B566,Sheet3!$B$2:$E$311,3,)</f>
        <v>#N/A</v>
      </c>
      <c r="E566" s="21" t="str">
        <f>VLOOKUP(B566,Sheet3!$B$2:$E$311,4,)</f>
        <v>#N/A</v>
      </c>
    </row>
    <row r="567" ht="15.75" customHeight="1">
      <c r="B567" s="21"/>
      <c r="C567" s="21" t="str">
        <f>VLOOKUP(B567,Sheet3!$B$2:$E$311,2,FALSE)</f>
        <v>#N/A</v>
      </c>
      <c r="D567" s="21" t="str">
        <f>VLOOKUP(B567,Sheet3!$B$2:$E$311,3,)</f>
        <v>#N/A</v>
      </c>
      <c r="E567" s="21" t="str">
        <f>VLOOKUP(B567,Sheet3!$B$2:$E$311,4,)</f>
        <v>#N/A</v>
      </c>
    </row>
    <row r="568" ht="15.75" customHeight="1">
      <c r="B568" s="21"/>
      <c r="C568" s="21" t="str">
        <f>VLOOKUP(B568,Sheet3!$B$2:$E$311,2,FALSE)</f>
        <v>#N/A</v>
      </c>
      <c r="D568" s="21" t="str">
        <f>VLOOKUP(B568,Sheet3!$B$2:$E$311,3,)</f>
        <v>#N/A</v>
      </c>
      <c r="E568" s="21" t="str">
        <f>VLOOKUP(B568,Sheet3!$B$2:$E$311,4,)</f>
        <v>#N/A</v>
      </c>
    </row>
    <row r="569" ht="15.75" customHeight="1">
      <c r="B569" s="21"/>
      <c r="C569" s="21" t="str">
        <f>VLOOKUP(B569,Sheet3!$B$2:$E$311,2,FALSE)</f>
        <v>#N/A</v>
      </c>
      <c r="D569" s="21" t="str">
        <f>VLOOKUP(B569,Sheet3!$B$2:$E$311,3,)</f>
        <v>#N/A</v>
      </c>
      <c r="E569" s="21" t="str">
        <f>VLOOKUP(B569,Sheet3!$B$2:$E$311,4,)</f>
        <v>#N/A</v>
      </c>
    </row>
    <row r="570" ht="15.75" customHeight="1">
      <c r="B570" s="21"/>
      <c r="C570" s="21" t="str">
        <f>VLOOKUP(B570,Sheet3!$B$2:$E$311,2,FALSE)</f>
        <v>#N/A</v>
      </c>
      <c r="D570" s="21" t="str">
        <f>VLOOKUP(B570,Sheet3!$B$2:$E$311,3,)</f>
        <v>#N/A</v>
      </c>
      <c r="E570" s="21" t="str">
        <f>VLOOKUP(B570,Sheet3!$B$2:$E$311,4,)</f>
        <v>#N/A</v>
      </c>
    </row>
    <row r="571" ht="15.75" customHeight="1">
      <c r="B571" s="21"/>
      <c r="C571" s="21" t="str">
        <f>VLOOKUP(B571,Sheet3!$B$2:$E$311,2,FALSE)</f>
        <v>#N/A</v>
      </c>
      <c r="D571" s="21" t="str">
        <f>VLOOKUP(B571,Sheet3!$B$2:$E$311,3,)</f>
        <v>#N/A</v>
      </c>
      <c r="E571" s="21" t="str">
        <f>VLOOKUP(B571,Sheet3!$B$2:$E$311,4,)</f>
        <v>#N/A</v>
      </c>
    </row>
    <row r="572" ht="15.75" customHeight="1">
      <c r="B572" s="21"/>
      <c r="C572" s="21" t="str">
        <f>VLOOKUP(B572,Sheet3!$B$2:$E$311,2,FALSE)</f>
        <v>#N/A</v>
      </c>
      <c r="D572" s="21" t="str">
        <f>VLOOKUP(B572,Sheet3!$B$2:$E$311,3,)</f>
        <v>#N/A</v>
      </c>
      <c r="E572" s="21" t="str">
        <f>VLOOKUP(B572,Sheet3!$B$2:$E$311,4,)</f>
        <v>#N/A</v>
      </c>
    </row>
    <row r="573" ht="15.75" customHeight="1">
      <c r="B573" s="21"/>
      <c r="C573" s="21" t="str">
        <f>VLOOKUP(B573,Sheet3!$B$2:$E$311,2,FALSE)</f>
        <v>#N/A</v>
      </c>
      <c r="D573" s="21" t="str">
        <f>VLOOKUP(B573,Sheet3!$B$2:$E$311,3,)</f>
        <v>#N/A</v>
      </c>
      <c r="E573" s="21" t="str">
        <f>VLOOKUP(B573,Sheet3!$B$2:$E$311,4,)</f>
        <v>#N/A</v>
      </c>
    </row>
    <row r="574" ht="15.75" customHeight="1">
      <c r="B574" s="21"/>
      <c r="C574" s="21" t="str">
        <f>VLOOKUP(B574,Sheet3!$B$2:$E$311,2,FALSE)</f>
        <v>#N/A</v>
      </c>
      <c r="D574" s="21" t="str">
        <f>VLOOKUP(B574,Sheet3!$B$2:$E$311,3,)</f>
        <v>#N/A</v>
      </c>
      <c r="E574" s="21" t="str">
        <f>VLOOKUP(B574,Sheet3!$B$2:$E$311,4,)</f>
        <v>#N/A</v>
      </c>
    </row>
    <row r="575" ht="15.75" customHeight="1">
      <c r="B575" s="21"/>
      <c r="C575" s="21" t="str">
        <f>VLOOKUP(B575,Sheet3!$B$2:$E$311,2,FALSE)</f>
        <v>#N/A</v>
      </c>
      <c r="D575" s="21" t="str">
        <f>VLOOKUP(B575,Sheet3!$B$2:$E$311,3,)</f>
        <v>#N/A</v>
      </c>
      <c r="E575" s="21" t="str">
        <f>VLOOKUP(B575,Sheet3!$B$2:$E$311,4,)</f>
        <v>#N/A</v>
      </c>
    </row>
    <row r="576" ht="15.75" customHeight="1">
      <c r="B576" s="21"/>
      <c r="C576" s="21" t="str">
        <f>VLOOKUP(B576,Sheet3!$B$2:$E$311,2,FALSE)</f>
        <v>#N/A</v>
      </c>
      <c r="D576" s="21" t="str">
        <f>VLOOKUP(B576,Sheet3!$B$2:$E$311,3,)</f>
        <v>#N/A</v>
      </c>
      <c r="E576" s="21" t="str">
        <f>VLOOKUP(B576,Sheet3!$B$2:$E$311,4,)</f>
        <v>#N/A</v>
      </c>
    </row>
    <row r="577" ht="15.75" customHeight="1">
      <c r="B577" s="21"/>
      <c r="C577" s="21" t="str">
        <f>VLOOKUP(B577,Sheet3!$B$2:$E$311,2,FALSE)</f>
        <v>#N/A</v>
      </c>
      <c r="D577" s="21" t="str">
        <f>VLOOKUP(B577,Sheet3!$B$2:$E$311,3,)</f>
        <v>#N/A</v>
      </c>
      <c r="E577" s="21" t="str">
        <f>VLOOKUP(B577,Sheet3!$B$2:$E$311,4,)</f>
        <v>#N/A</v>
      </c>
    </row>
    <row r="578" ht="15.75" customHeight="1">
      <c r="B578" s="21"/>
      <c r="C578" s="21" t="str">
        <f>VLOOKUP(B578,Sheet3!$B$2:$E$311,2,FALSE)</f>
        <v>#N/A</v>
      </c>
      <c r="D578" s="21" t="str">
        <f>VLOOKUP(B578,Sheet3!$B$2:$E$311,3,)</f>
        <v>#N/A</v>
      </c>
      <c r="E578" s="21" t="str">
        <f>VLOOKUP(B578,Sheet3!$B$2:$E$311,4,)</f>
        <v>#N/A</v>
      </c>
    </row>
    <row r="579" ht="15.75" customHeight="1">
      <c r="B579" s="21"/>
      <c r="C579" s="21" t="str">
        <f>VLOOKUP(B579,Sheet3!$B$2:$E$311,2,FALSE)</f>
        <v>#N/A</v>
      </c>
      <c r="D579" s="21" t="str">
        <f>VLOOKUP(B579,Sheet3!$B$2:$E$311,3,)</f>
        <v>#N/A</v>
      </c>
      <c r="E579" s="21" t="str">
        <f>VLOOKUP(B579,Sheet3!$B$2:$E$311,4,)</f>
        <v>#N/A</v>
      </c>
    </row>
    <row r="580" ht="15.75" customHeight="1">
      <c r="B580" s="21"/>
      <c r="C580" s="21" t="str">
        <f>VLOOKUP(B580,Sheet3!$B$2:$E$311,2,FALSE)</f>
        <v>#N/A</v>
      </c>
      <c r="D580" s="21" t="str">
        <f>VLOOKUP(B580,Sheet3!$B$2:$E$311,3,)</f>
        <v>#N/A</v>
      </c>
      <c r="E580" s="21" t="str">
        <f>VLOOKUP(B580,Sheet3!$B$2:$E$311,4,)</f>
        <v>#N/A</v>
      </c>
    </row>
    <row r="581" ht="15.75" customHeight="1">
      <c r="B581" s="21"/>
      <c r="C581" s="21" t="str">
        <f>VLOOKUP(B581,Sheet3!$B$2:$E$311,2,FALSE)</f>
        <v>#N/A</v>
      </c>
      <c r="D581" s="21" t="str">
        <f>VLOOKUP(B581,Sheet3!$B$2:$E$311,3,)</f>
        <v>#N/A</v>
      </c>
      <c r="E581" s="21" t="str">
        <f>VLOOKUP(B581,Sheet3!$B$2:$E$311,4,)</f>
        <v>#N/A</v>
      </c>
    </row>
    <row r="582" ht="15.75" customHeight="1">
      <c r="B582" s="21"/>
      <c r="C582" s="21" t="str">
        <f>VLOOKUP(B582,Sheet3!$B$2:$E$311,2,FALSE)</f>
        <v>#N/A</v>
      </c>
      <c r="D582" s="21" t="str">
        <f>VLOOKUP(B582,Sheet3!$B$2:$E$311,3,)</f>
        <v>#N/A</v>
      </c>
      <c r="E582" s="21" t="str">
        <f>VLOOKUP(B582,Sheet3!$B$2:$E$311,4,)</f>
        <v>#N/A</v>
      </c>
    </row>
    <row r="583" ht="15.75" customHeight="1">
      <c r="B583" s="21"/>
      <c r="C583" s="21" t="str">
        <f>VLOOKUP(B583,Sheet3!$B$2:$E$311,2,FALSE)</f>
        <v>#N/A</v>
      </c>
      <c r="D583" s="21" t="str">
        <f>VLOOKUP(B583,Sheet3!$B$2:$E$311,3,)</f>
        <v>#N/A</v>
      </c>
      <c r="E583" s="21" t="str">
        <f>VLOOKUP(B583,Sheet3!$B$2:$E$311,4,)</f>
        <v>#N/A</v>
      </c>
    </row>
    <row r="584" ht="15.75" customHeight="1">
      <c r="B584" s="21"/>
      <c r="C584" s="21" t="str">
        <f>VLOOKUP(B584,Sheet3!$B$2:$E$311,2,FALSE)</f>
        <v>#N/A</v>
      </c>
      <c r="D584" s="21" t="str">
        <f>VLOOKUP(B584,Sheet3!$B$2:$E$311,3,)</f>
        <v>#N/A</v>
      </c>
      <c r="E584" s="21" t="str">
        <f>VLOOKUP(B584,Sheet3!$B$2:$E$311,4,)</f>
        <v>#N/A</v>
      </c>
    </row>
    <row r="585" ht="15.75" customHeight="1">
      <c r="B585" s="21"/>
      <c r="C585" s="21" t="str">
        <f>VLOOKUP(B585,Sheet3!$B$2:$E$311,2,FALSE)</f>
        <v>#N/A</v>
      </c>
      <c r="D585" s="21" t="str">
        <f>VLOOKUP(B585,Sheet3!$B$2:$E$311,3,)</f>
        <v>#N/A</v>
      </c>
      <c r="E585" s="21" t="str">
        <f>VLOOKUP(B585,Sheet3!$B$2:$E$311,4,)</f>
        <v>#N/A</v>
      </c>
    </row>
    <row r="586" ht="15.75" customHeight="1">
      <c r="B586" s="21"/>
      <c r="C586" s="21" t="str">
        <f>VLOOKUP(B586,Sheet3!$B$2:$E$311,2,FALSE)</f>
        <v>#N/A</v>
      </c>
      <c r="D586" s="21" t="str">
        <f>VLOOKUP(B586,Sheet3!$B$2:$E$311,3,)</f>
        <v>#N/A</v>
      </c>
      <c r="E586" s="21" t="str">
        <f>VLOOKUP(B586,Sheet3!$B$2:$E$311,4,)</f>
        <v>#N/A</v>
      </c>
    </row>
    <row r="587" ht="15.75" customHeight="1">
      <c r="B587" s="21"/>
      <c r="C587" s="21" t="str">
        <f>VLOOKUP(B587,Sheet3!$B$2:$E$311,2,FALSE)</f>
        <v>#N/A</v>
      </c>
      <c r="D587" s="21" t="str">
        <f>VLOOKUP(B587,Sheet3!$B$2:$E$311,3,)</f>
        <v>#N/A</v>
      </c>
      <c r="E587" s="21" t="str">
        <f>VLOOKUP(B587,Sheet3!$B$2:$E$311,4,)</f>
        <v>#N/A</v>
      </c>
    </row>
    <row r="588" ht="15.75" customHeight="1">
      <c r="B588" s="21"/>
      <c r="C588" s="21" t="str">
        <f>VLOOKUP(B588,Sheet3!$B$2:$E$311,2,FALSE)</f>
        <v>#N/A</v>
      </c>
      <c r="D588" s="21" t="str">
        <f>VLOOKUP(B588,Sheet3!$B$2:$E$311,3,)</f>
        <v>#N/A</v>
      </c>
      <c r="E588" s="21" t="str">
        <f>VLOOKUP(B588,Sheet3!$B$2:$E$311,4,)</f>
        <v>#N/A</v>
      </c>
    </row>
    <row r="589" ht="15.75" customHeight="1">
      <c r="B589" s="21"/>
      <c r="C589" s="21" t="str">
        <f>VLOOKUP(B589,Sheet3!$B$2:$E$311,2,FALSE)</f>
        <v>#N/A</v>
      </c>
      <c r="D589" s="21" t="str">
        <f>VLOOKUP(B589,Sheet3!$B$2:$E$311,3,)</f>
        <v>#N/A</v>
      </c>
      <c r="E589" s="21" t="str">
        <f>VLOOKUP(B589,Sheet3!$B$2:$E$311,4,)</f>
        <v>#N/A</v>
      </c>
    </row>
    <row r="590" ht="15.75" customHeight="1">
      <c r="B590" s="21"/>
      <c r="C590" s="21" t="str">
        <f>VLOOKUP(B590,Sheet3!$B$2:$E$311,2,FALSE)</f>
        <v>#N/A</v>
      </c>
      <c r="D590" s="21" t="str">
        <f>VLOOKUP(B590,Sheet3!$B$2:$E$311,3,)</f>
        <v>#N/A</v>
      </c>
      <c r="E590" s="21" t="str">
        <f>VLOOKUP(B590,Sheet3!$B$2:$E$311,4,)</f>
        <v>#N/A</v>
      </c>
    </row>
    <row r="591" ht="15.75" customHeight="1">
      <c r="B591" s="21"/>
      <c r="C591" s="21" t="str">
        <f>VLOOKUP(B591,Sheet3!$B$2:$E$311,2,FALSE)</f>
        <v>#N/A</v>
      </c>
      <c r="D591" s="21" t="str">
        <f>VLOOKUP(B591,Sheet3!$B$2:$E$311,3,)</f>
        <v>#N/A</v>
      </c>
      <c r="E591" s="21" t="str">
        <f>VLOOKUP(B591,Sheet3!$B$2:$E$311,4,)</f>
        <v>#N/A</v>
      </c>
    </row>
    <row r="592" ht="15.75" customHeight="1">
      <c r="B592" s="21"/>
      <c r="C592" s="21" t="str">
        <f>VLOOKUP(B592,Sheet3!$B$2:$E$311,2,FALSE)</f>
        <v>#N/A</v>
      </c>
      <c r="D592" s="21" t="str">
        <f>VLOOKUP(B592,Sheet3!$B$2:$E$311,3,)</f>
        <v>#N/A</v>
      </c>
      <c r="E592" s="21" t="str">
        <f>VLOOKUP(B592,Sheet3!$B$2:$E$311,4,)</f>
        <v>#N/A</v>
      </c>
    </row>
    <row r="593" ht="15.75" customHeight="1">
      <c r="B593" s="21"/>
      <c r="C593" s="21" t="str">
        <f>VLOOKUP(B593,Sheet3!$B$2:$E$311,2,FALSE)</f>
        <v>#N/A</v>
      </c>
      <c r="D593" s="21" t="str">
        <f>VLOOKUP(B593,Sheet3!$B$2:$E$311,3,)</f>
        <v>#N/A</v>
      </c>
      <c r="E593" s="21" t="str">
        <f>VLOOKUP(B593,Sheet3!$B$2:$E$311,4,)</f>
        <v>#N/A</v>
      </c>
    </row>
    <row r="594" ht="15.75" customHeight="1">
      <c r="B594" s="21"/>
      <c r="C594" s="21" t="str">
        <f>VLOOKUP(B594,Sheet3!$B$2:$E$311,2,FALSE)</f>
        <v>#N/A</v>
      </c>
      <c r="D594" s="21" t="str">
        <f>VLOOKUP(B594,Sheet3!$B$2:$E$311,3,)</f>
        <v>#N/A</v>
      </c>
      <c r="E594" s="21" t="str">
        <f>VLOOKUP(B594,Sheet3!$B$2:$E$311,4,)</f>
        <v>#N/A</v>
      </c>
    </row>
    <row r="595" ht="15.75" customHeight="1">
      <c r="B595" s="21"/>
      <c r="C595" s="21" t="str">
        <f>VLOOKUP(B595,Sheet3!$B$2:$E$311,2,FALSE)</f>
        <v>#N/A</v>
      </c>
      <c r="D595" s="21" t="str">
        <f>VLOOKUP(B595,Sheet3!$B$2:$E$311,3,)</f>
        <v>#N/A</v>
      </c>
      <c r="E595" s="21" t="str">
        <f>VLOOKUP(B595,Sheet3!$B$2:$E$311,4,)</f>
        <v>#N/A</v>
      </c>
    </row>
    <row r="596" ht="15.75" customHeight="1">
      <c r="B596" s="21"/>
      <c r="C596" s="21" t="str">
        <f>VLOOKUP(B596,Sheet3!$B$2:$E$311,2,FALSE)</f>
        <v>#N/A</v>
      </c>
      <c r="D596" s="21" t="str">
        <f>VLOOKUP(B596,Sheet3!$B$2:$E$311,3,)</f>
        <v>#N/A</v>
      </c>
      <c r="E596" s="21" t="str">
        <f>VLOOKUP(B596,Sheet3!$B$2:$E$311,4,)</f>
        <v>#N/A</v>
      </c>
    </row>
    <row r="597" ht="15.75" customHeight="1">
      <c r="B597" s="21"/>
      <c r="C597" s="21" t="str">
        <f>VLOOKUP(B597,Sheet3!$B$2:$E$311,2,FALSE)</f>
        <v>#N/A</v>
      </c>
      <c r="D597" s="21" t="str">
        <f>VLOOKUP(B597,Sheet3!$B$2:$E$311,3,)</f>
        <v>#N/A</v>
      </c>
      <c r="E597" s="21" t="str">
        <f>VLOOKUP(B597,Sheet3!$B$2:$E$311,4,)</f>
        <v>#N/A</v>
      </c>
    </row>
    <row r="598" ht="15.75" customHeight="1">
      <c r="B598" s="21"/>
      <c r="C598" s="21" t="str">
        <f>VLOOKUP(B598,Sheet3!$B$2:$E$311,2,FALSE)</f>
        <v>#N/A</v>
      </c>
      <c r="D598" s="21" t="str">
        <f>VLOOKUP(B598,Sheet3!$B$2:$E$311,3,)</f>
        <v>#N/A</v>
      </c>
      <c r="E598" s="21" t="str">
        <f>VLOOKUP(B598,Sheet3!$B$2:$E$311,4,)</f>
        <v>#N/A</v>
      </c>
    </row>
    <row r="599" ht="15.75" customHeight="1">
      <c r="B599" s="21"/>
      <c r="C599" s="21" t="str">
        <f>VLOOKUP(B599,Sheet3!$B$2:$E$311,2,FALSE)</f>
        <v>#N/A</v>
      </c>
      <c r="D599" s="21" t="str">
        <f>VLOOKUP(B599,Sheet3!$B$2:$E$311,3,)</f>
        <v>#N/A</v>
      </c>
      <c r="E599" s="21" t="str">
        <f>VLOOKUP(B599,Sheet3!$B$2:$E$311,4,)</f>
        <v>#N/A</v>
      </c>
    </row>
    <row r="600" ht="15.75" customHeight="1">
      <c r="B600" s="21"/>
      <c r="C600" s="21" t="str">
        <f>VLOOKUP(B600,Sheet3!$B$2:$E$311,2,FALSE)</f>
        <v>#N/A</v>
      </c>
      <c r="D600" s="21" t="str">
        <f>VLOOKUP(B600,Sheet3!$B$2:$E$311,3,)</f>
        <v>#N/A</v>
      </c>
      <c r="E600" s="21" t="str">
        <f>VLOOKUP(B600,Sheet3!$B$2:$E$311,4,)</f>
        <v>#N/A</v>
      </c>
    </row>
    <row r="601" ht="15.75" customHeight="1">
      <c r="B601" s="21"/>
      <c r="C601" s="21" t="str">
        <f>VLOOKUP(B601,Sheet3!$B$2:$E$311,2,FALSE)</f>
        <v>#N/A</v>
      </c>
      <c r="D601" s="21" t="str">
        <f>VLOOKUP(B601,Sheet3!$B$2:$E$311,3,)</f>
        <v>#N/A</v>
      </c>
      <c r="E601" s="21" t="str">
        <f>VLOOKUP(B601,Sheet3!$B$2:$E$311,4,)</f>
        <v>#N/A</v>
      </c>
    </row>
    <row r="602" ht="15.75" customHeight="1">
      <c r="B602" s="21"/>
      <c r="C602" s="21" t="str">
        <f>VLOOKUP(B602,Sheet3!$B$2:$E$311,2,FALSE)</f>
        <v>#N/A</v>
      </c>
      <c r="D602" s="21" t="str">
        <f>VLOOKUP(B602,Sheet3!$B$2:$E$311,3,)</f>
        <v>#N/A</v>
      </c>
      <c r="E602" s="21" t="str">
        <f>VLOOKUP(B602,Sheet3!$B$2:$E$311,4,)</f>
        <v>#N/A</v>
      </c>
    </row>
    <row r="603" ht="15.75" customHeight="1">
      <c r="B603" s="21"/>
      <c r="C603" s="21" t="str">
        <f>VLOOKUP(B603,Sheet3!$B$2:$E$311,2,FALSE)</f>
        <v>#N/A</v>
      </c>
      <c r="D603" s="21" t="str">
        <f>VLOOKUP(B603,Sheet3!$B$2:$E$311,3,)</f>
        <v>#N/A</v>
      </c>
      <c r="E603" s="21" t="str">
        <f>VLOOKUP(B603,Sheet3!$B$2:$E$311,4,)</f>
        <v>#N/A</v>
      </c>
    </row>
    <row r="604" ht="15.75" customHeight="1">
      <c r="B604" s="21"/>
      <c r="C604" s="21" t="str">
        <f>VLOOKUP(B604,Sheet3!$B$2:$E$311,2,FALSE)</f>
        <v>#N/A</v>
      </c>
      <c r="D604" s="21" t="str">
        <f>VLOOKUP(B604,Sheet3!$B$2:$E$311,3,)</f>
        <v>#N/A</v>
      </c>
      <c r="E604" s="21" t="str">
        <f>VLOOKUP(B604,Sheet3!$B$2:$E$311,4,)</f>
        <v>#N/A</v>
      </c>
    </row>
    <row r="605" ht="15.75" customHeight="1">
      <c r="B605" s="21"/>
      <c r="C605" s="21" t="str">
        <f>VLOOKUP(B605,Sheet3!$B$2:$E$311,2,FALSE)</f>
        <v>#N/A</v>
      </c>
      <c r="D605" s="21" t="str">
        <f>VLOOKUP(B605,Sheet3!$B$2:$E$311,3,)</f>
        <v>#N/A</v>
      </c>
      <c r="E605" s="21" t="str">
        <f>VLOOKUP(B605,Sheet3!$B$2:$E$311,4,)</f>
        <v>#N/A</v>
      </c>
    </row>
    <row r="606" ht="15.75" customHeight="1">
      <c r="B606" s="21"/>
      <c r="C606" s="21" t="str">
        <f>VLOOKUP(B606,Sheet3!$B$2:$E$311,2,FALSE)</f>
        <v>#N/A</v>
      </c>
      <c r="D606" s="21" t="str">
        <f>VLOOKUP(B606,Sheet3!$B$2:$E$311,3,)</f>
        <v>#N/A</v>
      </c>
      <c r="E606" s="21" t="str">
        <f>VLOOKUP(B606,Sheet3!$B$2:$E$311,4,)</f>
        <v>#N/A</v>
      </c>
    </row>
    <row r="607" ht="15.75" customHeight="1">
      <c r="B607" s="21"/>
      <c r="C607" s="21" t="str">
        <f>VLOOKUP(B607,Sheet3!$B$2:$E$311,2,FALSE)</f>
        <v>#N/A</v>
      </c>
      <c r="D607" s="21" t="str">
        <f>VLOOKUP(B607,Sheet3!$B$2:$E$311,3,)</f>
        <v>#N/A</v>
      </c>
      <c r="E607" s="21" t="str">
        <f>VLOOKUP(B607,Sheet3!$B$2:$E$311,4,)</f>
        <v>#N/A</v>
      </c>
    </row>
    <row r="608" ht="15.75" customHeight="1">
      <c r="B608" s="21"/>
      <c r="C608" s="21" t="str">
        <f>VLOOKUP(B608,Sheet3!$B$2:$E$311,2,FALSE)</f>
        <v>#N/A</v>
      </c>
      <c r="D608" s="21" t="str">
        <f>VLOOKUP(B608,Sheet3!$B$2:$E$311,3,)</f>
        <v>#N/A</v>
      </c>
      <c r="E608" s="21" t="str">
        <f>VLOOKUP(B608,Sheet3!$B$2:$E$311,4,)</f>
        <v>#N/A</v>
      </c>
    </row>
    <row r="609" ht="15.75" customHeight="1">
      <c r="B609" s="21"/>
      <c r="C609" s="21" t="str">
        <f>VLOOKUP(B609,Sheet3!$B$2:$E$311,2,FALSE)</f>
        <v>#N/A</v>
      </c>
      <c r="D609" s="21" t="str">
        <f>VLOOKUP(B609,Sheet3!$B$2:$E$311,3,)</f>
        <v>#N/A</v>
      </c>
      <c r="E609" s="21" t="str">
        <f>VLOOKUP(B609,Sheet3!$B$2:$E$311,4,)</f>
        <v>#N/A</v>
      </c>
    </row>
    <row r="610" ht="15.75" customHeight="1">
      <c r="B610" s="21"/>
      <c r="C610" s="21" t="str">
        <f>VLOOKUP(B610,Sheet3!$B$2:$E$311,2,FALSE)</f>
        <v>#N/A</v>
      </c>
      <c r="D610" s="21" t="str">
        <f>VLOOKUP(B610,Sheet3!$B$2:$E$311,3,)</f>
        <v>#N/A</v>
      </c>
      <c r="E610" s="21" t="str">
        <f>VLOOKUP(B610,Sheet3!$B$2:$E$311,4,)</f>
        <v>#N/A</v>
      </c>
    </row>
    <row r="611" ht="15.75" customHeight="1">
      <c r="B611" s="21"/>
      <c r="C611" s="21" t="str">
        <f>VLOOKUP(B611,Sheet3!$B$2:$E$311,2,FALSE)</f>
        <v>#N/A</v>
      </c>
      <c r="D611" s="21" t="str">
        <f>VLOOKUP(B611,Sheet3!$B$2:$E$311,3,)</f>
        <v>#N/A</v>
      </c>
      <c r="E611" s="21" t="str">
        <f>VLOOKUP(B611,Sheet3!$B$2:$E$311,4,)</f>
        <v>#N/A</v>
      </c>
    </row>
    <row r="612" ht="15.75" customHeight="1">
      <c r="B612" s="21"/>
      <c r="C612" s="21" t="str">
        <f>VLOOKUP(B612,Sheet3!$B$2:$E$311,2,FALSE)</f>
        <v>#N/A</v>
      </c>
      <c r="D612" s="21" t="str">
        <f>VLOOKUP(B612,Sheet3!$B$2:$E$311,3,)</f>
        <v>#N/A</v>
      </c>
      <c r="E612" s="21" t="str">
        <f>VLOOKUP(B612,Sheet3!$B$2:$E$311,4,)</f>
        <v>#N/A</v>
      </c>
    </row>
    <row r="613" ht="15.75" customHeight="1">
      <c r="B613" s="21"/>
      <c r="C613" s="21" t="str">
        <f>VLOOKUP(B613,Sheet3!$B$2:$E$311,2,FALSE)</f>
        <v>#N/A</v>
      </c>
      <c r="D613" s="21" t="str">
        <f>VLOOKUP(B613,Sheet3!$B$2:$E$311,3,)</f>
        <v>#N/A</v>
      </c>
      <c r="E613" s="21" t="str">
        <f>VLOOKUP(B613,Sheet3!$B$2:$E$311,4,)</f>
        <v>#N/A</v>
      </c>
    </row>
    <row r="614" ht="15.75" customHeight="1">
      <c r="B614" s="21"/>
      <c r="C614" s="21" t="str">
        <f>VLOOKUP(B614,Sheet3!$B$2:$E$311,2,FALSE)</f>
        <v>#N/A</v>
      </c>
      <c r="D614" s="21" t="str">
        <f>VLOOKUP(B614,Sheet3!$B$2:$E$311,3,)</f>
        <v>#N/A</v>
      </c>
      <c r="E614" s="21" t="str">
        <f>VLOOKUP(B614,Sheet3!$B$2:$E$311,4,)</f>
        <v>#N/A</v>
      </c>
    </row>
    <row r="615" ht="15.75" customHeight="1">
      <c r="B615" s="21"/>
      <c r="C615" s="21" t="str">
        <f>VLOOKUP(B615,Sheet3!$B$2:$E$311,2,FALSE)</f>
        <v>#N/A</v>
      </c>
      <c r="D615" s="21" t="str">
        <f>VLOOKUP(B615,Sheet3!$B$2:$E$311,3,)</f>
        <v>#N/A</v>
      </c>
      <c r="E615" s="21" t="str">
        <f>VLOOKUP(B615,Sheet3!$B$2:$E$311,4,)</f>
        <v>#N/A</v>
      </c>
    </row>
    <row r="616" ht="15.75" customHeight="1">
      <c r="B616" s="21"/>
      <c r="C616" s="21" t="str">
        <f>VLOOKUP(B616,Sheet3!$B$2:$E$311,2,FALSE)</f>
        <v>#N/A</v>
      </c>
      <c r="D616" s="21" t="str">
        <f>VLOOKUP(B616,Sheet3!$B$2:$E$311,3,)</f>
        <v>#N/A</v>
      </c>
      <c r="E616" s="21" t="str">
        <f>VLOOKUP(B616,Sheet3!$B$2:$E$311,4,)</f>
        <v>#N/A</v>
      </c>
    </row>
    <row r="617" ht="15.75" customHeight="1">
      <c r="B617" s="21"/>
      <c r="C617" s="21" t="str">
        <f>VLOOKUP(B617,Sheet3!$B$2:$E$311,2,FALSE)</f>
        <v>#N/A</v>
      </c>
      <c r="D617" s="21" t="str">
        <f>VLOOKUP(B617,Sheet3!$B$2:$E$311,3,)</f>
        <v>#N/A</v>
      </c>
      <c r="E617" s="21" t="str">
        <f>VLOOKUP(B617,Sheet3!$B$2:$E$311,4,)</f>
        <v>#N/A</v>
      </c>
    </row>
    <row r="618" ht="15.75" customHeight="1">
      <c r="B618" s="21"/>
      <c r="C618" s="21" t="str">
        <f>VLOOKUP(B618,Sheet3!$B$2:$E$311,2,FALSE)</f>
        <v>#N/A</v>
      </c>
      <c r="D618" s="21" t="str">
        <f>VLOOKUP(B618,Sheet3!$B$2:$E$311,3,)</f>
        <v>#N/A</v>
      </c>
      <c r="E618" s="21" t="str">
        <f>VLOOKUP(B618,Sheet3!$B$2:$E$311,4,)</f>
        <v>#N/A</v>
      </c>
    </row>
    <row r="619" ht="15.75" customHeight="1">
      <c r="B619" s="21"/>
      <c r="C619" s="21" t="str">
        <f>VLOOKUP(B619,Sheet3!$B$2:$E$311,2,FALSE)</f>
        <v>#N/A</v>
      </c>
      <c r="D619" s="21" t="str">
        <f>VLOOKUP(B619,Sheet3!$B$2:$E$311,3,)</f>
        <v>#N/A</v>
      </c>
      <c r="E619" s="21" t="str">
        <f>VLOOKUP(B619,Sheet3!$B$2:$E$311,4,)</f>
        <v>#N/A</v>
      </c>
    </row>
    <row r="620" ht="15.75" customHeight="1">
      <c r="B620" s="21"/>
      <c r="C620" s="21" t="str">
        <f>VLOOKUP(B620,Sheet3!$B$2:$E$311,2,FALSE)</f>
        <v>#N/A</v>
      </c>
      <c r="D620" s="21" t="str">
        <f>VLOOKUP(B620,Sheet3!$B$2:$E$311,3,)</f>
        <v>#N/A</v>
      </c>
      <c r="E620" s="21" t="str">
        <f>VLOOKUP(B620,Sheet3!$B$2:$E$311,4,)</f>
        <v>#N/A</v>
      </c>
    </row>
    <row r="621" ht="15.75" customHeight="1">
      <c r="B621" s="21"/>
      <c r="C621" s="21" t="str">
        <f>VLOOKUP(B621,Sheet3!$B$2:$E$311,2,FALSE)</f>
        <v>#N/A</v>
      </c>
      <c r="D621" s="21" t="str">
        <f>VLOOKUP(B621,Sheet3!$B$2:$E$311,3,)</f>
        <v>#N/A</v>
      </c>
      <c r="E621" s="21" t="str">
        <f>VLOOKUP(B621,Sheet3!$B$2:$E$311,4,)</f>
        <v>#N/A</v>
      </c>
    </row>
    <row r="622" ht="15.75" customHeight="1">
      <c r="B622" s="21"/>
      <c r="C622" s="21" t="str">
        <f>VLOOKUP(B622,Sheet3!$B$2:$E$311,2,FALSE)</f>
        <v>#N/A</v>
      </c>
      <c r="D622" s="21" t="str">
        <f>VLOOKUP(B622,Sheet3!$B$2:$E$311,3,)</f>
        <v>#N/A</v>
      </c>
      <c r="E622" s="21" t="str">
        <f>VLOOKUP(B622,Sheet3!$B$2:$E$311,4,)</f>
        <v>#N/A</v>
      </c>
    </row>
    <row r="623" ht="15.75" customHeight="1">
      <c r="B623" s="21"/>
      <c r="C623" s="21" t="str">
        <f>VLOOKUP(B623,Sheet3!$B$2:$E$311,2,FALSE)</f>
        <v>#N/A</v>
      </c>
      <c r="D623" s="21" t="str">
        <f>VLOOKUP(B623,Sheet3!$B$2:$E$311,3,)</f>
        <v>#N/A</v>
      </c>
      <c r="E623" s="21" t="str">
        <f>VLOOKUP(B623,Sheet3!$B$2:$E$311,4,)</f>
        <v>#N/A</v>
      </c>
    </row>
    <row r="624" ht="15.75" customHeight="1">
      <c r="B624" s="21"/>
      <c r="C624" s="21" t="str">
        <f>VLOOKUP(B624,Sheet3!$B$2:$E$311,2,FALSE)</f>
        <v>#N/A</v>
      </c>
      <c r="D624" s="21" t="str">
        <f>VLOOKUP(B624,Sheet3!$B$2:$E$311,3,)</f>
        <v>#N/A</v>
      </c>
      <c r="E624" s="21" t="str">
        <f>VLOOKUP(B624,Sheet3!$B$2:$E$311,4,)</f>
        <v>#N/A</v>
      </c>
    </row>
    <row r="625" ht="15.75" customHeight="1">
      <c r="B625" s="21"/>
      <c r="C625" s="21" t="str">
        <f>VLOOKUP(B625,Sheet3!$B$2:$E$311,2,FALSE)</f>
        <v>#N/A</v>
      </c>
      <c r="D625" s="21" t="str">
        <f>VLOOKUP(B625,Sheet3!$B$2:$E$311,3,)</f>
        <v>#N/A</v>
      </c>
      <c r="E625" s="21" t="str">
        <f>VLOOKUP(B625,Sheet3!$B$2:$E$311,4,)</f>
        <v>#N/A</v>
      </c>
    </row>
    <row r="626" ht="15.75" customHeight="1">
      <c r="B626" s="21"/>
      <c r="C626" s="21" t="str">
        <f>VLOOKUP(B626,Sheet3!$B$2:$E$311,2,FALSE)</f>
        <v>#N/A</v>
      </c>
      <c r="D626" s="21" t="str">
        <f>VLOOKUP(B626,Sheet3!$B$2:$E$311,3,)</f>
        <v>#N/A</v>
      </c>
      <c r="E626" s="21" t="str">
        <f>VLOOKUP(B626,Sheet3!$B$2:$E$311,4,)</f>
        <v>#N/A</v>
      </c>
    </row>
    <row r="627" ht="15.75" customHeight="1">
      <c r="B627" s="21"/>
      <c r="C627" s="21" t="str">
        <f>VLOOKUP(B627,Sheet3!$B$2:$E$311,2,FALSE)</f>
        <v>#N/A</v>
      </c>
      <c r="D627" s="21" t="str">
        <f>VLOOKUP(B627,Sheet3!$B$2:$E$311,3,)</f>
        <v>#N/A</v>
      </c>
      <c r="E627" s="21" t="str">
        <f>VLOOKUP(B627,Sheet3!$B$2:$E$311,4,)</f>
        <v>#N/A</v>
      </c>
    </row>
    <row r="628" ht="15.75" customHeight="1">
      <c r="B628" s="21"/>
      <c r="C628" s="21" t="str">
        <f>VLOOKUP(B628,Sheet3!$B$2:$E$311,2,FALSE)</f>
        <v>#N/A</v>
      </c>
      <c r="D628" s="21" t="str">
        <f>VLOOKUP(B628,Sheet3!$B$2:$E$311,3,)</f>
        <v>#N/A</v>
      </c>
      <c r="E628" s="21" t="str">
        <f>VLOOKUP(B628,Sheet3!$B$2:$E$311,4,)</f>
        <v>#N/A</v>
      </c>
    </row>
    <row r="629" ht="15.75" customHeight="1">
      <c r="B629" s="21"/>
      <c r="C629" s="21" t="str">
        <f>VLOOKUP(B629,Sheet3!$B$2:$E$311,2,FALSE)</f>
        <v>#N/A</v>
      </c>
      <c r="D629" s="21" t="str">
        <f>VLOOKUP(B629,Sheet3!$B$2:$E$311,3,)</f>
        <v>#N/A</v>
      </c>
      <c r="E629" s="21" t="str">
        <f>VLOOKUP(B629,Sheet3!$B$2:$E$311,4,)</f>
        <v>#N/A</v>
      </c>
    </row>
    <row r="630" ht="15.75" customHeight="1">
      <c r="B630" s="21"/>
      <c r="C630" s="21" t="str">
        <f>VLOOKUP(B630,Sheet3!$B$2:$E$311,2,FALSE)</f>
        <v>#N/A</v>
      </c>
      <c r="D630" s="21" t="str">
        <f>VLOOKUP(B630,Sheet3!$B$2:$E$311,3,)</f>
        <v>#N/A</v>
      </c>
      <c r="E630" s="21" t="str">
        <f>VLOOKUP(B630,Sheet3!$B$2:$E$311,4,)</f>
        <v>#N/A</v>
      </c>
    </row>
    <row r="631" ht="15.75" customHeight="1">
      <c r="B631" s="21"/>
      <c r="C631" s="21" t="str">
        <f>VLOOKUP(B631,Sheet3!$B$2:$E$311,2,FALSE)</f>
        <v>#N/A</v>
      </c>
      <c r="D631" s="21" t="str">
        <f>VLOOKUP(B631,Sheet3!$B$2:$E$311,3,)</f>
        <v>#N/A</v>
      </c>
      <c r="E631" s="21" t="str">
        <f>VLOOKUP(B631,Sheet3!$B$2:$E$311,4,)</f>
        <v>#N/A</v>
      </c>
    </row>
    <row r="632" ht="15.75" customHeight="1">
      <c r="B632" s="21"/>
      <c r="C632" s="21" t="str">
        <f>VLOOKUP(B632,Sheet3!$B$2:$E$311,2,FALSE)</f>
        <v>#N/A</v>
      </c>
      <c r="D632" s="21" t="str">
        <f>VLOOKUP(B632,Sheet3!$B$2:$E$311,3,)</f>
        <v>#N/A</v>
      </c>
      <c r="E632" s="21" t="str">
        <f>VLOOKUP(B632,Sheet3!$B$2:$E$311,4,)</f>
        <v>#N/A</v>
      </c>
    </row>
    <row r="633" ht="15.75" customHeight="1">
      <c r="B633" s="21"/>
      <c r="C633" s="21" t="str">
        <f>VLOOKUP(B633,Sheet3!$B$2:$E$311,2,FALSE)</f>
        <v>#N/A</v>
      </c>
      <c r="D633" s="21" t="str">
        <f>VLOOKUP(B633,Sheet3!$B$2:$E$311,3,)</f>
        <v>#N/A</v>
      </c>
      <c r="E633" s="21" t="str">
        <f>VLOOKUP(B633,Sheet3!$B$2:$E$311,4,)</f>
        <v>#N/A</v>
      </c>
    </row>
    <row r="634" ht="15.75" customHeight="1">
      <c r="B634" s="21"/>
      <c r="C634" s="21" t="str">
        <f>VLOOKUP(B634,Sheet3!$B$2:$E$311,2,FALSE)</f>
        <v>#N/A</v>
      </c>
      <c r="D634" s="21" t="str">
        <f>VLOOKUP(B634,Sheet3!$B$2:$E$311,3,)</f>
        <v>#N/A</v>
      </c>
      <c r="E634" s="21" t="str">
        <f>VLOOKUP(B634,Sheet3!$B$2:$E$311,4,)</f>
        <v>#N/A</v>
      </c>
    </row>
    <row r="635" ht="15.75" customHeight="1">
      <c r="B635" s="21"/>
      <c r="C635" s="21" t="str">
        <f>VLOOKUP(B635,Sheet3!$B$2:$E$311,2,FALSE)</f>
        <v>#N/A</v>
      </c>
      <c r="D635" s="21" t="str">
        <f>VLOOKUP(B635,Sheet3!$B$2:$E$311,3,)</f>
        <v>#N/A</v>
      </c>
      <c r="E635" s="21" t="str">
        <f>VLOOKUP(B635,Sheet3!$B$2:$E$311,4,)</f>
        <v>#N/A</v>
      </c>
    </row>
    <row r="636" ht="15.75" customHeight="1">
      <c r="B636" s="21"/>
      <c r="C636" s="21" t="str">
        <f>VLOOKUP(B636,Sheet3!$B$2:$E$311,2,FALSE)</f>
        <v>#N/A</v>
      </c>
      <c r="D636" s="21" t="str">
        <f>VLOOKUP(B636,Sheet3!$B$2:$E$311,3,)</f>
        <v>#N/A</v>
      </c>
      <c r="E636" s="21" t="str">
        <f>VLOOKUP(B636,Sheet3!$B$2:$E$311,4,)</f>
        <v>#N/A</v>
      </c>
    </row>
    <row r="637" ht="15.75" customHeight="1">
      <c r="B637" s="21"/>
      <c r="C637" s="21" t="str">
        <f>VLOOKUP(B637,Sheet3!$B$2:$E$311,2,FALSE)</f>
        <v>#N/A</v>
      </c>
      <c r="D637" s="21" t="str">
        <f>VLOOKUP(B637,Sheet3!$B$2:$E$311,3,)</f>
        <v>#N/A</v>
      </c>
      <c r="E637" s="21" t="str">
        <f>VLOOKUP(B637,Sheet3!$B$2:$E$311,4,)</f>
        <v>#N/A</v>
      </c>
    </row>
    <row r="638" ht="15.75" customHeight="1">
      <c r="B638" s="21"/>
      <c r="C638" s="21" t="str">
        <f>VLOOKUP(B638,Sheet3!$B$2:$E$311,2,FALSE)</f>
        <v>#N/A</v>
      </c>
      <c r="D638" s="21" t="str">
        <f>VLOOKUP(B638,Sheet3!$B$2:$E$311,3,)</f>
        <v>#N/A</v>
      </c>
      <c r="E638" s="21" t="str">
        <f>VLOOKUP(B638,Sheet3!$B$2:$E$311,4,)</f>
        <v>#N/A</v>
      </c>
    </row>
    <row r="639" ht="15.75" customHeight="1">
      <c r="B639" s="21"/>
      <c r="C639" s="21" t="str">
        <f>VLOOKUP(B639,Sheet3!$B$2:$E$311,2,FALSE)</f>
        <v>#N/A</v>
      </c>
      <c r="D639" s="21" t="str">
        <f>VLOOKUP(B639,Sheet3!$B$2:$E$311,3,)</f>
        <v>#N/A</v>
      </c>
      <c r="E639" s="21" t="str">
        <f>VLOOKUP(B639,Sheet3!$B$2:$E$311,4,)</f>
        <v>#N/A</v>
      </c>
    </row>
    <row r="640" ht="15.75" customHeight="1">
      <c r="B640" s="21"/>
      <c r="C640" s="21" t="str">
        <f>VLOOKUP(B640,Sheet3!$B$2:$E$311,2,FALSE)</f>
        <v>#N/A</v>
      </c>
      <c r="D640" s="21" t="str">
        <f>VLOOKUP(B640,Sheet3!$B$2:$E$311,3,)</f>
        <v>#N/A</v>
      </c>
      <c r="E640" s="21" t="str">
        <f>VLOOKUP(B640,Sheet3!$B$2:$E$311,4,)</f>
        <v>#N/A</v>
      </c>
    </row>
    <row r="641" ht="15.75" customHeight="1">
      <c r="B641" s="21"/>
      <c r="C641" s="21" t="str">
        <f>VLOOKUP(B641,Sheet3!$B$2:$E$311,2,FALSE)</f>
        <v>#N/A</v>
      </c>
      <c r="D641" s="21" t="str">
        <f>VLOOKUP(B641,Sheet3!$B$2:$E$311,3,)</f>
        <v>#N/A</v>
      </c>
      <c r="E641" s="21" t="str">
        <f>VLOOKUP(B641,Sheet3!$B$2:$E$311,4,)</f>
        <v>#N/A</v>
      </c>
    </row>
    <row r="642" ht="15.75" customHeight="1">
      <c r="B642" s="21"/>
      <c r="C642" s="21" t="str">
        <f>VLOOKUP(B642,Sheet3!$B$2:$E$311,2,FALSE)</f>
        <v>#N/A</v>
      </c>
      <c r="D642" s="21" t="str">
        <f>VLOOKUP(B642,Sheet3!$B$2:$E$311,3,)</f>
        <v>#N/A</v>
      </c>
      <c r="E642" s="21" t="str">
        <f>VLOOKUP(B642,Sheet3!$B$2:$E$311,4,)</f>
        <v>#N/A</v>
      </c>
    </row>
    <row r="643" ht="15.75" customHeight="1">
      <c r="B643" s="21"/>
      <c r="C643" s="21" t="str">
        <f>VLOOKUP(B643,Sheet3!$B$2:$E$311,2,FALSE)</f>
        <v>#N/A</v>
      </c>
      <c r="D643" s="21" t="str">
        <f>VLOOKUP(B643,Sheet3!$B$2:$E$311,3,)</f>
        <v>#N/A</v>
      </c>
      <c r="E643" s="21" t="str">
        <f>VLOOKUP(B643,Sheet3!$B$2:$E$311,4,)</f>
        <v>#N/A</v>
      </c>
    </row>
    <row r="644" ht="15.75" customHeight="1">
      <c r="B644" s="21"/>
      <c r="C644" s="21" t="str">
        <f>VLOOKUP(B644,Sheet3!$B$2:$E$311,2,FALSE)</f>
        <v>#N/A</v>
      </c>
      <c r="D644" s="21" t="str">
        <f>VLOOKUP(B644,Sheet3!$B$2:$E$311,3,)</f>
        <v>#N/A</v>
      </c>
      <c r="E644" s="21" t="str">
        <f>VLOOKUP(B644,Sheet3!$B$2:$E$311,4,)</f>
        <v>#N/A</v>
      </c>
    </row>
    <row r="645" ht="15.75" customHeight="1">
      <c r="B645" s="21"/>
      <c r="C645" s="21" t="str">
        <f>VLOOKUP(B645,Sheet3!$B$2:$E$311,2,FALSE)</f>
        <v>#N/A</v>
      </c>
      <c r="D645" s="21" t="str">
        <f>VLOOKUP(B645,Sheet3!$B$2:$E$311,3,)</f>
        <v>#N/A</v>
      </c>
      <c r="E645" s="21" t="str">
        <f>VLOOKUP(B645,Sheet3!$B$2:$E$311,4,)</f>
        <v>#N/A</v>
      </c>
    </row>
    <row r="646" ht="15.75" customHeight="1">
      <c r="B646" s="21"/>
      <c r="C646" s="21" t="str">
        <f>VLOOKUP(B646,Sheet3!$B$2:$E$311,2,FALSE)</f>
        <v>#N/A</v>
      </c>
      <c r="D646" s="21" t="str">
        <f>VLOOKUP(B646,Sheet3!$B$2:$E$311,3,)</f>
        <v>#N/A</v>
      </c>
      <c r="E646" s="21" t="str">
        <f>VLOOKUP(B646,Sheet3!$B$2:$E$311,4,)</f>
        <v>#N/A</v>
      </c>
    </row>
    <row r="647" ht="15.75" customHeight="1">
      <c r="B647" s="21"/>
      <c r="C647" s="21" t="str">
        <f>VLOOKUP(B647,Sheet3!$B$2:$E$311,2,FALSE)</f>
        <v>#N/A</v>
      </c>
      <c r="D647" s="21" t="str">
        <f>VLOOKUP(B647,Sheet3!$B$2:$E$311,3,)</f>
        <v>#N/A</v>
      </c>
      <c r="E647" s="21" t="str">
        <f>VLOOKUP(B647,Sheet3!$B$2:$E$311,4,)</f>
        <v>#N/A</v>
      </c>
    </row>
    <row r="648" ht="15.75" customHeight="1">
      <c r="B648" s="21"/>
      <c r="C648" s="21" t="str">
        <f>VLOOKUP(B648,Sheet3!$B$2:$E$311,2,FALSE)</f>
        <v>#N/A</v>
      </c>
      <c r="D648" s="21" t="str">
        <f>VLOOKUP(B648,Sheet3!$B$2:$E$311,3,)</f>
        <v>#N/A</v>
      </c>
      <c r="E648" s="21" t="str">
        <f>VLOOKUP(B648,Sheet3!$B$2:$E$311,4,)</f>
        <v>#N/A</v>
      </c>
    </row>
    <row r="649" ht="15.75" customHeight="1">
      <c r="B649" s="21"/>
      <c r="C649" s="21" t="str">
        <f>VLOOKUP(B649,Sheet3!$B$2:$E$311,2,FALSE)</f>
        <v>#N/A</v>
      </c>
      <c r="D649" s="21" t="str">
        <f>VLOOKUP(B649,Sheet3!$B$2:$E$311,3,)</f>
        <v>#N/A</v>
      </c>
      <c r="E649" s="21" t="str">
        <f>VLOOKUP(B649,Sheet3!$B$2:$E$311,4,)</f>
        <v>#N/A</v>
      </c>
    </row>
    <row r="650" ht="15.75" customHeight="1">
      <c r="B650" s="21"/>
      <c r="C650" s="21" t="str">
        <f>VLOOKUP(B650,Sheet3!$B$2:$E$311,2,FALSE)</f>
        <v>#N/A</v>
      </c>
      <c r="D650" s="21" t="str">
        <f>VLOOKUP(B650,Sheet3!$B$2:$E$311,3,)</f>
        <v>#N/A</v>
      </c>
      <c r="E650" s="21" t="str">
        <f>VLOOKUP(B650,Sheet3!$B$2:$E$311,4,)</f>
        <v>#N/A</v>
      </c>
    </row>
    <row r="651" ht="15.75" customHeight="1">
      <c r="B651" s="21"/>
      <c r="C651" s="21" t="str">
        <f>VLOOKUP(B651,Sheet3!$B$2:$E$311,2,FALSE)</f>
        <v>#N/A</v>
      </c>
      <c r="D651" s="21" t="str">
        <f>VLOOKUP(B651,Sheet3!$B$2:$E$311,3,)</f>
        <v>#N/A</v>
      </c>
      <c r="E651" s="21" t="str">
        <f>VLOOKUP(B651,Sheet3!$B$2:$E$311,4,)</f>
        <v>#N/A</v>
      </c>
    </row>
    <row r="652" ht="15.75" customHeight="1">
      <c r="B652" s="21"/>
      <c r="C652" s="21" t="str">
        <f>VLOOKUP(B652,Sheet3!$B$2:$E$311,2,FALSE)</f>
        <v>#N/A</v>
      </c>
      <c r="D652" s="21" t="str">
        <f>VLOOKUP(B652,Sheet3!$B$2:$E$311,3,)</f>
        <v>#N/A</v>
      </c>
      <c r="E652" s="21" t="str">
        <f>VLOOKUP(B652,Sheet3!$B$2:$E$311,4,)</f>
        <v>#N/A</v>
      </c>
    </row>
    <row r="653" ht="15.75" customHeight="1">
      <c r="B653" s="21"/>
      <c r="C653" s="21" t="str">
        <f>VLOOKUP(B653,Sheet3!$B$2:$E$311,2,FALSE)</f>
        <v>#N/A</v>
      </c>
      <c r="D653" s="21" t="str">
        <f>VLOOKUP(B653,Sheet3!$B$2:$E$311,3,)</f>
        <v>#N/A</v>
      </c>
      <c r="E653" s="21" t="str">
        <f>VLOOKUP(B653,Sheet3!$B$2:$E$311,4,)</f>
        <v>#N/A</v>
      </c>
    </row>
    <row r="654" ht="15.75" customHeight="1">
      <c r="B654" s="21"/>
      <c r="C654" s="21" t="str">
        <f>VLOOKUP(B654,Sheet3!$B$2:$E$311,2,FALSE)</f>
        <v>#N/A</v>
      </c>
      <c r="D654" s="21" t="str">
        <f>VLOOKUP(B654,Sheet3!$B$2:$E$311,3,)</f>
        <v>#N/A</v>
      </c>
      <c r="E654" s="21" t="str">
        <f>VLOOKUP(B654,Sheet3!$B$2:$E$311,4,)</f>
        <v>#N/A</v>
      </c>
    </row>
    <row r="655" ht="15.75" customHeight="1">
      <c r="B655" s="21"/>
      <c r="C655" s="21" t="str">
        <f>VLOOKUP(B655,Sheet3!$B$2:$E$311,2,FALSE)</f>
        <v>#N/A</v>
      </c>
      <c r="D655" s="21" t="str">
        <f>VLOOKUP(B655,Sheet3!$B$2:$E$311,3,)</f>
        <v>#N/A</v>
      </c>
      <c r="E655" s="21" t="str">
        <f>VLOOKUP(B655,Sheet3!$B$2:$E$311,4,)</f>
        <v>#N/A</v>
      </c>
    </row>
    <row r="656" ht="15.75" customHeight="1">
      <c r="B656" s="21"/>
      <c r="C656" s="21" t="str">
        <f>VLOOKUP(B656,Sheet3!$B$2:$E$311,2,FALSE)</f>
        <v>#N/A</v>
      </c>
      <c r="D656" s="21" t="str">
        <f>VLOOKUP(B656,Sheet3!$B$2:$E$311,3,)</f>
        <v>#N/A</v>
      </c>
      <c r="E656" s="21" t="str">
        <f>VLOOKUP(B656,Sheet3!$B$2:$E$311,4,)</f>
        <v>#N/A</v>
      </c>
    </row>
    <row r="657" ht="15.75" customHeight="1">
      <c r="B657" s="21"/>
      <c r="C657" s="21" t="str">
        <f>VLOOKUP(B657,Sheet3!$B$2:$E$311,2,FALSE)</f>
        <v>#N/A</v>
      </c>
      <c r="D657" s="21" t="str">
        <f>VLOOKUP(B657,Sheet3!$B$2:$E$311,3,)</f>
        <v>#N/A</v>
      </c>
      <c r="E657" s="21" t="str">
        <f>VLOOKUP(B657,Sheet3!$B$2:$E$311,4,)</f>
        <v>#N/A</v>
      </c>
    </row>
    <row r="658" ht="15.75" customHeight="1">
      <c r="B658" s="21"/>
      <c r="C658" s="21" t="str">
        <f>VLOOKUP(B658,Sheet3!$B$2:$E$311,2,FALSE)</f>
        <v>#N/A</v>
      </c>
      <c r="D658" s="21" t="str">
        <f>VLOOKUP(B658,Sheet3!$B$2:$E$311,3,)</f>
        <v>#N/A</v>
      </c>
      <c r="E658" s="21" t="str">
        <f>VLOOKUP(B658,Sheet3!$B$2:$E$311,4,)</f>
        <v>#N/A</v>
      </c>
    </row>
    <row r="659" ht="15.75" customHeight="1">
      <c r="B659" s="21"/>
      <c r="C659" s="21" t="str">
        <f>VLOOKUP(B659,Sheet3!$B$2:$E$311,2,FALSE)</f>
        <v>#N/A</v>
      </c>
      <c r="D659" s="21" t="str">
        <f>VLOOKUP(B659,Sheet3!$B$2:$E$311,3,)</f>
        <v>#N/A</v>
      </c>
      <c r="E659" s="21" t="str">
        <f>VLOOKUP(B659,Sheet3!$B$2:$E$311,4,)</f>
        <v>#N/A</v>
      </c>
    </row>
    <row r="660" ht="15.75" customHeight="1">
      <c r="B660" s="21"/>
      <c r="C660" s="21" t="str">
        <f>VLOOKUP(B660,Sheet3!$B$2:$E$311,2,FALSE)</f>
        <v>#N/A</v>
      </c>
      <c r="D660" s="21" t="str">
        <f>VLOOKUP(B660,Sheet3!$B$2:$E$311,3,)</f>
        <v>#N/A</v>
      </c>
      <c r="E660" s="21" t="str">
        <f>VLOOKUP(B660,Sheet3!$B$2:$E$311,4,)</f>
        <v>#N/A</v>
      </c>
    </row>
    <row r="661" ht="15.75" customHeight="1">
      <c r="B661" s="21"/>
      <c r="C661" s="21" t="str">
        <f>VLOOKUP(B661,Sheet3!$B$2:$E$311,2,FALSE)</f>
        <v>#N/A</v>
      </c>
      <c r="D661" s="21" t="str">
        <f>VLOOKUP(B661,Sheet3!$B$2:$E$311,3,)</f>
        <v>#N/A</v>
      </c>
      <c r="E661" s="21" t="str">
        <f>VLOOKUP(B661,Sheet3!$B$2:$E$311,4,)</f>
        <v>#N/A</v>
      </c>
    </row>
    <row r="662" ht="15.75" customHeight="1">
      <c r="B662" s="21"/>
      <c r="C662" s="21" t="str">
        <f>VLOOKUP(B662,Sheet3!$B$2:$E$311,2,FALSE)</f>
        <v>#N/A</v>
      </c>
      <c r="D662" s="21" t="str">
        <f>VLOOKUP(B662,Sheet3!$B$2:$E$311,3,)</f>
        <v>#N/A</v>
      </c>
      <c r="E662" s="21" t="str">
        <f>VLOOKUP(B662,Sheet3!$B$2:$E$311,4,)</f>
        <v>#N/A</v>
      </c>
    </row>
    <row r="663" ht="15.75" customHeight="1">
      <c r="B663" s="21"/>
      <c r="C663" s="21" t="str">
        <f>VLOOKUP(B663,Sheet3!$B$2:$E$311,2,FALSE)</f>
        <v>#N/A</v>
      </c>
      <c r="D663" s="21" t="str">
        <f>VLOOKUP(B663,Sheet3!$B$2:$E$311,3,)</f>
        <v>#N/A</v>
      </c>
      <c r="E663" s="21" t="str">
        <f>VLOOKUP(B663,Sheet3!$B$2:$E$311,4,)</f>
        <v>#N/A</v>
      </c>
    </row>
    <row r="664" ht="15.75" customHeight="1">
      <c r="B664" s="21"/>
      <c r="C664" s="21" t="str">
        <f>VLOOKUP(B664,Sheet3!$B$2:$E$311,2,FALSE)</f>
        <v>#N/A</v>
      </c>
      <c r="D664" s="21" t="str">
        <f>VLOOKUP(B664,Sheet3!$B$2:$E$311,3,)</f>
        <v>#N/A</v>
      </c>
      <c r="E664" s="21" t="str">
        <f>VLOOKUP(B664,Sheet3!$B$2:$E$311,4,)</f>
        <v>#N/A</v>
      </c>
    </row>
    <row r="665" ht="15.75" customHeight="1">
      <c r="B665" s="21"/>
      <c r="C665" s="21" t="str">
        <f>VLOOKUP(B665,Sheet3!$B$2:$E$311,2,FALSE)</f>
        <v>#N/A</v>
      </c>
      <c r="D665" s="21" t="str">
        <f>VLOOKUP(B665,Sheet3!$B$2:$E$311,3,)</f>
        <v>#N/A</v>
      </c>
      <c r="E665" s="21" t="str">
        <f>VLOOKUP(B665,Sheet3!$B$2:$E$311,4,)</f>
        <v>#N/A</v>
      </c>
    </row>
    <row r="666" ht="15.75" customHeight="1">
      <c r="B666" s="21"/>
      <c r="C666" s="21" t="str">
        <f>VLOOKUP(B666,Sheet3!$B$2:$E$311,2,FALSE)</f>
        <v>#N/A</v>
      </c>
      <c r="D666" s="21" t="str">
        <f>VLOOKUP(B666,Sheet3!$B$2:$E$311,3,)</f>
        <v>#N/A</v>
      </c>
      <c r="E666" s="21" t="str">
        <f>VLOOKUP(B666,Sheet3!$B$2:$E$311,4,)</f>
        <v>#N/A</v>
      </c>
    </row>
    <row r="667" ht="15.75" customHeight="1">
      <c r="B667" s="21"/>
      <c r="C667" s="21" t="str">
        <f>VLOOKUP(B667,Sheet3!$B$2:$E$311,2,FALSE)</f>
        <v>#N/A</v>
      </c>
      <c r="D667" s="21" t="str">
        <f>VLOOKUP(B667,Sheet3!$B$2:$E$311,3,)</f>
        <v>#N/A</v>
      </c>
      <c r="E667" s="21" t="str">
        <f>VLOOKUP(B667,Sheet3!$B$2:$E$311,4,)</f>
        <v>#N/A</v>
      </c>
    </row>
    <row r="668" ht="15.75" customHeight="1">
      <c r="B668" s="21"/>
      <c r="C668" s="21" t="str">
        <f>VLOOKUP(B668,Sheet3!$B$2:$E$311,2,FALSE)</f>
        <v>#N/A</v>
      </c>
      <c r="D668" s="21" t="str">
        <f>VLOOKUP(B668,Sheet3!$B$2:$E$311,3,)</f>
        <v>#N/A</v>
      </c>
      <c r="E668" s="21" t="str">
        <f>VLOOKUP(B668,Sheet3!$B$2:$E$311,4,)</f>
        <v>#N/A</v>
      </c>
    </row>
    <row r="669" ht="15.75" customHeight="1">
      <c r="B669" s="21"/>
      <c r="C669" s="21" t="str">
        <f>VLOOKUP(B669,Sheet3!$B$2:$E$311,2,FALSE)</f>
        <v>#N/A</v>
      </c>
      <c r="D669" s="21" t="str">
        <f>VLOOKUP(B669,Sheet3!$B$2:$E$311,3,)</f>
        <v>#N/A</v>
      </c>
      <c r="E669" s="21" t="str">
        <f>VLOOKUP(B669,Sheet3!$B$2:$E$311,4,)</f>
        <v>#N/A</v>
      </c>
    </row>
    <row r="670" ht="15.75" customHeight="1">
      <c r="B670" s="21"/>
      <c r="C670" s="21" t="str">
        <f>VLOOKUP(B670,Sheet3!$B$2:$E$311,2,FALSE)</f>
        <v>#N/A</v>
      </c>
      <c r="D670" s="21" t="str">
        <f>VLOOKUP(B670,Sheet3!$B$2:$E$311,3,)</f>
        <v>#N/A</v>
      </c>
      <c r="E670" s="21" t="str">
        <f>VLOOKUP(B670,Sheet3!$B$2:$E$311,4,)</f>
        <v>#N/A</v>
      </c>
    </row>
    <row r="671" ht="15.75" customHeight="1">
      <c r="B671" s="21"/>
      <c r="C671" s="21" t="str">
        <f>VLOOKUP(B671,Sheet3!$B$2:$E$311,2,FALSE)</f>
        <v>#N/A</v>
      </c>
      <c r="D671" s="21" t="str">
        <f>VLOOKUP(B671,Sheet3!$B$2:$E$311,3,)</f>
        <v>#N/A</v>
      </c>
      <c r="E671" s="21" t="str">
        <f>VLOOKUP(B671,Sheet3!$B$2:$E$311,4,)</f>
        <v>#N/A</v>
      </c>
    </row>
    <row r="672" ht="15.75" customHeight="1">
      <c r="B672" s="21"/>
      <c r="C672" s="21" t="str">
        <f>VLOOKUP(B672,Sheet3!$B$2:$E$311,2,FALSE)</f>
        <v>#N/A</v>
      </c>
      <c r="D672" s="21" t="str">
        <f>VLOOKUP(B672,Sheet3!$B$2:$E$311,3,)</f>
        <v>#N/A</v>
      </c>
      <c r="E672" s="21" t="str">
        <f>VLOOKUP(B672,Sheet3!$B$2:$E$311,4,)</f>
        <v>#N/A</v>
      </c>
    </row>
    <row r="673" ht="15.75" customHeight="1">
      <c r="B673" s="21"/>
      <c r="C673" s="21" t="str">
        <f>VLOOKUP(B673,Sheet3!$B$2:$E$311,2,FALSE)</f>
        <v>#N/A</v>
      </c>
      <c r="D673" s="21" t="str">
        <f>VLOOKUP(B673,Sheet3!$B$2:$E$311,3,)</f>
        <v>#N/A</v>
      </c>
      <c r="E673" s="21" t="str">
        <f>VLOOKUP(B673,Sheet3!$B$2:$E$311,4,)</f>
        <v>#N/A</v>
      </c>
    </row>
    <row r="674" ht="15.75" customHeight="1">
      <c r="B674" s="21"/>
      <c r="C674" s="21" t="str">
        <f>VLOOKUP(B674,Sheet3!$B$2:$E$311,2,FALSE)</f>
        <v>#N/A</v>
      </c>
      <c r="D674" s="21" t="str">
        <f>VLOOKUP(B674,Sheet3!$B$2:$E$311,3,)</f>
        <v>#N/A</v>
      </c>
      <c r="E674" s="21" t="str">
        <f>VLOOKUP(B674,Sheet3!$B$2:$E$311,4,)</f>
        <v>#N/A</v>
      </c>
    </row>
    <row r="675" ht="15.75" customHeight="1">
      <c r="B675" s="21"/>
      <c r="C675" s="21" t="str">
        <f>VLOOKUP(B675,Sheet3!$B$2:$E$311,2,FALSE)</f>
        <v>#N/A</v>
      </c>
      <c r="D675" s="21" t="str">
        <f>VLOOKUP(B675,Sheet3!$B$2:$E$311,3,)</f>
        <v>#N/A</v>
      </c>
      <c r="E675" s="21" t="str">
        <f>VLOOKUP(B675,Sheet3!$B$2:$E$311,4,)</f>
        <v>#N/A</v>
      </c>
    </row>
    <row r="676" ht="15.75" customHeight="1">
      <c r="B676" s="21"/>
      <c r="C676" s="21" t="str">
        <f>VLOOKUP(B676,Sheet3!$B$2:$E$311,2,FALSE)</f>
        <v>#N/A</v>
      </c>
      <c r="D676" s="21" t="str">
        <f>VLOOKUP(B676,Sheet3!$B$2:$E$311,3,)</f>
        <v>#N/A</v>
      </c>
      <c r="E676" s="21" t="str">
        <f>VLOOKUP(B676,Sheet3!$B$2:$E$311,4,)</f>
        <v>#N/A</v>
      </c>
    </row>
    <row r="677" ht="15.75" customHeight="1">
      <c r="B677" s="21"/>
      <c r="C677" s="21" t="str">
        <f>VLOOKUP(B677,Sheet3!$B$2:$E$311,2,FALSE)</f>
        <v>#N/A</v>
      </c>
      <c r="D677" s="21" t="str">
        <f>VLOOKUP(B677,Sheet3!$B$2:$E$311,3,)</f>
        <v>#N/A</v>
      </c>
      <c r="E677" s="21" t="str">
        <f>VLOOKUP(B677,Sheet3!$B$2:$E$311,4,)</f>
        <v>#N/A</v>
      </c>
    </row>
    <row r="678" ht="15.75" customHeight="1">
      <c r="B678" s="21"/>
      <c r="C678" s="21" t="str">
        <f>VLOOKUP(B678,Sheet3!$B$2:$E$311,2,FALSE)</f>
        <v>#N/A</v>
      </c>
      <c r="D678" s="21" t="str">
        <f>VLOOKUP(B678,Sheet3!$B$2:$E$311,3,)</f>
        <v>#N/A</v>
      </c>
      <c r="E678" s="21" t="str">
        <f>VLOOKUP(B678,Sheet3!$B$2:$E$311,4,)</f>
        <v>#N/A</v>
      </c>
    </row>
    <row r="679" ht="15.75" customHeight="1">
      <c r="B679" s="21"/>
      <c r="C679" s="21" t="str">
        <f>VLOOKUP(B679,Sheet3!$B$2:$E$311,2,FALSE)</f>
        <v>#N/A</v>
      </c>
      <c r="D679" s="21" t="str">
        <f>VLOOKUP(B679,Sheet3!$B$2:$E$311,3,)</f>
        <v>#N/A</v>
      </c>
      <c r="E679" s="21" t="str">
        <f>VLOOKUP(B679,Sheet3!$B$2:$E$311,4,)</f>
        <v>#N/A</v>
      </c>
    </row>
    <row r="680" ht="15.75" customHeight="1">
      <c r="B680" s="21"/>
      <c r="C680" s="21" t="str">
        <f>VLOOKUP(B680,Sheet3!$B$2:$E$311,2,FALSE)</f>
        <v>#N/A</v>
      </c>
      <c r="D680" s="21" t="str">
        <f>VLOOKUP(B680,Sheet3!$B$2:$E$311,3,)</f>
        <v>#N/A</v>
      </c>
      <c r="E680" s="21" t="str">
        <f>VLOOKUP(B680,Sheet3!$B$2:$E$311,4,)</f>
        <v>#N/A</v>
      </c>
    </row>
    <row r="681" ht="15.75" customHeight="1">
      <c r="B681" s="21"/>
      <c r="C681" s="21" t="str">
        <f>VLOOKUP(B681,Sheet3!$B$2:$E$311,2,FALSE)</f>
        <v>#N/A</v>
      </c>
      <c r="D681" s="21" t="str">
        <f>VLOOKUP(B681,Sheet3!$B$2:$E$311,3,)</f>
        <v>#N/A</v>
      </c>
      <c r="E681" s="21" t="str">
        <f>VLOOKUP(B681,Sheet3!$B$2:$E$311,4,)</f>
        <v>#N/A</v>
      </c>
    </row>
    <row r="682" ht="15.75" customHeight="1">
      <c r="B682" s="21"/>
      <c r="C682" s="21" t="str">
        <f>VLOOKUP(B682,Sheet3!$B$2:$E$311,2,FALSE)</f>
        <v>#N/A</v>
      </c>
      <c r="D682" s="21" t="str">
        <f>VLOOKUP(B682,Sheet3!$B$2:$E$311,3,)</f>
        <v>#N/A</v>
      </c>
      <c r="E682" s="21" t="str">
        <f>VLOOKUP(B682,Sheet3!$B$2:$E$311,4,)</f>
        <v>#N/A</v>
      </c>
    </row>
    <row r="683" ht="15.75" customHeight="1">
      <c r="B683" s="21"/>
      <c r="C683" s="21" t="str">
        <f>VLOOKUP(B683,Sheet3!$B$2:$E$311,2,FALSE)</f>
        <v>#N/A</v>
      </c>
      <c r="D683" s="21" t="str">
        <f>VLOOKUP(B683,Sheet3!$B$2:$E$311,3,)</f>
        <v>#N/A</v>
      </c>
      <c r="E683" s="21" t="str">
        <f>VLOOKUP(B683,Sheet3!$B$2:$E$311,4,)</f>
        <v>#N/A</v>
      </c>
    </row>
    <row r="684" ht="15.75" customHeight="1">
      <c r="B684" s="21"/>
      <c r="C684" s="21" t="str">
        <f>VLOOKUP(B684,Sheet3!$B$2:$E$311,2,FALSE)</f>
        <v>#N/A</v>
      </c>
      <c r="D684" s="21" t="str">
        <f>VLOOKUP(B684,Sheet3!$B$2:$E$311,3,)</f>
        <v>#N/A</v>
      </c>
      <c r="E684" s="21" t="str">
        <f>VLOOKUP(B684,Sheet3!$B$2:$E$311,4,)</f>
        <v>#N/A</v>
      </c>
    </row>
    <row r="685" ht="15.75" customHeight="1">
      <c r="B685" s="21"/>
      <c r="C685" s="21" t="str">
        <f>VLOOKUP(B685,Sheet3!$B$2:$E$311,2,FALSE)</f>
        <v>#N/A</v>
      </c>
      <c r="D685" s="21" t="str">
        <f>VLOOKUP(B685,Sheet3!$B$2:$E$311,3,)</f>
        <v>#N/A</v>
      </c>
      <c r="E685" s="21" t="str">
        <f>VLOOKUP(B685,Sheet3!$B$2:$E$311,4,)</f>
        <v>#N/A</v>
      </c>
    </row>
    <row r="686" ht="15.75" customHeight="1">
      <c r="B686" s="21"/>
      <c r="C686" s="21" t="str">
        <f>VLOOKUP(B686,Sheet3!$B$2:$E$311,2,FALSE)</f>
        <v>#N/A</v>
      </c>
      <c r="D686" s="21" t="str">
        <f>VLOOKUP(B686,Sheet3!$B$2:$E$311,3,)</f>
        <v>#N/A</v>
      </c>
      <c r="E686" s="21" t="str">
        <f>VLOOKUP(B686,Sheet3!$B$2:$E$311,4,)</f>
        <v>#N/A</v>
      </c>
    </row>
    <row r="687" ht="15.75" customHeight="1">
      <c r="B687" s="21"/>
      <c r="C687" s="21" t="str">
        <f>VLOOKUP(B687,Sheet3!$B$2:$E$311,2,FALSE)</f>
        <v>#N/A</v>
      </c>
      <c r="D687" s="21" t="str">
        <f>VLOOKUP(B687,Sheet3!$B$2:$E$311,3,)</f>
        <v>#N/A</v>
      </c>
      <c r="E687" s="21" t="str">
        <f>VLOOKUP(B687,Sheet3!$B$2:$E$311,4,)</f>
        <v>#N/A</v>
      </c>
    </row>
    <row r="688" ht="15.75" customHeight="1">
      <c r="B688" s="21"/>
      <c r="C688" s="21" t="str">
        <f>VLOOKUP(B688,Sheet3!$B$2:$E$311,2,FALSE)</f>
        <v>#N/A</v>
      </c>
      <c r="D688" s="21" t="str">
        <f>VLOOKUP(B688,Sheet3!$B$2:$E$311,3,)</f>
        <v>#N/A</v>
      </c>
      <c r="E688" s="21" t="str">
        <f>VLOOKUP(B688,Sheet3!$B$2:$E$311,4,)</f>
        <v>#N/A</v>
      </c>
    </row>
    <row r="689" ht="15.75" customHeight="1">
      <c r="B689" s="21"/>
      <c r="C689" s="21" t="str">
        <f>VLOOKUP(B689,Sheet3!$B$2:$E$311,2,FALSE)</f>
        <v>#N/A</v>
      </c>
      <c r="D689" s="21" t="str">
        <f>VLOOKUP(B689,Sheet3!$B$2:$E$311,3,)</f>
        <v>#N/A</v>
      </c>
      <c r="E689" s="21" t="str">
        <f>VLOOKUP(B689,Sheet3!$B$2:$E$311,4,)</f>
        <v>#N/A</v>
      </c>
    </row>
    <row r="690" ht="15.75" customHeight="1">
      <c r="B690" s="21"/>
      <c r="C690" s="21" t="str">
        <f>VLOOKUP(B690,Sheet3!$B$2:$E$311,2,FALSE)</f>
        <v>#N/A</v>
      </c>
      <c r="D690" s="21" t="str">
        <f>VLOOKUP(B690,Sheet3!$B$2:$E$311,3,)</f>
        <v>#N/A</v>
      </c>
      <c r="E690" s="21" t="str">
        <f>VLOOKUP(B690,Sheet3!$B$2:$E$311,4,)</f>
        <v>#N/A</v>
      </c>
    </row>
    <row r="691" ht="15.75" customHeight="1">
      <c r="B691" s="21"/>
      <c r="C691" s="21" t="str">
        <f>VLOOKUP(B691,Sheet3!$B$2:$E$311,2,FALSE)</f>
        <v>#N/A</v>
      </c>
      <c r="D691" s="21" t="str">
        <f>VLOOKUP(B691,Sheet3!$B$2:$E$311,3,)</f>
        <v>#N/A</v>
      </c>
      <c r="E691" s="21" t="str">
        <f>VLOOKUP(B691,Sheet3!$B$2:$E$311,4,)</f>
        <v>#N/A</v>
      </c>
    </row>
    <row r="692" ht="15.75" customHeight="1">
      <c r="B692" s="21"/>
      <c r="C692" s="21" t="str">
        <f>VLOOKUP(B692,Sheet3!$B$2:$E$311,2,FALSE)</f>
        <v>#N/A</v>
      </c>
      <c r="D692" s="21" t="str">
        <f>VLOOKUP(B692,Sheet3!$B$2:$E$311,3,)</f>
        <v>#N/A</v>
      </c>
      <c r="E692" s="21" t="str">
        <f>VLOOKUP(B692,Sheet3!$B$2:$E$311,4,)</f>
        <v>#N/A</v>
      </c>
    </row>
    <row r="693" ht="15.75" customHeight="1">
      <c r="B693" s="21"/>
      <c r="C693" s="21" t="str">
        <f>VLOOKUP(B693,Sheet3!$B$2:$E$311,2,FALSE)</f>
        <v>#N/A</v>
      </c>
      <c r="D693" s="21" t="str">
        <f>VLOOKUP(B693,Sheet3!$B$2:$E$311,3,)</f>
        <v>#N/A</v>
      </c>
      <c r="E693" s="21" t="str">
        <f>VLOOKUP(B693,Sheet3!$B$2:$E$311,4,)</f>
        <v>#N/A</v>
      </c>
    </row>
    <row r="694" ht="15.75" customHeight="1">
      <c r="B694" s="21"/>
      <c r="C694" s="21" t="str">
        <f>VLOOKUP(B694,Sheet3!$B$2:$E$311,2,FALSE)</f>
        <v>#N/A</v>
      </c>
      <c r="D694" s="21" t="str">
        <f>VLOOKUP(B694,Sheet3!$B$2:$E$311,3,)</f>
        <v>#N/A</v>
      </c>
      <c r="E694" s="21" t="str">
        <f>VLOOKUP(B694,Sheet3!$B$2:$E$311,4,)</f>
        <v>#N/A</v>
      </c>
    </row>
    <row r="695" ht="15.75" customHeight="1">
      <c r="B695" s="21"/>
      <c r="C695" s="21" t="str">
        <f>VLOOKUP(B695,Sheet3!$B$2:$E$311,2,FALSE)</f>
        <v>#N/A</v>
      </c>
      <c r="D695" s="21" t="str">
        <f>VLOOKUP(B695,Sheet3!$B$2:$E$311,3,)</f>
        <v>#N/A</v>
      </c>
      <c r="E695" s="21" t="str">
        <f>VLOOKUP(B695,Sheet3!$B$2:$E$311,4,)</f>
        <v>#N/A</v>
      </c>
    </row>
    <row r="696" ht="15.75" customHeight="1">
      <c r="B696" s="21"/>
      <c r="C696" s="21" t="str">
        <f>VLOOKUP(B696,Sheet3!$B$2:$E$311,2,FALSE)</f>
        <v>#N/A</v>
      </c>
      <c r="D696" s="21" t="str">
        <f>VLOOKUP(B696,Sheet3!$B$2:$E$311,3,)</f>
        <v>#N/A</v>
      </c>
      <c r="E696" s="21" t="str">
        <f>VLOOKUP(B696,Sheet3!$B$2:$E$311,4,)</f>
        <v>#N/A</v>
      </c>
    </row>
    <row r="697" ht="15.75" customHeight="1">
      <c r="B697" s="21"/>
      <c r="C697" s="21" t="str">
        <f>VLOOKUP(B697,Sheet3!$B$2:$E$311,2,FALSE)</f>
        <v>#N/A</v>
      </c>
      <c r="D697" s="21" t="str">
        <f>VLOOKUP(B697,Sheet3!$B$2:$E$311,3,)</f>
        <v>#N/A</v>
      </c>
      <c r="E697" s="21" t="str">
        <f>VLOOKUP(B697,Sheet3!$B$2:$E$311,4,)</f>
        <v>#N/A</v>
      </c>
    </row>
    <row r="698" ht="15.75" customHeight="1">
      <c r="B698" s="21"/>
      <c r="C698" s="21" t="str">
        <f>VLOOKUP(B698,Sheet3!$B$2:$E$311,2,FALSE)</f>
        <v>#N/A</v>
      </c>
      <c r="D698" s="21" t="str">
        <f>VLOOKUP(B698,Sheet3!$B$2:$E$311,3,)</f>
        <v>#N/A</v>
      </c>
      <c r="E698" s="21" t="str">
        <f>VLOOKUP(B698,Sheet3!$B$2:$E$311,4,)</f>
        <v>#N/A</v>
      </c>
    </row>
    <row r="699" ht="15.75" customHeight="1">
      <c r="B699" s="21"/>
      <c r="C699" s="21" t="str">
        <f>VLOOKUP(B699,Sheet3!$B$2:$E$311,2,FALSE)</f>
        <v>#N/A</v>
      </c>
      <c r="D699" s="21" t="str">
        <f>VLOOKUP(B699,Sheet3!$B$2:$E$311,3,)</f>
        <v>#N/A</v>
      </c>
      <c r="E699" s="21" t="str">
        <f>VLOOKUP(B699,Sheet3!$B$2:$E$311,4,)</f>
        <v>#N/A</v>
      </c>
    </row>
    <row r="700" ht="15.75" customHeight="1">
      <c r="B700" s="21"/>
      <c r="C700" s="21" t="str">
        <f>VLOOKUP(B700,Sheet3!$B$2:$E$311,2,FALSE)</f>
        <v>#N/A</v>
      </c>
      <c r="D700" s="21" t="str">
        <f>VLOOKUP(B700,Sheet3!$B$2:$E$311,3,)</f>
        <v>#N/A</v>
      </c>
      <c r="E700" s="21" t="str">
        <f>VLOOKUP(B700,Sheet3!$B$2:$E$311,4,)</f>
        <v>#N/A</v>
      </c>
    </row>
    <row r="701" ht="15.75" customHeight="1">
      <c r="B701" s="21"/>
      <c r="C701" s="21" t="str">
        <f>VLOOKUP(B701,Sheet3!$B$2:$E$311,2,FALSE)</f>
        <v>#N/A</v>
      </c>
      <c r="D701" s="21" t="str">
        <f>VLOOKUP(B701,Sheet3!$B$2:$E$311,3,)</f>
        <v>#N/A</v>
      </c>
      <c r="E701" s="21" t="str">
        <f>VLOOKUP(B701,Sheet3!$B$2:$E$311,4,)</f>
        <v>#N/A</v>
      </c>
    </row>
    <row r="702" ht="15.75" customHeight="1">
      <c r="B702" s="21"/>
      <c r="C702" s="21" t="str">
        <f>VLOOKUP(B702,Sheet3!$B$2:$E$311,2,FALSE)</f>
        <v>#N/A</v>
      </c>
      <c r="D702" s="21" t="str">
        <f>VLOOKUP(B702,Sheet3!$B$2:$E$311,3,)</f>
        <v>#N/A</v>
      </c>
      <c r="E702" s="21" t="str">
        <f>VLOOKUP(B702,Sheet3!$B$2:$E$311,4,)</f>
        <v>#N/A</v>
      </c>
    </row>
    <row r="703" ht="15.75" customHeight="1">
      <c r="B703" s="21"/>
      <c r="C703" s="21" t="str">
        <f>VLOOKUP(B703,Sheet3!$B$2:$E$311,2,FALSE)</f>
        <v>#N/A</v>
      </c>
      <c r="D703" s="21" t="str">
        <f>VLOOKUP(B703,Sheet3!$B$2:$E$311,3,)</f>
        <v>#N/A</v>
      </c>
      <c r="E703" s="21" t="str">
        <f>VLOOKUP(B703,Sheet3!$B$2:$E$311,4,)</f>
        <v>#N/A</v>
      </c>
    </row>
    <row r="704" ht="15.75" customHeight="1">
      <c r="B704" s="21"/>
      <c r="C704" s="21" t="str">
        <f>VLOOKUP(B704,Sheet3!$B$2:$E$311,2,FALSE)</f>
        <v>#N/A</v>
      </c>
      <c r="D704" s="21" t="str">
        <f>VLOOKUP(B704,Sheet3!$B$2:$E$311,3,)</f>
        <v>#N/A</v>
      </c>
      <c r="E704" s="21" t="str">
        <f>VLOOKUP(B704,Sheet3!$B$2:$E$311,4,)</f>
        <v>#N/A</v>
      </c>
    </row>
    <row r="705" ht="15.75" customHeight="1">
      <c r="B705" s="21"/>
      <c r="C705" s="21" t="str">
        <f>VLOOKUP(B705,Sheet3!$B$2:$E$311,2,FALSE)</f>
        <v>#N/A</v>
      </c>
      <c r="D705" s="21" t="str">
        <f>VLOOKUP(B705,Sheet3!$B$2:$E$311,3,)</f>
        <v>#N/A</v>
      </c>
      <c r="E705" s="21" t="str">
        <f>VLOOKUP(B705,Sheet3!$B$2:$E$311,4,)</f>
        <v>#N/A</v>
      </c>
    </row>
    <row r="706" ht="15.75" customHeight="1">
      <c r="B706" s="21"/>
      <c r="C706" s="21" t="str">
        <f>VLOOKUP(B706,Sheet3!$B$2:$E$311,2,FALSE)</f>
        <v>#N/A</v>
      </c>
      <c r="D706" s="21" t="str">
        <f>VLOOKUP(B706,Sheet3!$B$2:$E$311,3,)</f>
        <v>#N/A</v>
      </c>
      <c r="E706" s="21" t="str">
        <f>VLOOKUP(B706,Sheet3!$B$2:$E$311,4,)</f>
        <v>#N/A</v>
      </c>
    </row>
    <row r="707" ht="15.75" customHeight="1">
      <c r="B707" s="21"/>
      <c r="C707" s="21" t="str">
        <f>VLOOKUP(B707,Sheet3!$B$2:$E$311,2,FALSE)</f>
        <v>#N/A</v>
      </c>
      <c r="D707" s="21" t="str">
        <f>VLOOKUP(B707,Sheet3!$B$2:$E$311,3,)</f>
        <v>#N/A</v>
      </c>
      <c r="E707" s="21" t="str">
        <f>VLOOKUP(B707,Sheet3!$B$2:$E$311,4,)</f>
        <v>#N/A</v>
      </c>
    </row>
    <row r="708" ht="15.75" customHeight="1">
      <c r="B708" s="21"/>
      <c r="C708" s="21" t="str">
        <f>VLOOKUP(B708,Sheet3!$B$2:$E$311,2,FALSE)</f>
        <v>#N/A</v>
      </c>
      <c r="D708" s="21" t="str">
        <f>VLOOKUP(B708,Sheet3!$B$2:$E$311,3,)</f>
        <v>#N/A</v>
      </c>
      <c r="E708" s="21" t="str">
        <f>VLOOKUP(B708,Sheet3!$B$2:$E$311,4,)</f>
        <v>#N/A</v>
      </c>
    </row>
    <row r="709" ht="15.75" customHeight="1">
      <c r="B709" s="21"/>
      <c r="C709" s="21" t="str">
        <f>VLOOKUP(B709,Sheet3!$B$2:$E$311,2,FALSE)</f>
        <v>#N/A</v>
      </c>
      <c r="D709" s="21" t="str">
        <f>VLOOKUP(B709,Sheet3!$B$2:$E$311,3,)</f>
        <v>#N/A</v>
      </c>
      <c r="E709" s="21" t="str">
        <f>VLOOKUP(B709,Sheet3!$B$2:$E$311,4,)</f>
        <v>#N/A</v>
      </c>
    </row>
    <row r="710" ht="15.75" customHeight="1">
      <c r="B710" s="21"/>
      <c r="C710" s="21" t="str">
        <f>VLOOKUP(B710,Sheet3!$B$2:$E$311,2,FALSE)</f>
        <v>#N/A</v>
      </c>
      <c r="D710" s="21" t="str">
        <f>VLOOKUP(B710,Sheet3!$B$2:$E$311,3,)</f>
        <v>#N/A</v>
      </c>
      <c r="E710" s="21" t="str">
        <f>VLOOKUP(B710,Sheet3!$B$2:$E$311,4,)</f>
        <v>#N/A</v>
      </c>
    </row>
    <row r="711" ht="15.75" customHeight="1">
      <c r="B711" s="21"/>
      <c r="C711" s="21" t="str">
        <f>VLOOKUP(B711,Sheet3!$B$2:$E$311,2,FALSE)</f>
        <v>#N/A</v>
      </c>
      <c r="D711" s="21" t="str">
        <f>VLOOKUP(B711,Sheet3!$B$2:$E$311,3,)</f>
        <v>#N/A</v>
      </c>
      <c r="E711" s="21" t="str">
        <f>VLOOKUP(B711,Sheet3!$B$2:$E$311,4,)</f>
        <v>#N/A</v>
      </c>
    </row>
    <row r="712" ht="15.75" customHeight="1">
      <c r="B712" s="21"/>
      <c r="C712" s="21" t="str">
        <f>VLOOKUP(B712,Sheet3!$B$2:$E$311,2,FALSE)</f>
        <v>#N/A</v>
      </c>
      <c r="D712" s="21" t="str">
        <f>VLOOKUP(B712,Sheet3!$B$2:$E$311,3,)</f>
        <v>#N/A</v>
      </c>
      <c r="E712" s="21" t="str">
        <f>VLOOKUP(B712,Sheet3!$B$2:$E$311,4,)</f>
        <v>#N/A</v>
      </c>
    </row>
    <row r="713" ht="15.75" customHeight="1">
      <c r="B713" s="21"/>
      <c r="C713" s="21" t="str">
        <f>VLOOKUP(B713,Sheet3!$B$2:$E$311,2,FALSE)</f>
        <v>#N/A</v>
      </c>
      <c r="D713" s="21" t="str">
        <f>VLOOKUP(B713,Sheet3!$B$2:$E$311,3,)</f>
        <v>#N/A</v>
      </c>
      <c r="E713" s="21" t="str">
        <f>VLOOKUP(B713,Sheet3!$B$2:$E$311,4,)</f>
        <v>#N/A</v>
      </c>
    </row>
    <row r="714" ht="15.75" customHeight="1">
      <c r="B714" s="21"/>
      <c r="C714" s="21" t="str">
        <f>VLOOKUP(B714,Sheet3!$B$2:$E$311,2,FALSE)</f>
        <v>#N/A</v>
      </c>
      <c r="D714" s="21" t="str">
        <f>VLOOKUP(B714,Sheet3!$B$2:$E$311,3,)</f>
        <v>#N/A</v>
      </c>
      <c r="E714" s="21" t="str">
        <f>VLOOKUP(B714,Sheet3!$B$2:$E$311,4,)</f>
        <v>#N/A</v>
      </c>
    </row>
    <row r="715" ht="15.75" customHeight="1">
      <c r="B715" s="21"/>
      <c r="C715" s="21" t="str">
        <f>VLOOKUP(B715,Sheet3!$B$2:$E$311,2,FALSE)</f>
        <v>#N/A</v>
      </c>
      <c r="D715" s="21" t="str">
        <f>VLOOKUP(B715,Sheet3!$B$2:$E$311,3,)</f>
        <v>#N/A</v>
      </c>
      <c r="E715" s="21" t="str">
        <f>VLOOKUP(B715,Sheet3!$B$2:$E$311,4,)</f>
        <v>#N/A</v>
      </c>
    </row>
    <row r="716" ht="15.75" customHeight="1">
      <c r="B716" s="21"/>
      <c r="C716" s="21" t="str">
        <f>VLOOKUP(B716,Sheet3!$B$2:$E$311,2,FALSE)</f>
        <v>#N/A</v>
      </c>
      <c r="D716" s="21" t="str">
        <f>VLOOKUP(B716,Sheet3!$B$2:$E$311,3,)</f>
        <v>#N/A</v>
      </c>
      <c r="E716" s="21" t="str">
        <f>VLOOKUP(B716,Sheet3!$B$2:$E$311,4,)</f>
        <v>#N/A</v>
      </c>
    </row>
    <row r="717" ht="15.75" customHeight="1">
      <c r="B717" s="21"/>
      <c r="C717" s="21" t="str">
        <f>VLOOKUP(B717,Sheet3!$B$2:$E$311,2,FALSE)</f>
        <v>#N/A</v>
      </c>
      <c r="D717" s="21" t="str">
        <f>VLOOKUP(B717,Sheet3!$B$2:$E$311,3,)</f>
        <v>#N/A</v>
      </c>
      <c r="E717" s="21" t="str">
        <f>VLOOKUP(B717,Sheet3!$B$2:$E$311,4,)</f>
        <v>#N/A</v>
      </c>
    </row>
    <row r="718" ht="15.75" customHeight="1">
      <c r="B718" s="21"/>
      <c r="C718" s="21" t="str">
        <f>VLOOKUP(B718,Sheet3!$B$2:$E$311,2,FALSE)</f>
        <v>#N/A</v>
      </c>
      <c r="D718" s="21" t="str">
        <f>VLOOKUP(B718,Sheet3!$B$2:$E$311,3,)</f>
        <v>#N/A</v>
      </c>
      <c r="E718" s="21" t="str">
        <f>VLOOKUP(B718,Sheet3!$B$2:$E$311,4,)</f>
        <v>#N/A</v>
      </c>
    </row>
    <row r="719" ht="15.75" customHeight="1">
      <c r="B719" s="21"/>
      <c r="C719" s="21" t="str">
        <f>VLOOKUP(B719,Sheet3!$B$2:$E$311,2,FALSE)</f>
        <v>#N/A</v>
      </c>
      <c r="D719" s="21" t="str">
        <f>VLOOKUP(B719,Sheet3!$B$2:$E$311,3,)</f>
        <v>#N/A</v>
      </c>
      <c r="E719" s="21" t="str">
        <f>VLOOKUP(B719,Sheet3!$B$2:$E$311,4,)</f>
        <v>#N/A</v>
      </c>
    </row>
    <row r="720" ht="15.75" customHeight="1">
      <c r="B720" s="21"/>
      <c r="C720" s="21" t="str">
        <f>VLOOKUP(B720,Sheet3!$B$2:$E$311,2,FALSE)</f>
        <v>#N/A</v>
      </c>
      <c r="D720" s="21" t="str">
        <f>VLOOKUP(B720,Sheet3!$B$2:$E$311,3,)</f>
        <v>#N/A</v>
      </c>
      <c r="E720" s="21" t="str">
        <f>VLOOKUP(B720,Sheet3!$B$2:$E$311,4,)</f>
        <v>#N/A</v>
      </c>
    </row>
    <row r="721" ht="15.75" customHeight="1">
      <c r="B721" s="21"/>
      <c r="C721" s="21" t="str">
        <f>VLOOKUP(B721,Sheet3!$B$2:$E$311,2,FALSE)</f>
        <v>#N/A</v>
      </c>
      <c r="D721" s="21" t="str">
        <f>VLOOKUP(B721,Sheet3!$B$2:$E$311,3,)</f>
        <v>#N/A</v>
      </c>
      <c r="E721" s="21" t="str">
        <f>VLOOKUP(B721,Sheet3!$B$2:$E$311,4,)</f>
        <v>#N/A</v>
      </c>
    </row>
    <row r="722" ht="15.75" customHeight="1">
      <c r="B722" s="21"/>
      <c r="C722" s="21" t="str">
        <f>VLOOKUP(B722,Sheet3!$B$2:$E$311,2,FALSE)</f>
        <v>#N/A</v>
      </c>
      <c r="D722" s="21" t="str">
        <f>VLOOKUP(B722,Sheet3!$B$2:$E$311,3,)</f>
        <v>#N/A</v>
      </c>
      <c r="E722" s="21" t="str">
        <f>VLOOKUP(B722,Sheet3!$B$2:$E$311,4,)</f>
        <v>#N/A</v>
      </c>
    </row>
    <row r="723" ht="15.75" customHeight="1">
      <c r="B723" s="21"/>
      <c r="C723" s="21" t="str">
        <f>VLOOKUP(B723,Sheet3!$B$2:$E$311,2,FALSE)</f>
        <v>#N/A</v>
      </c>
      <c r="D723" s="21" t="str">
        <f>VLOOKUP(B723,Sheet3!$B$2:$E$311,3,)</f>
        <v>#N/A</v>
      </c>
      <c r="E723" s="21" t="str">
        <f>VLOOKUP(B723,Sheet3!$B$2:$E$311,4,)</f>
        <v>#N/A</v>
      </c>
    </row>
    <row r="724" ht="15.75" customHeight="1">
      <c r="B724" s="21"/>
      <c r="C724" s="21" t="str">
        <f>VLOOKUP(B724,Sheet3!$B$2:$E$311,2,FALSE)</f>
        <v>#N/A</v>
      </c>
      <c r="D724" s="21" t="str">
        <f>VLOOKUP(B724,Sheet3!$B$2:$E$311,3,)</f>
        <v>#N/A</v>
      </c>
      <c r="E724" s="21" t="str">
        <f>VLOOKUP(B724,Sheet3!$B$2:$E$311,4,)</f>
        <v>#N/A</v>
      </c>
    </row>
    <row r="725" ht="15.75" customHeight="1">
      <c r="B725" s="21"/>
      <c r="C725" s="21" t="str">
        <f>VLOOKUP(B725,Sheet3!$B$2:$E$311,2,FALSE)</f>
        <v>#N/A</v>
      </c>
      <c r="D725" s="21" t="str">
        <f>VLOOKUP(B725,Sheet3!$B$2:$E$311,3,)</f>
        <v>#N/A</v>
      </c>
      <c r="E725" s="21" t="str">
        <f>VLOOKUP(B725,Sheet3!$B$2:$E$311,4,)</f>
        <v>#N/A</v>
      </c>
    </row>
    <row r="726" ht="15.75" customHeight="1">
      <c r="B726" s="21"/>
      <c r="C726" s="21" t="str">
        <f>VLOOKUP(B726,Sheet3!$B$2:$E$311,2,FALSE)</f>
        <v>#N/A</v>
      </c>
      <c r="D726" s="21" t="str">
        <f>VLOOKUP(B726,Sheet3!$B$2:$E$311,3,)</f>
        <v>#N/A</v>
      </c>
      <c r="E726" s="21" t="str">
        <f>VLOOKUP(B726,Sheet3!$B$2:$E$311,4,)</f>
        <v>#N/A</v>
      </c>
    </row>
    <row r="727" ht="15.75" customHeight="1">
      <c r="B727" s="21"/>
      <c r="C727" s="21" t="str">
        <f>VLOOKUP(B727,Sheet3!$B$2:$E$311,2,FALSE)</f>
        <v>#N/A</v>
      </c>
      <c r="D727" s="21" t="str">
        <f>VLOOKUP(B727,Sheet3!$B$2:$E$311,3,)</f>
        <v>#N/A</v>
      </c>
      <c r="E727" s="21" t="str">
        <f>VLOOKUP(B727,Sheet3!$B$2:$E$311,4,)</f>
        <v>#N/A</v>
      </c>
    </row>
    <row r="728" ht="15.75" customHeight="1">
      <c r="B728" s="21"/>
      <c r="C728" s="21" t="str">
        <f>VLOOKUP(B728,Sheet3!$B$2:$E$311,2,FALSE)</f>
        <v>#N/A</v>
      </c>
      <c r="D728" s="21" t="str">
        <f>VLOOKUP(B728,Sheet3!$B$2:$E$311,3,)</f>
        <v>#N/A</v>
      </c>
      <c r="E728" s="21" t="str">
        <f>VLOOKUP(B728,Sheet3!$B$2:$E$311,4,)</f>
        <v>#N/A</v>
      </c>
    </row>
    <row r="729" ht="15.75" customHeight="1">
      <c r="B729" s="21"/>
      <c r="C729" s="21" t="str">
        <f>VLOOKUP(B729,Sheet3!$B$2:$E$311,2,FALSE)</f>
        <v>#N/A</v>
      </c>
      <c r="D729" s="21" t="str">
        <f>VLOOKUP(B729,Sheet3!$B$2:$E$311,3,)</f>
        <v>#N/A</v>
      </c>
      <c r="E729" s="21" t="str">
        <f>VLOOKUP(B729,Sheet3!$B$2:$E$311,4,)</f>
        <v>#N/A</v>
      </c>
    </row>
    <row r="730" ht="15.75" customHeight="1">
      <c r="B730" s="21"/>
      <c r="C730" s="21" t="str">
        <f>VLOOKUP(B730,Sheet3!$B$2:$E$311,2,FALSE)</f>
        <v>#N/A</v>
      </c>
      <c r="D730" s="21" t="str">
        <f>VLOOKUP(B730,Sheet3!$B$2:$E$311,3,)</f>
        <v>#N/A</v>
      </c>
      <c r="E730" s="21" t="str">
        <f>VLOOKUP(B730,Sheet3!$B$2:$E$311,4,)</f>
        <v>#N/A</v>
      </c>
    </row>
    <row r="731" ht="15.75" customHeight="1">
      <c r="B731" s="21"/>
      <c r="C731" s="21" t="str">
        <f>VLOOKUP(B731,Sheet3!$B$2:$E$311,2,FALSE)</f>
        <v>#N/A</v>
      </c>
      <c r="D731" s="21" t="str">
        <f>VLOOKUP(B731,Sheet3!$B$2:$E$311,3,)</f>
        <v>#N/A</v>
      </c>
      <c r="E731" s="21" t="str">
        <f>VLOOKUP(B731,Sheet3!$B$2:$E$311,4,)</f>
        <v>#N/A</v>
      </c>
    </row>
    <row r="732" ht="15.75" customHeight="1">
      <c r="B732" s="21"/>
      <c r="C732" s="21" t="str">
        <f>VLOOKUP(B732,Sheet3!$B$2:$E$311,2,FALSE)</f>
        <v>#N/A</v>
      </c>
      <c r="D732" s="21" t="str">
        <f>VLOOKUP(B732,Sheet3!$B$2:$E$311,3,)</f>
        <v>#N/A</v>
      </c>
      <c r="E732" s="21" t="str">
        <f>VLOOKUP(B732,Sheet3!$B$2:$E$311,4,)</f>
        <v>#N/A</v>
      </c>
    </row>
    <row r="733" ht="15.75" customHeight="1">
      <c r="B733" s="21"/>
      <c r="C733" s="21" t="str">
        <f>VLOOKUP(B733,Sheet3!$B$2:$E$311,2,FALSE)</f>
        <v>#N/A</v>
      </c>
      <c r="D733" s="21" t="str">
        <f>VLOOKUP(B733,Sheet3!$B$2:$E$311,3,)</f>
        <v>#N/A</v>
      </c>
      <c r="E733" s="21" t="str">
        <f>VLOOKUP(B733,Sheet3!$B$2:$E$311,4,)</f>
        <v>#N/A</v>
      </c>
    </row>
    <row r="734" ht="15.75" customHeight="1">
      <c r="B734" s="21"/>
      <c r="C734" s="21" t="str">
        <f>VLOOKUP(B734,Sheet3!$B$2:$E$311,2,FALSE)</f>
        <v>#N/A</v>
      </c>
      <c r="D734" s="21" t="str">
        <f>VLOOKUP(B734,Sheet3!$B$2:$E$311,3,)</f>
        <v>#N/A</v>
      </c>
      <c r="E734" s="21" t="str">
        <f>VLOOKUP(B734,Sheet3!$B$2:$E$311,4,)</f>
        <v>#N/A</v>
      </c>
    </row>
    <row r="735" ht="15.75" customHeight="1">
      <c r="B735" s="21"/>
      <c r="C735" s="21" t="str">
        <f>VLOOKUP(B735,Sheet3!$B$2:$E$311,2,FALSE)</f>
        <v>#N/A</v>
      </c>
      <c r="D735" s="21" t="str">
        <f>VLOOKUP(B735,Sheet3!$B$2:$E$311,3,)</f>
        <v>#N/A</v>
      </c>
      <c r="E735" s="21" t="str">
        <f>VLOOKUP(B735,Sheet3!$B$2:$E$311,4,)</f>
        <v>#N/A</v>
      </c>
    </row>
    <row r="736" ht="15.75" customHeight="1">
      <c r="B736" s="21"/>
      <c r="C736" s="21" t="str">
        <f>VLOOKUP(B736,Sheet3!$B$2:$E$311,2,FALSE)</f>
        <v>#N/A</v>
      </c>
      <c r="D736" s="21" t="str">
        <f>VLOOKUP(B736,Sheet3!$B$2:$E$311,3,)</f>
        <v>#N/A</v>
      </c>
      <c r="E736" s="21" t="str">
        <f>VLOOKUP(B736,Sheet3!$B$2:$E$311,4,)</f>
        <v>#N/A</v>
      </c>
    </row>
    <row r="737" ht="15.75" customHeight="1">
      <c r="B737" s="21"/>
      <c r="C737" s="21" t="str">
        <f>VLOOKUP(B737,Sheet3!$B$2:$E$311,2,FALSE)</f>
        <v>#N/A</v>
      </c>
      <c r="D737" s="21" t="str">
        <f>VLOOKUP(B737,Sheet3!$B$2:$E$311,3,)</f>
        <v>#N/A</v>
      </c>
      <c r="E737" s="21" t="str">
        <f>VLOOKUP(B737,Sheet3!$B$2:$E$311,4,)</f>
        <v>#N/A</v>
      </c>
    </row>
    <row r="738" ht="15.75" customHeight="1">
      <c r="B738" s="21"/>
      <c r="C738" s="21" t="str">
        <f>VLOOKUP(B738,Sheet3!$B$2:$E$311,2,FALSE)</f>
        <v>#N/A</v>
      </c>
      <c r="D738" s="21" t="str">
        <f>VLOOKUP(B738,Sheet3!$B$2:$E$311,3,)</f>
        <v>#N/A</v>
      </c>
      <c r="E738" s="21" t="str">
        <f>VLOOKUP(B738,Sheet3!$B$2:$E$311,4,)</f>
        <v>#N/A</v>
      </c>
    </row>
    <row r="739" ht="15.75" customHeight="1">
      <c r="B739" s="21"/>
      <c r="C739" s="21" t="str">
        <f>VLOOKUP(B739,Sheet3!$B$2:$E$311,2,FALSE)</f>
        <v>#N/A</v>
      </c>
      <c r="D739" s="21" t="str">
        <f>VLOOKUP(B739,Sheet3!$B$2:$E$311,3,)</f>
        <v>#N/A</v>
      </c>
      <c r="E739" s="21" t="str">
        <f>VLOOKUP(B739,Sheet3!$B$2:$E$311,4,)</f>
        <v>#N/A</v>
      </c>
    </row>
    <row r="740" ht="15.75" customHeight="1">
      <c r="B740" s="21"/>
      <c r="C740" s="21" t="str">
        <f>VLOOKUP(B740,Sheet3!$B$2:$E$311,2,FALSE)</f>
        <v>#N/A</v>
      </c>
      <c r="D740" s="21" t="str">
        <f>VLOOKUP(B740,Sheet3!$B$2:$E$311,3,)</f>
        <v>#N/A</v>
      </c>
    </row>
    <row r="741" ht="15.75" customHeight="1">
      <c r="B741" s="21"/>
      <c r="C741" s="21" t="str">
        <f>VLOOKUP(B741,Sheet3!$B$2:$E$311,2,FALSE)</f>
        <v>#N/A</v>
      </c>
      <c r="D741" s="21" t="str">
        <f>VLOOKUP(B741,Sheet3!$B$2:$E$311,3,)</f>
        <v>#N/A</v>
      </c>
    </row>
    <row r="742" ht="15.75" customHeight="1">
      <c r="B742" s="21"/>
      <c r="C742" s="21" t="str">
        <f>VLOOKUP(B742,Sheet3!$B$2:$E$311,2,FALSE)</f>
        <v>#N/A</v>
      </c>
      <c r="D742" s="21" t="str">
        <f>VLOOKUP(B742,Sheet3!$B$2:$E$311,3,)</f>
        <v>#N/A</v>
      </c>
    </row>
    <row r="743" ht="15.75" customHeight="1">
      <c r="B743" s="21"/>
      <c r="C743" s="21" t="str">
        <f>VLOOKUP(B743,Sheet3!$B$2:$E$311,2,FALSE)</f>
        <v>#N/A</v>
      </c>
      <c r="D743" s="21" t="str">
        <f>VLOOKUP(B743,Sheet3!$B$2:$E$311,3,)</f>
        <v>#N/A</v>
      </c>
    </row>
    <row r="744" ht="15.75" customHeight="1">
      <c r="B744" s="21"/>
      <c r="C744" s="21" t="str">
        <f>VLOOKUP(B744,Sheet3!$B$2:$E$311,2,FALSE)</f>
        <v>#N/A</v>
      </c>
      <c r="D744" s="21" t="str">
        <f>VLOOKUP(B744,Sheet3!$B$2:$E$311,3,)</f>
        <v>#N/A</v>
      </c>
    </row>
    <row r="745" ht="15.75" customHeight="1">
      <c r="B745" s="21"/>
      <c r="C745" s="21" t="str">
        <f>VLOOKUP(B745,Sheet3!$B$2:$E$311,2,FALSE)</f>
        <v>#N/A</v>
      </c>
      <c r="D745" s="21" t="str">
        <f>VLOOKUP(B745,Sheet3!$B$2:$E$311,3,)</f>
        <v>#N/A</v>
      </c>
    </row>
    <row r="746" ht="15.75" customHeight="1">
      <c r="B746" s="21"/>
      <c r="C746" s="21" t="str">
        <f>VLOOKUP(B746,Sheet3!$B$2:$E$311,2,FALSE)</f>
        <v>#N/A</v>
      </c>
      <c r="D746" s="21" t="str">
        <f>VLOOKUP(B746,Sheet3!$B$2:$E$311,3,)</f>
        <v>#N/A</v>
      </c>
    </row>
    <row r="747" ht="15.75" customHeight="1">
      <c r="B747" s="21"/>
      <c r="C747" s="21" t="str">
        <f>VLOOKUP(B747,Sheet3!$B$2:$E$311,2,FALSE)</f>
        <v>#N/A</v>
      </c>
      <c r="D747" s="21" t="str">
        <f>VLOOKUP(B747,Sheet3!$B$2:$E$311,3,)</f>
        <v>#N/A</v>
      </c>
    </row>
    <row r="748" ht="15.75" customHeight="1">
      <c r="B748" s="21"/>
      <c r="C748" s="21" t="str">
        <f>VLOOKUP(B748,Sheet3!$B$2:$E$311,2,FALSE)</f>
        <v>#N/A</v>
      </c>
    </row>
    <row r="749" ht="15.75" customHeight="1">
      <c r="B749" s="21"/>
      <c r="C749" s="21" t="str">
        <f>VLOOKUP(B749,Sheet3!$B$2:$E$311,2,FALSE)</f>
        <v>#N/A</v>
      </c>
    </row>
    <row r="750" ht="15.75" customHeight="1">
      <c r="B750" s="21"/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>
      <c r="B754" s="21"/>
    </row>
    <row r="755" ht="15.75" customHeight="1">
      <c r="B755" s="21"/>
    </row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B2:B19 B21:B25 B28:B45 B47:B56 B58:B69 B71:B105 B107:B116 B118:B125 B127:B135 B137:B151 B153:B158 B160:B164 B166:B182 B184:B216 B218:B235 B237:B755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3.14"/>
    <col customWidth="1" min="6" max="6" width="11.86"/>
    <col customWidth="1" min="7" max="7" width="21.0"/>
    <col customWidth="1" min="8" max="8" width="16.71"/>
    <col customWidth="1" min="9" max="9" width="12.0"/>
    <col customWidth="1" min="10" max="26" width="8.71"/>
  </cols>
  <sheetData>
    <row r="1">
      <c r="A1" s="2" t="s">
        <v>2</v>
      </c>
      <c r="B1" s="2" t="s">
        <v>6</v>
      </c>
      <c r="C1" s="2" t="s">
        <v>7</v>
      </c>
      <c r="D1" s="2" t="s">
        <v>8</v>
      </c>
      <c r="E1" s="2"/>
      <c r="F1" s="2" t="s">
        <v>10</v>
      </c>
      <c r="G1" s="2" t="s">
        <v>11</v>
      </c>
      <c r="H1" s="2" t="s">
        <v>12</v>
      </c>
      <c r="I1" s="20" t="s">
        <v>534</v>
      </c>
    </row>
    <row r="2">
      <c r="A2" s="29">
        <v>46027.0</v>
      </c>
      <c r="B2" s="27" t="s">
        <v>34</v>
      </c>
      <c r="C2" s="6" t="str">
        <f>VLOOKUP(B2,Sheet3!$B$2:$E$311,2,FALSE)</f>
        <v>B004</v>
      </c>
      <c r="D2" s="6" t="str">
        <f>VLOOKUP(B2,Sheet3!$B$2:$E$311,3,)</f>
        <v>BAHAN BAKU LUUCA</v>
      </c>
      <c r="E2" s="6" t="str">
        <f>VLOOKUP(B2,Sheet3!$B$2:$E$311,4,)</f>
        <v>GR</v>
      </c>
      <c r="F2" s="28">
        <v>197.0</v>
      </c>
      <c r="G2" s="28" t="s">
        <v>703</v>
      </c>
      <c r="H2" s="28" t="s">
        <v>615</v>
      </c>
      <c r="I2" s="20" t="s">
        <v>671</v>
      </c>
      <c r="J2" s="20" t="s">
        <v>788</v>
      </c>
    </row>
    <row r="3">
      <c r="A3" s="29"/>
      <c r="B3" s="20" t="s">
        <v>570</v>
      </c>
      <c r="C3" s="6" t="str">
        <f>VLOOKUP(B3,Sheet3!$B$2:$E$311,2,FALSE)</f>
        <v>#N/A</v>
      </c>
      <c r="D3" s="27" t="s">
        <v>16</v>
      </c>
      <c r="E3" s="27" t="s">
        <v>746</v>
      </c>
      <c r="F3" s="28" t="s">
        <v>789</v>
      </c>
      <c r="G3" s="28" t="s">
        <v>572</v>
      </c>
      <c r="H3" s="28" t="s">
        <v>541</v>
      </c>
      <c r="I3" s="20" t="s">
        <v>671</v>
      </c>
      <c r="J3" s="20" t="s">
        <v>788</v>
      </c>
    </row>
    <row r="4">
      <c r="A4" s="29"/>
      <c r="B4" s="27" t="s">
        <v>109</v>
      </c>
      <c r="C4" s="6" t="str">
        <f>VLOOKUP(B4,Sheet3!$B$2:$E$311,2,FALSE)</f>
        <v>B004</v>
      </c>
      <c r="D4" s="6" t="str">
        <f>VLOOKUP(B4,Sheet3!$B$2:$E$311,3,)</f>
        <v>BAHAN BAKU LUUCA</v>
      </c>
      <c r="E4" s="6" t="str">
        <f>VLOOKUP(B4,Sheet3!$B$2:$E$311,4,)</f>
        <v>GR</v>
      </c>
      <c r="F4" s="28">
        <v>251.9</v>
      </c>
      <c r="G4" s="28" t="s">
        <v>496</v>
      </c>
      <c r="H4" s="28" t="s">
        <v>541</v>
      </c>
      <c r="I4" s="20" t="s">
        <v>671</v>
      </c>
      <c r="J4" s="20" t="s">
        <v>788</v>
      </c>
    </row>
    <row r="5">
      <c r="A5" s="27"/>
      <c r="B5" s="27" t="s">
        <v>108</v>
      </c>
      <c r="C5" s="6" t="str">
        <f>VLOOKUP(B5,Sheet3!$B$2:$E$311,2,FALSE)</f>
        <v>B004</v>
      </c>
      <c r="D5" s="6" t="str">
        <f>VLOOKUP(B5,Sheet3!$B$2:$E$311,3,)</f>
        <v>BAHAN BAKU LUUCA</v>
      </c>
      <c r="E5" s="6" t="str">
        <f>VLOOKUP(B5,Sheet3!$B$2:$E$311,4,)</f>
        <v>GR</v>
      </c>
      <c r="F5" s="28">
        <v>11.4</v>
      </c>
      <c r="G5" s="28" t="s">
        <v>792</v>
      </c>
      <c r="H5" s="28" t="s">
        <v>541</v>
      </c>
      <c r="I5" s="20" t="s">
        <v>671</v>
      </c>
      <c r="J5" s="20" t="s">
        <v>788</v>
      </c>
    </row>
    <row r="6">
      <c r="A6" s="27"/>
      <c r="B6" s="27" t="s">
        <v>53</v>
      </c>
      <c r="C6" s="6" t="str">
        <f>VLOOKUP(B6,Sheet3!$B$2:$E$311,2,FALSE)</f>
        <v>B004</v>
      </c>
      <c r="D6" s="6" t="str">
        <f>VLOOKUP(B6,Sheet3!$B$2:$E$311,3,)</f>
        <v>BAHAN BAKU LUUCA</v>
      </c>
      <c r="E6" s="6" t="str">
        <f>VLOOKUP(B6,Sheet3!$B$2:$E$311,4,)</f>
        <v>GR</v>
      </c>
      <c r="F6" s="28">
        <v>14.1</v>
      </c>
      <c r="G6" s="28" t="s">
        <v>496</v>
      </c>
      <c r="H6" s="28" t="s">
        <v>541</v>
      </c>
      <c r="I6" s="20" t="s">
        <v>671</v>
      </c>
      <c r="J6" s="20" t="s">
        <v>788</v>
      </c>
    </row>
    <row r="7">
      <c r="A7" s="27"/>
      <c r="B7" s="27" t="s">
        <v>53</v>
      </c>
      <c r="C7" s="6" t="str">
        <f>VLOOKUP(B7,Sheet3!$B$2:$E$311,2,FALSE)</f>
        <v>B004</v>
      </c>
      <c r="D7" s="6" t="str">
        <f>VLOOKUP(B7,Sheet3!$B$2:$E$311,3,)</f>
        <v>BAHAN BAKU LUUCA</v>
      </c>
      <c r="E7" s="6" t="str">
        <f>VLOOKUP(B7,Sheet3!$B$2:$E$311,4,)</f>
        <v>GR</v>
      </c>
      <c r="F7" s="28">
        <v>63.1</v>
      </c>
      <c r="G7" s="28" t="s">
        <v>793</v>
      </c>
      <c r="H7" s="28" t="s">
        <v>541</v>
      </c>
      <c r="I7" s="20" t="s">
        <v>671</v>
      </c>
      <c r="J7" s="20" t="s">
        <v>788</v>
      </c>
    </row>
    <row r="8">
      <c r="A8" s="27"/>
      <c r="B8" s="27" t="s">
        <v>109</v>
      </c>
      <c r="C8" s="6" t="str">
        <f>VLOOKUP(B8,Sheet3!$B$2:$E$311,2,FALSE)</f>
        <v>B004</v>
      </c>
      <c r="D8" s="6" t="str">
        <f>VLOOKUP(B8,Sheet3!$B$2:$E$311,3,)</f>
        <v>BAHAN BAKU LUUCA</v>
      </c>
      <c r="E8" s="6" t="str">
        <f>VLOOKUP(B8,Sheet3!$B$2:$E$311,4,)</f>
        <v>GR</v>
      </c>
      <c r="F8" s="28">
        <v>12.9</v>
      </c>
      <c r="G8" s="28" t="s">
        <v>588</v>
      </c>
      <c r="H8" s="28" t="s">
        <v>541</v>
      </c>
      <c r="I8" s="20" t="s">
        <v>671</v>
      </c>
      <c r="J8" s="20" t="s">
        <v>788</v>
      </c>
    </row>
    <row r="9">
      <c r="A9" s="27"/>
      <c r="B9" s="27" t="s">
        <v>53</v>
      </c>
      <c r="C9" s="6" t="str">
        <f>VLOOKUP(B9,Sheet3!$B$2:$E$311,2,FALSE)</f>
        <v>B004</v>
      </c>
      <c r="D9" s="6" t="str">
        <f>VLOOKUP(B9,Sheet3!$B$2:$E$311,3,)</f>
        <v>BAHAN BAKU LUUCA</v>
      </c>
      <c r="E9" s="6" t="str">
        <f>VLOOKUP(B9,Sheet3!$B$2:$E$311,4,)</f>
        <v>GR</v>
      </c>
      <c r="F9" s="28">
        <v>74.6</v>
      </c>
      <c r="G9" s="28" t="s">
        <v>793</v>
      </c>
      <c r="H9" s="28" t="s">
        <v>541</v>
      </c>
      <c r="I9" s="20" t="s">
        <v>671</v>
      </c>
      <c r="J9" s="20" t="s">
        <v>788</v>
      </c>
    </row>
    <row r="10">
      <c r="A10" s="27"/>
      <c r="B10" s="27" t="s">
        <v>108</v>
      </c>
      <c r="C10" s="6" t="str">
        <f>VLOOKUP(B10,Sheet3!$B$2:$E$311,2,FALSE)</f>
        <v>B004</v>
      </c>
      <c r="D10" s="6" t="str">
        <f>VLOOKUP(B10,Sheet3!$B$2:$E$311,3,)</f>
        <v>BAHAN BAKU LUUCA</v>
      </c>
      <c r="E10" s="6" t="str">
        <f>VLOOKUP(B10,Sheet3!$B$2:$E$311,4,)</f>
        <v>GR</v>
      </c>
      <c r="F10" s="28">
        <v>19.7</v>
      </c>
      <c r="G10" s="28" t="s">
        <v>792</v>
      </c>
      <c r="H10" s="28" t="s">
        <v>522</v>
      </c>
      <c r="I10" s="20" t="s">
        <v>671</v>
      </c>
      <c r="J10" s="20" t="s">
        <v>788</v>
      </c>
    </row>
    <row r="11">
      <c r="A11" s="27"/>
      <c r="B11" s="27" t="s">
        <v>109</v>
      </c>
      <c r="C11" s="6" t="str">
        <f>VLOOKUP(B11,Sheet3!$B$2:$E$311,2,FALSE)</f>
        <v>B004</v>
      </c>
      <c r="D11" s="6" t="str">
        <f>VLOOKUP(B11,Sheet3!$B$2:$E$311,3,)</f>
        <v>BAHAN BAKU LUUCA</v>
      </c>
      <c r="E11" s="6" t="str">
        <f>VLOOKUP(B11,Sheet3!$B$2:$E$311,4,)</f>
        <v>GR</v>
      </c>
      <c r="F11" s="28">
        <v>8.6</v>
      </c>
      <c r="G11" s="28" t="s">
        <v>588</v>
      </c>
      <c r="H11" s="28" t="s">
        <v>522</v>
      </c>
      <c r="I11" s="20" t="s">
        <v>671</v>
      </c>
      <c r="J11" s="20" t="s">
        <v>788</v>
      </c>
    </row>
    <row r="12">
      <c r="A12" s="29"/>
      <c r="B12" s="27" t="s">
        <v>109</v>
      </c>
      <c r="C12" s="6" t="str">
        <f>VLOOKUP(B12,Sheet3!$B$2:$E$311,2,FALSE)</f>
        <v>B004</v>
      </c>
      <c r="D12" s="6" t="str">
        <f>VLOOKUP(B12,Sheet3!$B$2:$E$311,3,)</f>
        <v>BAHAN BAKU LUUCA</v>
      </c>
      <c r="E12" s="6" t="str">
        <f>VLOOKUP(B12,Sheet3!$B$2:$E$311,4,)</f>
        <v>GR</v>
      </c>
      <c r="F12" s="28">
        <v>88.4</v>
      </c>
      <c r="G12" s="28" t="s">
        <v>496</v>
      </c>
      <c r="H12" s="28" t="s">
        <v>522</v>
      </c>
      <c r="I12" s="20" t="s">
        <v>671</v>
      </c>
      <c r="J12" s="20" t="s">
        <v>788</v>
      </c>
    </row>
    <row r="13">
      <c r="A13" s="29"/>
      <c r="B13" s="27" t="s">
        <v>34</v>
      </c>
      <c r="C13" s="6" t="str">
        <f>VLOOKUP(B13,Sheet3!$B$2:$E$311,2,FALSE)</f>
        <v>B004</v>
      </c>
      <c r="D13" s="6" t="str">
        <f>VLOOKUP(B13,Sheet3!$B$2:$E$311,3,)</f>
        <v>BAHAN BAKU LUUCA</v>
      </c>
      <c r="E13" s="6" t="str">
        <f>VLOOKUP(B13,Sheet3!$B$2:$E$311,4,)</f>
        <v>GR</v>
      </c>
      <c r="F13" s="28">
        <v>1219.0</v>
      </c>
      <c r="G13" s="28" t="s">
        <v>703</v>
      </c>
      <c r="H13" s="28" t="s">
        <v>522</v>
      </c>
      <c r="I13" s="20" t="s">
        <v>671</v>
      </c>
      <c r="J13" s="20" t="s">
        <v>788</v>
      </c>
    </row>
    <row r="14">
      <c r="A14" s="29"/>
      <c r="B14" s="27" t="s">
        <v>108</v>
      </c>
      <c r="C14" s="6" t="str">
        <f>VLOOKUP(B14,Sheet3!$B$2:$E$311,2,FALSE)</f>
        <v>B004</v>
      </c>
      <c r="D14" s="6" t="str">
        <f>VLOOKUP(B14,Sheet3!$B$2:$E$311,3,)</f>
        <v>BAHAN BAKU LUUCA</v>
      </c>
      <c r="E14" s="6" t="str">
        <f>VLOOKUP(B14,Sheet3!$B$2:$E$311,4,)</f>
        <v>GR</v>
      </c>
      <c r="F14" s="28">
        <v>181.7</v>
      </c>
      <c r="G14" s="28" t="s">
        <v>496</v>
      </c>
      <c r="H14" s="28" t="s">
        <v>522</v>
      </c>
      <c r="I14" s="20" t="s">
        <v>671</v>
      </c>
      <c r="J14" s="20" t="s">
        <v>788</v>
      </c>
    </row>
    <row r="15">
      <c r="A15" s="29"/>
      <c r="B15" s="27" t="s">
        <v>108</v>
      </c>
      <c r="C15" s="6" t="str">
        <f>VLOOKUP(B15,Sheet3!$B$2:$E$311,2,FALSE)</f>
        <v>B004</v>
      </c>
      <c r="D15" s="6" t="str">
        <f>VLOOKUP(B15,Sheet3!$B$2:$E$311,3,)</f>
        <v>BAHAN BAKU LUUCA</v>
      </c>
      <c r="E15" s="6" t="str">
        <f>VLOOKUP(B15,Sheet3!$B$2:$E$311,4,)</f>
        <v>GR</v>
      </c>
      <c r="F15" s="28">
        <v>167.3</v>
      </c>
      <c r="G15" s="28" t="s">
        <v>496</v>
      </c>
      <c r="H15" s="28" t="s">
        <v>522</v>
      </c>
      <c r="I15" s="20" t="s">
        <v>671</v>
      </c>
      <c r="J15" s="20" t="s">
        <v>788</v>
      </c>
    </row>
    <row r="16">
      <c r="A16" s="29"/>
      <c r="B16" s="27" t="s">
        <v>108</v>
      </c>
      <c r="C16" s="6" t="str">
        <f>VLOOKUP(B16,Sheet3!$B$2:$E$311,2,FALSE)</f>
        <v>B004</v>
      </c>
      <c r="D16" s="6" t="str">
        <f>VLOOKUP(B16,Sheet3!$B$2:$E$311,3,)</f>
        <v>BAHAN BAKU LUUCA</v>
      </c>
      <c r="E16" s="6" t="str">
        <f>VLOOKUP(B16,Sheet3!$B$2:$E$311,4,)</f>
        <v>GR</v>
      </c>
      <c r="F16" s="28">
        <v>30.6</v>
      </c>
      <c r="G16" s="28" t="s">
        <v>792</v>
      </c>
      <c r="H16" s="28" t="s">
        <v>522</v>
      </c>
      <c r="I16" s="20" t="s">
        <v>671</v>
      </c>
      <c r="J16" s="20" t="s">
        <v>788</v>
      </c>
    </row>
    <row r="17">
      <c r="A17" s="45">
        <v>46058.0</v>
      </c>
      <c r="B17" s="27" t="s">
        <v>34</v>
      </c>
      <c r="C17" s="6" t="str">
        <f>VLOOKUP(B17,Sheet3!$B$2:$E$311,2,FALSE)</f>
        <v>B004</v>
      </c>
      <c r="D17" s="6" t="str">
        <f>VLOOKUP(B17,Sheet3!$B$2:$E$311,3,)</f>
        <v>BAHAN BAKU LUUCA</v>
      </c>
      <c r="E17" s="6" t="str">
        <f>VLOOKUP(B17,Sheet3!$B$2:$E$311,4,)</f>
        <v>GR</v>
      </c>
      <c r="F17" s="28">
        <v>483.5</v>
      </c>
      <c r="G17" s="28" t="s">
        <v>703</v>
      </c>
      <c r="H17" s="28" t="s">
        <v>541</v>
      </c>
      <c r="I17" s="20" t="s">
        <v>671</v>
      </c>
      <c r="J17" s="20" t="s">
        <v>788</v>
      </c>
    </row>
    <row r="18">
      <c r="A18" s="29"/>
      <c r="B18" s="27" t="s">
        <v>33</v>
      </c>
      <c r="C18" s="6" t="str">
        <f>VLOOKUP(B18,Sheet3!$B$2:$E$311,2,FALSE)</f>
        <v>B004</v>
      </c>
      <c r="D18" s="6" t="str">
        <f>VLOOKUP(B18,Sheet3!$B$2:$E$311,3,)</f>
        <v>BAHAN BAKU LUUCA</v>
      </c>
      <c r="E18" s="6" t="str">
        <f>VLOOKUP(B18,Sheet3!$B$2:$E$311,4,)</f>
        <v>GR</v>
      </c>
      <c r="F18" s="28">
        <v>944.0</v>
      </c>
      <c r="G18" s="28" t="s">
        <v>703</v>
      </c>
      <c r="H18" s="28" t="s">
        <v>541</v>
      </c>
      <c r="I18" s="20" t="s">
        <v>671</v>
      </c>
      <c r="J18" s="20" t="s">
        <v>788</v>
      </c>
    </row>
    <row r="19">
      <c r="A19" s="29"/>
      <c r="B19" s="27" t="s">
        <v>570</v>
      </c>
      <c r="C19" s="6" t="str">
        <f>VLOOKUP(B19,Sheet3!$B$2:$E$311,2,FALSE)</f>
        <v>#N/A</v>
      </c>
      <c r="D19" s="27" t="s">
        <v>16</v>
      </c>
      <c r="E19" s="27" t="s">
        <v>746</v>
      </c>
      <c r="F19" s="28" t="s">
        <v>800</v>
      </c>
      <c r="G19" s="46" t="s">
        <v>572</v>
      </c>
      <c r="H19" s="28" t="s">
        <v>615</v>
      </c>
      <c r="I19" s="20" t="s">
        <v>671</v>
      </c>
      <c r="J19" s="20" t="s">
        <v>788</v>
      </c>
    </row>
    <row r="20">
      <c r="A20" s="29"/>
      <c r="B20" s="27" t="s">
        <v>30</v>
      </c>
      <c r="C20" s="6" t="str">
        <f>VLOOKUP(B20,Sheet3!$B$2:$E$311,2,FALSE)</f>
        <v>B004</v>
      </c>
      <c r="D20" s="6" t="str">
        <f>VLOOKUP(B20,Sheet3!$B$2:$E$311,3,)</f>
        <v>BAHAN BAKU LUUCA</v>
      </c>
      <c r="E20" s="6" t="str">
        <f>VLOOKUP(B20,Sheet3!$B$2:$E$311,4,)</f>
        <v>GR</v>
      </c>
      <c r="F20" s="28">
        <v>2.0</v>
      </c>
      <c r="G20" s="46" t="s">
        <v>801</v>
      </c>
      <c r="H20" s="28" t="s">
        <v>615</v>
      </c>
      <c r="I20" s="20" t="s">
        <v>671</v>
      </c>
      <c r="J20" s="20" t="s">
        <v>788</v>
      </c>
    </row>
    <row r="21" ht="15.75" customHeight="1">
      <c r="A21" s="29"/>
      <c r="B21" s="27" t="s">
        <v>108</v>
      </c>
      <c r="C21" s="6" t="str">
        <f>VLOOKUP(B21,Sheet3!$B$2:$E$311,2,FALSE)</f>
        <v>B004</v>
      </c>
      <c r="D21" s="6" t="str">
        <f>VLOOKUP(B21,Sheet3!$B$2:$E$311,3,)</f>
        <v>BAHAN BAKU LUUCA</v>
      </c>
      <c r="E21" s="6" t="str">
        <f>VLOOKUP(B21,Sheet3!$B$2:$E$311,4,)</f>
        <v>GR</v>
      </c>
      <c r="F21" s="28">
        <v>316.0</v>
      </c>
      <c r="G21" s="28" t="s">
        <v>496</v>
      </c>
      <c r="H21" s="28" t="s">
        <v>522</v>
      </c>
      <c r="I21" s="20" t="s">
        <v>671</v>
      </c>
      <c r="J21" s="20" t="s">
        <v>788</v>
      </c>
    </row>
    <row r="22" ht="15.75" customHeight="1">
      <c r="A22" s="29"/>
      <c r="B22" s="27" t="s">
        <v>53</v>
      </c>
      <c r="C22" s="6" t="str">
        <f>VLOOKUP(B22,Sheet3!$B$2:$E$311,2,FALSE)</f>
        <v>B004</v>
      </c>
      <c r="D22" s="6" t="str">
        <f>VLOOKUP(B22,Sheet3!$B$2:$E$311,3,)</f>
        <v>BAHAN BAKU LUUCA</v>
      </c>
      <c r="E22" s="6" t="str">
        <f>VLOOKUP(B22,Sheet3!$B$2:$E$311,4,)</f>
        <v>GR</v>
      </c>
      <c r="F22" s="28">
        <v>49.5</v>
      </c>
      <c r="G22" s="28" t="s">
        <v>793</v>
      </c>
      <c r="H22" s="28" t="s">
        <v>615</v>
      </c>
      <c r="I22" s="20" t="s">
        <v>671</v>
      </c>
      <c r="J22" s="20" t="s">
        <v>788</v>
      </c>
    </row>
    <row r="23" ht="15.75" customHeight="1">
      <c r="A23" s="29"/>
      <c r="B23" s="27" t="s">
        <v>108</v>
      </c>
      <c r="C23" s="6" t="str">
        <f>VLOOKUP(B23,Sheet3!$B$2:$E$311,2,FALSE)</f>
        <v>B004</v>
      </c>
      <c r="D23" s="6" t="str">
        <f>VLOOKUP(B23,Sheet3!$B$2:$E$311,3,)</f>
        <v>BAHAN BAKU LUUCA</v>
      </c>
      <c r="E23" s="6" t="str">
        <f>VLOOKUP(B23,Sheet3!$B$2:$E$311,4,)</f>
        <v>GR</v>
      </c>
      <c r="F23" s="28">
        <v>13.5</v>
      </c>
      <c r="G23" s="28" t="s">
        <v>792</v>
      </c>
      <c r="H23" s="28" t="s">
        <v>615</v>
      </c>
      <c r="I23" s="20" t="s">
        <v>671</v>
      </c>
      <c r="J23" s="20" t="s">
        <v>788</v>
      </c>
    </row>
    <row r="24" ht="15.75" customHeight="1">
      <c r="A24" s="29"/>
      <c r="B24" s="27" t="s">
        <v>34</v>
      </c>
      <c r="C24" s="6" t="str">
        <f>VLOOKUP(B24,Sheet3!$B$2:$E$311,2,FALSE)</f>
        <v>B004</v>
      </c>
      <c r="D24" s="6" t="str">
        <f>VLOOKUP(B24,Sheet3!$B$2:$E$311,3,)</f>
        <v>BAHAN BAKU LUUCA</v>
      </c>
      <c r="E24" s="6" t="str">
        <f>VLOOKUP(B24,Sheet3!$B$2:$E$311,4,)</f>
        <v>GR</v>
      </c>
      <c r="F24" s="28">
        <v>303.0</v>
      </c>
      <c r="G24" s="28" t="s">
        <v>703</v>
      </c>
      <c r="H24" s="28" t="s">
        <v>615</v>
      </c>
      <c r="I24" s="20" t="s">
        <v>671</v>
      </c>
      <c r="J24" s="20" t="s">
        <v>788</v>
      </c>
    </row>
    <row r="25" ht="15.75" customHeight="1">
      <c r="A25" s="29">
        <v>46145.0</v>
      </c>
      <c r="B25" s="27" t="s">
        <v>33</v>
      </c>
      <c r="C25" s="6" t="str">
        <f>VLOOKUP(B25,Sheet3!$B$2:$E$311,2,FALSE)</f>
        <v>B004</v>
      </c>
      <c r="D25" s="6" t="str">
        <f>VLOOKUP(B25,Sheet3!$B$2:$E$311,3,)</f>
        <v>BAHAN BAKU LUUCA</v>
      </c>
      <c r="E25" s="6" t="str">
        <f>VLOOKUP(B25,Sheet3!$B$2:$E$311,4,)</f>
        <v>GR</v>
      </c>
      <c r="F25" s="28">
        <v>333.0</v>
      </c>
      <c r="G25" s="28" t="s">
        <v>703</v>
      </c>
      <c r="H25" s="28" t="s">
        <v>615</v>
      </c>
      <c r="I25" s="20" t="s">
        <v>661</v>
      </c>
      <c r="J25" s="20" t="s">
        <v>803</v>
      </c>
    </row>
    <row r="26" ht="15.75" customHeight="1">
      <c r="A26" s="29"/>
      <c r="B26" s="27" t="s">
        <v>108</v>
      </c>
      <c r="C26" s="6" t="str">
        <f>VLOOKUP(B26,Sheet3!$B$2:$E$311,2,FALSE)</f>
        <v>B004</v>
      </c>
      <c r="D26" s="6" t="str">
        <f>VLOOKUP(B26,Sheet3!$B$2:$E$311,3,)</f>
        <v>BAHAN BAKU LUUCA</v>
      </c>
      <c r="E26" s="6" t="str">
        <f>VLOOKUP(B26,Sheet3!$B$2:$E$311,4,)</f>
        <v>GR</v>
      </c>
      <c r="F26" s="46" t="s">
        <v>634</v>
      </c>
      <c r="G26" s="46" t="s">
        <v>804</v>
      </c>
      <c r="H26" s="28" t="s">
        <v>615</v>
      </c>
      <c r="I26" s="20" t="s">
        <v>661</v>
      </c>
      <c r="J26" s="20" t="s">
        <v>803</v>
      </c>
    </row>
    <row r="27" ht="15.75" customHeight="1">
      <c r="A27" s="31"/>
      <c r="B27" s="27" t="s">
        <v>53</v>
      </c>
      <c r="C27" s="6" t="str">
        <f>VLOOKUP(B27,Sheet3!$B$2:$E$311,2,FALSE)</f>
        <v>B004</v>
      </c>
      <c r="D27" s="6" t="str">
        <f>VLOOKUP(B27,Sheet3!$B$2:$E$311,3,)</f>
        <v>BAHAN BAKU LUUCA</v>
      </c>
      <c r="E27" s="6" t="str">
        <f>VLOOKUP(B27,Sheet3!$B$2:$E$311,4,)</f>
        <v>GR</v>
      </c>
      <c r="F27" s="46" t="s">
        <v>805</v>
      </c>
      <c r="G27" s="46" t="s">
        <v>793</v>
      </c>
      <c r="H27" s="28" t="s">
        <v>615</v>
      </c>
      <c r="I27" s="20" t="s">
        <v>661</v>
      </c>
      <c r="J27" s="20" t="s">
        <v>803</v>
      </c>
    </row>
    <row r="28" ht="15.75" customHeight="1">
      <c r="A28" s="36">
        <v>46146.0</v>
      </c>
      <c r="B28" s="27" t="s">
        <v>53</v>
      </c>
      <c r="C28" s="6" t="str">
        <f>VLOOKUP(B28,Sheet3!$B$2:$E$311,2,FALSE)</f>
        <v>B004</v>
      </c>
      <c r="D28" s="6" t="str">
        <f>VLOOKUP(B28,Sheet3!$B$2:$E$311,3,)</f>
        <v>BAHAN BAKU LUUCA</v>
      </c>
      <c r="E28" s="6" t="str">
        <f>VLOOKUP(B28,Sheet3!$B$2:$E$311,4,)</f>
        <v>GR</v>
      </c>
      <c r="F28" s="28" t="s">
        <v>807</v>
      </c>
      <c r="G28" s="28" t="s">
        <v>496</v>
      </c>
      <c r="H28" s="28" t="s">
        <v>541</v>
      </c>
      <c r="I28" s="20" t="s">
        <v>661</v>
      </c>
      <c r="J28" s="20" t="s">
        <v>803</v>
      </c>
    </row>
    <row r="29" ht="15.75" customHeight="1">
      <c r="A29" s="36"/>
      <c r="B29" s="27" t="s">
        <v>34</v>
      </c>
      <c r="C29" s="6" t="str">
        <f>VLOOKUP(B29,Sheet3!$B$2:$E$311,2,FALSE)</f>
        <v>B004</v>
      </c>
      <c r="D29" s="6" t="str">
        <f>VLOOKUP(B29,Sheet3!$B$2:$E$311,3,)</f>
        <v>BAHAN BAKU LUUCA</v>
      </c>
      <c r="E29" s="6" t="str">
        <f>VLOOKUP(B29,Sheet3!$B$2:$E$311,4,)</f>
        <v>GR</v>
      </c>
      <c r="F29" s="28">
        <v>1530.0</v>
      </c>
      <c r="G29" s="28" t="s">
        <v>703</v>
      </c>
      <c r="H29" s="28" t="s">
        <v>522</v>
      </c>
      <c r="I29" s="20" t="s">
        <v>661</v>
      </c>
      <c r="J29" s="20" t="s">
        <v>803</v>
      </c>
    </row>
    <row r="30" ht="15.75" customHeight="1">
      <c r="A30" s="36"/>
      <c r="B30" s="27" t="s">
        <v>33</v>
      </c>
      <c r="C30" s="6" t="str">
        <f>VLOOKUP(B30,Sheet3!$B$2:$E$311,2,FALSE)</f>
        <v>B004</v>
      </c>
      <c r="D30" s="6" t="str">
        <f>VLOOKUP(B30,Sheet3!$B$2:$E$311,3,)</f>
        <v>BAHAN BAKU LUUCA</v>
      </c>
      <c r="E30" s="6" t="str">
        <f>VLOOKUP(B30,Sheet3!$B$2:$E$311,4,)</f>
        <v>GR</v>
      </c>
      <c r="F30" s="28">
        <v>1402.0</v>
      </c>
      <c r="G30" s="28" t="s">
        <v>703</v>
      </c>
      <c r="H30" s="28" t="s">
        <v>522</v>
      </c>
      <c r="I30" s="20" t="s">
        <v>661</v>
      </c>
      <c r="J30" s="20" t="s">
        <v>803</v>
      </c>
    </row>
    <row r="31" ht="15.75" customHeight="1">
      <c r="A31" s="36"/>
      <c r="B31" s="27" t="s">
        <v>38</v>
      </c>
      <c r="C31" s="6" t="str">
        <f>VLOOKUP(B31,Sheet3!$B$2:$E$311,2,FALSE)</f>
        <v>P005</v>
      </c>
      <c r="D31" s="6" t="str">
        <f>VLOOKUP(B31,Sheet3!$B$2:$E$311,3,)</f>
        <v>PACKAGING LUUCA</v>
      </c>
      <c r="E31" s="6" t="str">
        <f>VLOOKUP(B31,Sheet3!$B$2:$E$311,4,)</f>
        <v>PCS</v>
      </c>
      <c r="F31" s="28">
        <v>2.0</v>
      </c>
      <c r="G31" s="28" t="s">
        <v>808</v>
      </c>
      <c r="H31" s="28" t="s">
        <v>522</v>
      </c>
      <c r="I31" s="20" t="s">
        <v>661</v>
      </c>
      <c r="J31" s="20" t="s">
        <v>803</v>
      </c>
    </row>
    <row r="32" ht="15.75" customHeight="1">
      <c r="A32" s="36">
        <v>46147.0</v>
      </c>
      <c r="B32" s="27" t="s">
        <v>109</v>
      </c>
      <c r="C32" s="6" t="str">
        <f>VLOOKUP(B32,Sheet3!$B$2:$E$311,2,FALSE)</f>
        <v>B004</v>
      </c>
      <c r="D32" s="6" t="str">
        <f>VLOOKUP(B32,Sheet3!$B$2:$E$311,3,)</f>
        <v>BAHAN BAKU LUUCA</v>
      </c>
      <c r="E32" s="6" t="str">
        <f>VLOOKUP(B32,Sheet3!$B$2:$E$311,4,)</f>
        <v>GR</v>
      </c>
      <c r="F32" s="28" t="s">
        <v>605</v>
      </c>
      <c r="G32" s="28" t="s">
        <v>588</v>
      </c>
      <c r="H32" s="28" t="s">
        <v>522</v>
      </c>
      <c r="I32" s="20" t="s">
        <v>661</v>
      </c>
      <c r="J32" s="20" t="s">
        <v>803</v>
      </c>
    </row>
    <row r="33" ht="15.75" customHeight="1">
      <c r="A33" s="36"/>
      <c r="B33" s="18" t="s">
        <v>809</v>
      </c>
      <c r="C33" s="6" t="str">
        <f>VLOOKUP(B33,Sheet3!$B$2:$E$311,2,FALSE)</f>
        <v>#N/A</v>
      </c>
      <c r="D33" s="27" t="s">
        <v>16</v>
      </c>
      <c r="E33" s="18" t="s">
        <v>17</v>
      </c>
      <c r="F33" s="28" t="s">
        <v>810</v>
      </c>
      <c r="G33" s="28" t="s">
        <v>540</v>
      </c>
      <c r="H33" s="28" t="s">
        <v>522</v>
      </c>
      <c r="I33" s="20" t="s">
        <v>661</v>
      </c>
      <c r="J33" s="20" t="s">
        <v>803</v>
      </c>
    </row>
    <row r="34" ht="15.75" customHeight="1">
      <c r="A34" s="36"/>
      <c r="B34" s="18" t="s">
        <v>811</v>
      </c>
      <c r="C34" s="6" t="str">
        <f>VLOOKUP(B34,Sheet3!$B$2:$E$311,2,FALSE)</f>
        <v>#N/A</v>
      </c>
      <c r="D34" s="27" t="s">
        <v>16</v>
      </c>
      <c r="E34" s="18" t="s">
        <v>17</v>
      </c>
      <c r="F34" s="28" t="s">
        <v>812</v>
      </c>
      <c r="G34" s="28" t="s">
        <v>526</v>
      </c>
      <c r="H34" s="28" t="s">
        <v>522</v>
      </c>
      <c r="I34" s="20" t="s">
        <v>661</v>
      </c>
      <c r="J34" s="20" t="s">
        <v>803</v>
      </c>
    </row>
    <row r="35" ht="15.75" customHeight="1">
      <c r="A35" s="36">
        <v>45843.0</v>
      </c>
      <c r="B35" s="27" t="s">
        <v>108</v>
      </c>
      <c r="C35" s="6" t="str">
        <f>VLOOKUP(B35,Sheet3!$B$2:$E$311,2,FALSE)</f>
        <v>B004</v>
      </c>
      <c r="D35" s="6" t="str">
        <f>VLOOKUP(B35,Sheet3!$B$2:$E$311,3,)</f>
        <v>BAHAN BAKU LUUCA</v>
      </c>
      <c r="E35" s="6" t="str">
        <f>VLOOKUP(B35,Sheet3!$B$2:$E$311,4,)</f>
        <v>GR</v>
      </c>
      <c r="F35" s="28" t="s">
        <v>814</v>
      </c>
      <c r="G35" s="28" t="s">
        <v>792</v>
      </c>
      <c r="H35" s="28" t="s">
        <v>629</v>
      </c>
      <c r="I35" s="20" t="s">
        <v>661</v>
      </c>
      <c r="J35" s="20" t="s">
        <v>803</v>
      </c>
    </row>
    <row r="36" ht="15.75" customHeight="1">
      <c r="A36" s="36"/>
      <c r="B36" s="27" t="s">
        <v>53</v>
      </c>
      <c r="C36" s="6" t="str">
        <f>VLOOKUP(B36,Sheet3!$B$2:$E$311,2,FALSE)</f>
        <v>B004</v>
      </c>
      <c r="D36" s="6" t="str">
        <f>VLOOKUP(B36,Sheet3!$B$2:$E$311,3,)</f>
        <v>BAHAN BAKU LUUCA</v>
      </c>
      <c r="E36" s="6" t="str">
        <f>VLOOKUP(B36,Sheet3!$B$2:$E$311,4,)</f>
        <v>GR</v>
      </c>
      <c r="F36" s="28" t="s">
        <v>815</v>
      </c>
      <c r="G36" s="28" t="s">
        <v>793</v>
      </c>
      <c r="H36" s="28" t="s">
        <v>561</v>
      </c>
      <c r="I36" s="20" t="s">
        <v>661</v>
      </c>
      <c r="J36" s="20" t="s">
        <v>803</v>
      </c>
    </row>
    <row r="37" ht="15.75" customHeight="1">
      <c r="A37" s="36"/>
      <c r="B37" s="27" t="s">
        <v>34</v>
      </c>
      <c r="C37" s="6" t="str">
        <f>VLOOKUP(B37,Sheet3!$B$2:$E$311,2,FALSE)</f>
        <v>B004</v>
      </c>
      <c r="D37" s="6" t="str">
        <f>VLOOKUP(B37,Sheet3!$B$2:$E$311,3,)</f>
        <v>BAHAN BAKU LUUCA</v>
      </c>
      <c r="E37" s="6" t="str">
        <f>VLOOKUP(B37,Sheet3!$B$2:$E$311,4,)</f>
        <v>GR</v>
      </c>
      <c r="F37" s="28">
        <v>589.0</v>
      </c>
      <c r="G37" s="28" t="s">
        <v>703</v>
      </c>
      <c r="H37" s="28" t="s">
        <v>595</v>
      </c>
      <c r="I37" s="20" t="s">
        <v>661</v>
      </c>
      <c r="J37" s="20" t="s">
        <v>803</v>
      </c>
    </row>
    <row r="38" ht="15.75" customHeight="1">
      <c r="A38" s="36"/>
      <c r="B38" s="18" t="s">
        <v>570</v>
      </c>
      <c r="C38" s="36"/>
      <c r="D38" s="27" t="s">
        <v>16</v>
      </c>
      <c r="E38" s="20" t="s">
        <v>816</v>
      </c>
      <c r="F38" s="28" t="s">
        <v>817</v>
      </c>
      <c r="G38" s="28" t="s">
        <v>572</v>
      </c>
      <c r="H38" s="28" t="s">
        <v>541</v>
      </c>
      <c r="I38" s="20" t="s">
        <v>661</v>
      </c>
      <c r="J38" s="20" t="s">
        <v>803</v>
      </c>
    </row>
    <row r="39" ht="15.75" customHeight="1">
      <c r="A39" s="36"/>
      <c r="B39" s="27" t="s">
        <v>33</v>
      </c>
      <c r="C39" s="6" t="str">
        <f>VLOOKUP(B39,Sheet3!$B$2:$E$311,2,FALSE)</f>
        <v>B004</v>
      </c>
      <c r="D39" s="6" t="str">
        <f>VLOOKUP(B39,Sheet3!$B$2:$E$311,3,)</f>
        <v>BAHAN BAKU LUUCA</v>
      </c>
      <c r="E39" s="6" t="str">
        <f>VLOOKUP(B39,Sheet3!$B$2:$E$311,4,)</f>
        <v>GR</v>
      </c>
      <c r="F39" s="28">
        <v>1162.0</v>
      </c>
      <c r="G39" s="28" t="s">
        <v>703</v>
      </c>
      <c r="H39" s="28" t="s">
        <v>522</v>
      </c>
      <c r="I39" s="20" t="s">
        <v>661</v>
      </c>
      <c r="J39" s="20" t="s">
        <v>803</v>
      </c>
    </row>
    <row r="40" ht="15.75" customHeight="1">
      <c r="A40" s="36">
        <v>46239.0</v>
      </c>
      <c r="B40" s="27" t="s">
        <v>109</v>
      </c>
      <c r="C40" s="6" t="str">
        <f>VLOOKUP(B40,Sheet3!$B$2:$E$311,2,FALSE)</f>
        <v>B004</v>
      </c>
      <c r="D40" s="6" t="str">
        <f>VLOOKUP(B40,Sheet3!$B$2:$E$311,3,)</f>
        <v>BAHAN BAKU LUUCA</v>
      </c>
      <c r="E40" s="6" t="str">
        <f>VLOOKUP(B40,Sheet3!$B$2:$E$311,4,)</f>
        <v>GR</v>
      </c>
      <c r="F40" s="28" t="s">
        <v>820</v>
      </c>
      <c r="G40" s="28" t="s">
        <v>496</v>
      </c>
      <c r="H40" s="28" t="s">
        <v>522</v>
      </c>
      <c r="I40" s="20" t="s">
        <v>661</v>
      </c>
      <c r="J40" s="20" t="s">
        <v>803</v>
      </c>
    </row>
    <row r="41" ht="15.75" customHeight="1">
      <c r="A41" s="36"/>
      <c r="B41" s="27" t="s">
        <v>108</v>
      </c>
      <c r="C41" s="6" t="str">
        <f>VLOOKUP(B41,Sheet3!$B$2:$E$311,2,FALSE)</f>
        <v>B004</v>
      </c>
      <c r="D41" s="6" t="str">
        <f>VLOOKUP(B41,Sheet3!$B$2:$E$311,3,)</f>
        <v>BAHAN BAKU LUUCA</v>
      </c>
      <c r="E41" s="6" t="str">
        <f>VLOOKUP(B41,Sheet3!$B$2:$E$311,4,)</f>
        <v>GR</v>
      </c>
      <c r="F41" s="28" t="s">
        <v>821</v>
      </c>
      <c r="G41" s="28" t="s">
        <v>822</v>
      </c>
      <c r="H41" s="28" t="s">
        <v>522</v>
      </c>
      <c r="I41" s="20" t="s">
        <v>661</v>
      </c>
      <c r="J41" s="20" t="s">
        <v>803</v>
      </c>
    </row>
    <row r="42" ht="15.75" customHeight="1">
      <c r="A42" s="36"/>
      <c r="B42" s="27" t="s">
        <v>53</v>
      </c>
      <c r="C42" s="6" t="str">
        <f>VLOOKUP(B42,Sheet3!$B$2:$E$311,2,FALSE)</f>
        <v>B004</v>
      </c>
      <c r="D42" s="6" t="str">
        <f>VLOOKUP(B42,Sheet3!$B$2:$E$311,3,)</f>
        <v>BAHAN BAKU LUUCA</v>
      </c>
      <c r="E42" s="6" t="str">
        <f>VLOOKUP(B42,Sheet3!$B$2:$E$311,4,)</f>
        <v>GR</v>
      </c>
      <c r="F42" s="28" t="s">
        <v>823</v>
      </c>
      <c r="G42" s="28" t="s">
        <v>824</v>
      </c>
      <c r="H42" s="28" t="s">
        <v>522</v>
      </c>
      <c r="I42" s="20" t="s">
        <v>661</v>
      </c>
      <c r="J42" s="20" t="s">
        <v>803</v>
      </c>
    </row>
    <row r="43" ht="15.75" customHeight="1">
      <c r="A43" s="36"/>
      <c r="B43" s="27" t="s">
        <v>109</v>
      </c>
      <c r="C43" s="6" t="str">
        <f>VLOOKUP(B43,Sheet3!$B$2:$E$311,2,FALSE)</f>
        <v>B004</v>
      </c>
      <c r="D43" s="6" t="str">
        <f>VLOOKUP(B43,Sheet3!$B$2:$E$311,3,)</f>
        <v>BAHAN BAKU LUUCA</v>
      </c>
      <c r="E43" s="6" t="str">
        <f>VLOOKUP(B43,Sheet3!$B$2:$E$311,4,)</f>
        <v>GR</v>
      </c>
      <c r="F43" s="28" t="s">
        <v>603</v>
      </c>
      <c r="G43" s="28" t="s">
        <v>588</v>
      </c>
      <c r="H43" s="28" t="s">
        <v>522</v>
      </c>
      <c r="I43" s="20" t="s">
        <v>661</v>
      </c>
      <c r="J43" s="20" t="s">
        <v>803</v>
      </c>
    </row>
    <row r="44" ht="15.75" customHeight="1">
      <c r="A44" s="36"/>
      <c r="B44" s="27" t="s">
        <v>108</v>
      </c>
      <c r="C44" s="6" t="str">
        <f>VLOOKUP(B44,Sheet3!$B$2:$E$311,2,FALSE)</f>
        <v>B004</v>
      </c>
      <c r="D44" s="6" t="str">
        <f>VLOOKUP(B44,Sheet3!$B$2:$E$311,3,)</f>
        <v>BAHAN BAKU LUUCA</v>
      </c>
      <c r="E44" s="6" t="str">
        <f>VLOOKUP(B44,Sheet3!$B$2:$E$311,4,)</f>
        <v>GR</v>
      </c>
      <c r="F44" s="28" t="s">
        <v>827</v>
      </c>
      <c r="G44" s="28" t="s">
        <v>792</v>
      </c>
      <c r="H44" s="28" t="s">
        <v>561</v>
      </c>
      <c r="I44" s="20" t="s">
        <v>661</v>
      </c>
      <c r="J44" s="20" t="s">
        <v>803</v>
      </c>
    </row>
    <row r="45" ht="15.75" customHeight="1">
      <c r="A45" s="36">
        <v>46151.0</v>
      </c>
      <c r="B45" s="18" t="s">
        <v>570</v>
      </c>
      <c r="C45" s="6" t="str">
        <f>VLOOKUP(B45,Sheet3!$B$2:$E$311,2,FALSE)</f>
        <v>#N/A</v>
      </c>
      <c r="D45" s="27" t="s">
        <v>16</v>
      </c>
      <c r="E45" s="27" t="s">
        <v>746</v>
      </c>
      <c r="F45" s="28" t="s">
        <v>799</v>
      </c>
      <c r="G45" s="28" t="s">
        <v>572</v>
      </c>
      <c r="H45" s="28" t="s">
        <v>541</v>
      </c>
      <c r="I45" s="20" t="s">
        <v>661</v>
      </c>
      <c r="J45" s="20" t="s">
        <v>803</v>
      </c>
    </row>
    <row r="46" ht="15.75" customHeight="1">
      <c r="A46" s="36"/>
      <c r="B46" s="27" t="s">
        <v>108</v>
      </c>
      <c r="C46" s="6" t="str">
        <f>VLOOKUP(B46,Sheet3!$B$2:$E$311,2,FALSE)</f>
        <v>B004</v>
      </c>
      <c r="D46" s="6" t="str">
        <f>VLOOKUP(B46,Sheet3!$B$2:$E$311,3,)</f>
        <v>BAHAN BAKU LUUCA</v>
      </c>
      <c r="E46" s="6" t="str">
        <f>VLOOKUP(B46,Sheet3!$B$2:$E$311,4,)</f>
        <v>GR</v>
      </c>
      <c r="F46" s="28" t="s">
        <v>829</v>
      </c>
      <c r="G46" s="28" t="s">
        <v>792</v>
      </c>
      <c r="H46" s="28" t="s">
        <v>522</v>
      </c>
      <c r="I46" s="20" t="s">
        <v>661</v>
      </c>
      <c r="J46" s="20" t="s">
        <v>803</v>
      </c>
    </row>
    <row r="47" ht="15.75" customHeight="1">
      <c r="A47" s="36"/>
      <c r="B47" s="27" t="s">
        <v>79</v>
      </c>
      <c r="C47" s="6" t="str">
        <f>VLOOKUP(B47,Sheet3!$B$2:$E$311,2,FALSE)</f>
        <v>B004</v>
      </c>
      <c r="D47" s="6" t="str">
        <f>VLOOKUP(B47,Sheet3!$B$2:$E$311,3,)</f>
        <v>BAHAN BAKU LUUCA</v>
      </c>
      <c r="E47" s="6" t="str">
        <f>VLOOKUP(B47,Sheet3!$B$2:$E$311,4,)</f>
        <v>PCS</v>
      </c>
      <c r="F47" s="28">
        <v>1.0</v>
      </c>
      <c r="G47" s="28" t="s">
        <v>830</v>
      </c>
      <c r="H47" s="28" t="s">
        <v>522</v>
      </c>
      <c r="I47" s="20" t="s">
        <v>661</v>
      </c>
      <c r="J47" s="20" t="s">
        <v>803</v>
      </c>
    </row>
    <row r="48" ht="15.75" customHeight="1">
      <c r="A48" s="36"/>
      <c r="B48" s="27" t="s">
        <v>33</v>
      </c>
      <c r="C48" s="6" t="str">
        <f>VLOOKUP(B48,Sheet3!$B$2:$E$311,2,FALSE)</f>
        <v>B004</v>
      </c>
      <c r="D48" s="6" t="str">
        <f>VLOOKUP(B48,Sheet3!$B$2:$E$311,3,)</f>
        <v>BAHAN BAKU LUUCA</v>
      </c>
      <c r="E48" s="6" t="str">
        <f>VLOOKUP(B48,Sheet3!$B$2:$E$311,4,)</f>
        <v>GR</v>
      </c>
      <c r="F48" s="28">
        <v>864.0</v>
      </c>
      <c r="G48" s="28" t="s">
        <v>703</v>
      </c>
      <c r="H48" s="28" t="s">
        <v>522</v>
      </c>
      <c r="I48" s="20" t="s">
        <v>661</v>
      </c>
      <c r="J48" s="20" t="s">
        <v>803</v>
      </c>
    </row>
    <row r="49" ht="15.75" customHeight="1">
      <c r="A49" s="36"/>
      <c r="B49" s="27" t="s">
        <v>108</v>
      </c>
      <c r="C49" s="6" t="str">
        <f>VLOOKUP(B49,Sheet3!$B$2:$E$311,2,FALSE)</f>
        <v>B004</v>
      </c>
      <c r="D49" s="6" t="str">
        <f>VLOOKUP(B49,Sheet3!$B$2:$E$311,3,)</f>
        <v>BAHAN BAKU LUUCA</v>
      </c>
      <c r="E49" s="6" t="str">
        <f>VLOOKUP(B49,Sheet3!$B$2:$E$311,4,)</f>
        <v>GR</v>
      </c>
      <c r="F49" s="28" t="s">
        <v>685</v>
      </c>
      <c r="G49" s="28" t="s">
        <v>496</v>
      </c>
      <c r="H49" s="28" t="s">
        <v>522</v>
      </c>
      <c r="I49" s="20" t="s">
        <v>661</v>
      </c>
      <c r="J49" s="20" t="s">
        <v>803</v>
      </c>
    </row>
    <row r="50" ht="15.75" customHeight="1">
      <c r="A50" s="36"/>
      <c r="B50" s="27" t="s">
        <v>109</v>
      </c>
      <c r="C50" s="6" t="str">
        <f>VLOOKUP(B50,Sheet3!$B$2:$E$311,2,FALSE)</f>
        <v>B004</v>
      </c>
      <c r="D50" s="6" t="str">
        <f>VLOOKUP(B50,Sheet3!$B$2:$E$311,3,)</f>
        <v>BAHAN BAKU LUUCA</v>
      </c>
      <c r="E50" s="6" t="str">
        <f>VLOOKUP(B50,Sheet3!$B$2:$E$311,4,)</f>
        <v>GR</v>
      </c>
      <c r="F50" s="28" t="s">
        <v>831</v>
      </c>
      <c r="G50" s="28" t="s">
        <v>588</v>
      </c>
      <c r="H50" s="28" t="s">
        <v>522</v>
      </c>
      <c r="I50" s="20" t="s">
        <v>661</v>
      </c>
      <c r="J50" s="20" t="s">
        <v>803</v>
      </c>
    </row>
    <row r="51" ht="15.75" customHeight="1">
      <c r="A51" s="36"/>
      <c r="B51" s="27" t="s">
        <v>53</v>
      </c>
      <c r="C51" s="6" t="str">
        <f>VLOOKUP(B51,Sheet3!$B$2:$E$311,2,FALSE)</f>
        <v>B004</v>
      </c>
      <c r="D51" s="6" t="str">
        <f>VLOOKUP(B51,Sheet3!$B$2:$E$311,3,)</f>
        <v>BAHAN BAKU LUUCA</v>
      </c>
      <c r="E51" s="6" t="str">
        <f>VLOOKUP(B51,Sheet3!$B$2:$E$311,4,)</f>
        <v>GR</v>
      </c>
      <c r="F51" s="28" t="s">
        <v>832</v>
      </c>
      <c r="G51" s="28" t="s">
        <v>793</v>
      </c>
      <c r="H51" s="28" t="s">
        <v>522</v>
      </c>
      <c r="I51" s="20" t="s">
        <v>661</v>
      </c>
      <c r="J51" s="20" t="s">
        <v>803</v>
      </c>
    </row>
    <row r="52" ht="15.75" customHeight="1">
      <c r="A52" s="36"/>
      <c r="B52" s="27" t="s">
        <v>109</v>
      </c>
      <c r="C52" s="6" t="str">
        <f>VLOOKUP(B52,Sheet3!$B$2:$E$311,2,FALSE)</f>
        <v>B004</v>
      </c>
      <c r="D52" s="6" t="str">
        <f>VLOOKUP(B52,Sheet3!$B$2:$E$311,3,)</f>
        <v>BAHAN BAKU LUUCA</v>
      </c>
      <c r="E52" s="6" t="str">
        <f>VLOOKUP(B52,Sheet3!$B$2:$E$311,4,)</f>
        <v>GR</v>
      </c>
      <c r="F52" s="28">
        <v>40.0</v>
      </c>
      <c r="G52" s="28" t="s">
        <v>496</v>
      </c>
      <c r="H52" s="28" t="s">
        <v>522</v>
      </c>
      <c r="I52" s="20" t="s">
        <v>661</v>
      </c>
      <c r="J52" s="20" t="s">
        <v>803</v>
      </c>
    </row>
    <row r="53" ht="15.75" customHeight="1">
      <c r="A53" s="36"/>
      <c r="B53" s="27" t="s">
        <v>108</v>
      </c>
      <c r="C53" s="6" t="str">
        <f>VLOOKUP(B53,Sheet3!$B$2:$E$311,2,FALSE)</f>
        <v>B004</v>
      </c>
      <c r="D53" s="6" t="str">
        <f>VLOOKUP(B53,Sheet3!$B$2:$E$311,3,)</f>
        <v>BAHAN BAKU LUUCA</v>
      </c>
      <c r="E53" s="6" t="str">
        <f>VLOOKUP(B53,Sheet3!$B$2:$E$311,4,)</f>
        <v>GR</v>
      </c>
      <c r="F53" s="28" t="s">
        <v>833</v>
      </c>
      <c r="G53" s="28" t="s">
        <v>496</v>
      </c>
      <c r="H53" s="28" t="s">
        <v>522</v>
      </c>
      <c r="I53" s="20" t="s">
        <v>661</v>
      </c>
      <c r="J53" s="20" t="s">
        <v>803</v>
      </c>
    </row>
    <row r="54" ht="15.75" customHeight="1">
      <c r="A54" s="36"/>
      <c r="B54" s="27" t="s">
        <v>34</v>
      </c>
      <c r="C54" s="6" t="str">
        <f>VLOOKUP(B54,Sheet3!$B$2:$E$311,2,FALSE)</f>
        <v>B004</v>
      </c>
      <c r="D54" s="6" t="str">
        <f>VLOOKUP(B54,Sheet3!$B$2:$E$311,3,)</f>
        <v>BAHAN BAKU LUUCA</v>
      </c>
      <c r="E54" s="6" t="str">
        <f>VLOOKUP(B54,Sheet3!$B$2:$E$311,4,)</f>
        <v>GR</v>
      </c>
      <c r="F54" s="28" t="s">
        <v>834</v>
      </c>
      <c r="G54" s="28" t="s">
        <v>703</v>
      </c>
      <c r="H54" s="28" t="s">
        <v>522</v>
      </c>
      <c r="I54" s="20" t="s">
        <v>661</v>
      </c>
      <c r="J54" s="20" t="s">
        <v>803</v>
      </c>
    </row>
    <row r="55" ht="15.75" customHeight="1">
      <c r="A55" s="36"/>
      <c r="B55" s="27" t="s">
        <v>33</v>
      </c>
      <c r="C55" s="6" t="str">
        <f>VLOOKUP(B55,Sheet3!$B$2:$E$311,2,FALSE)</f>
        <v>B004</v>
      </c>
      <c r="D55" s="6" t="str">
        <f>VLOOKUP(B55,Sheet3!$B$2:$E$311,3,)</f>
        <v>BAHAN BAKU LUUCA</v>
      </c>
      <c r="E55" s="6" t="str">
        <f>VLOOKUP(B55,Sheet3!$B$2:$E$311,4,)</f>
        <v>GR</v>
      </c>
      <c r="F55" s="28">
        <v>696.0</v>
      </c>
      <c r="G55" s="28" t="s">
        <v>703</v>
      </c>
      <c r="H55" s="28" t="s">
        <v>522</v>
      </c>
      <c r="I55" s="20" t="s">
        <v>661</v>
      </c>
      <c r="J55" s="20" t="s">
        <v>803</v>
      </c>
    </row>
    <row r="56" ht="15.75" customHeight="1">
      <c r="A56" s="36"/>
      <c r="B56" s="18" t="s">
        <v>570</v>
      </c>
      <c r="C56" s="6"/>
      <c r="D56" s="27" t="s">
        <v>16</v>
      </c>
      <c r="E56" s="27" t="s">
        <v>746</v>
      </c>
      <c r="F56" s="28" t="s">
        <v>835</v>
      </c>
      <c r="G56" s="28" t="s">
        <v>572</v>
      </c>
      <c r="H56" s="28" t="s">
        <v>836</v>
      </c>
      <c r="I56" s="20" t="s">
        <v>661</v>
      </c>
      <c r="J56" s="20" t="s">
        <v>803</v>
      </c>
    </row>
    <row r="57" ht="15.75" customHeight="1">
      <c r="A57" s="36">
        <v>46152.0</v>
      </c>
      <c r="B57" s="27" t="s">
        <v>33</v>
      </c>
      <c r="C57" s="6" t="str">
        <f>VLOOKUP(B57,Sheet3!$B$2:$E$311,2,FALSE)</f>
        <v>B004</v>
      </c>
      <c r="D57" s="6" t="str">
        <f>VLOOKUP(B57,Sheet3!$B$2:$E$311,3,)</f>
        <v>BAHAN BAKU LUUCA</v>
      </c>
      <c r="E57" s="6" t="str">
        <f>VLOOKUP(B57,Sheet3!$B$2:$E$311,4,)</f>
        <v>GR</v>
      </c>
      <c r="F57" s="28">
        <v>617.0</v>
      </c>
      <c r="G57" s="28" t="s">
        <v>703</v>
      </c>
      <c r="H57" s="28" t="s">
        <v>522</v>
      </c>
      <c r="I57" s="20" t="s">
        <v>661</v>
      </c>
      <c r="J57" s="20" t="s">
        <v>803</v>
      </c>
    </row>
    <row r="58" ht="15.75" customHeight="1">
      <c r="A58" s="36"/>
      <c r="B58" s="27" t="s">
        <v>570</v>
      </c>
      <c r="C58" s="6" t="str">
        <f>VLOOKUP(B58,Sheet3!$B$2:$E$311,2,FALSE)</f>
        <v>#N/A</v>
      </c>
      <c r="D58" s="27" t="s">
        <v>16</v>
      </c>
      <c r="E58" s="27" t="s">
        <v>746</v>
      </c>
      <c r="F58" s="27" t="s">
        <v>837</v>
      </c>
      <c r="G58" s="46" t="s">
        <v>572</v>
      </c>
      <c r="H58" s="46" t="s">
        <v>522</v>
      </c>
      <c r="I58" s="20" t="s">
        <v>661</v>
      </c>
      <c r="J58" s="20" t="s">
        <v>803</v>
      </c>
    </row>
    <row r="59" ht="15.75" customHeight="1">
      <c r="A59" s="36"/>
      <c r="B59" s="27" t="s">
        <v>53</v>
      </c>
      <c r="C59" s="6" t="str">
        <f>VLOOKUP(B59,Sheet3!$B$2:$E$311,2,FALSE)</f>
        <v>B004</v>
      </c>
      <c r="D59" s="6" t="str">
        <f>VLOOKUP(B59,Sheet3!$B$2:$E$311,3,)</f>
        <v>BAHAN BAKU LUUCA</v>
      </c>
      <c r="E59" s="6" t="str">
        <f>VLOOKUP(B59,Sheet3!$B$2:$E$311,4,)</f>
        <v>GR</v>
      </c>
      <c r="F59" s="28" t="s">
        <v>838</v>
      </c>
      <c r="G59" s="28" t="s">
        <v>793</v>
      </c>
      <c r="H59" s="28" t="s">
        <v>522</v>
      </c>
      <c r="I59" s="20" t="s">
        <v>661</v>
      </c>
      <c r="J59" s="20" t="s">
        <v>803</v>
      </c>
    </row>
    <row r="60" ht="15.75" customHeight="1">
      <c r="A60" s="36"/>
      <c r="B60" s="27" t="s">
        <v>108</v>
      </c>
      <c r="C60" s="6" t="str">
        <f>VLOOKUP(B60,Sheet3!$B$2:$E$311,2,FALSE)</f>
        <v>B004</v>
      </c>
      <c r="D60" s="6" t="str">
        <f>VLOOKUP(B60,Sheet3!$B$2:$E$311,3,)</f>
        <v>BAHAN BAKU LUUCA</v>
      </c>
      <c r="E60" s="6" t="str">
        <f>VLOOKUP(B60,Sheet3!$B$2:$E$311,4,)</f>
        <v>GR</v>
      </c>
      <c r="F60" s="28" t="s">
        <v>839</v>
      </c>
      <c r="G60" s="28" t="s">
        <v>792</v>
      </c>
      <c r="H60" s="28" t="s">
        <v>522</v>
      </c>
      <c r="I60" s="20" t="s">
        <v>661</v>
      </c>
      <c r="J60" s="20" t="s">
        <v>803</v>
      </c>
    </row>
    <row r="61" ht="15.75" customHeight="1">
      <c r="A61" s="36"/>
      <c r="B61" s="27" t="s">
        <v>109</v>
      </c>
      <c r="C61" s="6" t="str">
        <f>VLOOKUP(B61,Sheet3!$B$2:$E$311,2,FALSE)</f>
        <v>B004</v>
      </c>
      <c r="D61" s="6" t="str">
        <f>VLOOKUP(B61,Sheet3!$B$2:$E$311,3,)</f>
        <v>BAHAN BAKU LUUCA</v>
      </c>
      <c r="E61" s="6" t="str">
        <f>VLOOKUP(B61,Sheet3!$B$2:$E$311,4,)</f>
        <v>GR</v>
      </c>
      <c r="F61" s="28" t="s">
        <v>840</v>
      </c>
      <c r="G61" s="28" t="s">
        <v>496</v>
      </c>
      <c r="H61" s="28" t="s">
        <v>522</v>
      </c>
      <c r="I61" s="20" t="s">
        <v>661</v>
      </c>
      <c r="J61" s="20" t="s">
        <v>803</v>
      </c>
    </row>
    <row r="62" ht="15.75" customHeight="1">
      <c r="A62" s="36"/>
      <c r="B62" s="27" t="s">
        <v>109</v>
      </c>
      <c r="C62" s="6" t="str">
        <f>VLOOKUP(B62,Sheet3!$B$2:$E$311,2,FALSE)</f>
        <v>B004</v>
      </c>
      <c r="D62" s="6" t="str">
        <f>VLOOKUP(B62,Sheet3!$B$2:$E$311,3,)</f>
        <v>BAHAN BAKU LUUCA</v>
      </c>
      <c r="E62" s="6" t="str">
        <f>VLOOKUP(B62,Sheet3!$B$2:$E$311,4,)</f>
        <v>GR</v>
      </c>
      <c r="F62" s="28" t="s">
        <v>842</v>
      </c>
      <c r="G62" s="28" t="s">
        <v>588</v>
      </c>
      <c r="H62" s="28" t="s">
        <v>522</v>
      </c>
      <c r="I62" s="20" t="s">
        <v>661</v>
      </c>
      <c r="J62" s="20" t="s">
        <v>803</v>
      </c>
    </row>
    <row r="63" ht="15.75" customHeight="1">
      <c r="A63" s="36">
        <v>46153.0</v>
      </c>
      <c r="B63" s="27" t="s">
        <v>53</v>
      </c>
      <c r="C63" s="6" t="str">
        <f>VLOOKUP(B63,Sheet3!$B$2:$E$311,2,FALSE)</f>
        <v>B004</v>
      </c>
      <c r="D63" s="6" t="str">
        <f>VLOOKUP(B63,Sheet3!$B$2:$E$311,3,)</f>
        <v>BAHAN BAKU LUUCA</v>
      </c>
      <c r="E63" s="6" t="str">
        <f>VLOOKUP(B63,Sheet3!$B$2:$E$311,4,)</f>
        <v>GR</v>
      </c>
      <c r="F63" s="28" t="s">
        <v>843</v>
      </c>
      <c r="G63" s="28" t="s">
        <v>844</v>
      </c>
      <c r="H63" s="28" t="s">
        <v>836</v>
      </c>
      <c r="I63" s="20" t="s">
        <v>661</v>
      </c>
      <c r="J63" s="20" t="s">
        <v>803</v>
      </c>
    </row>
    <row r="64" ht="15.75" customHeight="1">
      <c r="A64" s="36"/>
      <c r="B64" s="27" t="s">
        <v>33</v>
      </c>
      <c r="C64" s="6" t="str">
        <f>VLOOKUP(B64,Sheet3!$B$2:$E$311,2,FALSE)</f>
        <v>B004</v>
      </c>
      <c r="D64" s="6" t="str">
        <f>VLOOKUP(B64,Sheet3!$B$2:$E$311,3,)</f>
        <v>BAHAN BAKU LUUCA</v>
      </c>
      <c r="E64" s="6" t="str">
        <f>VLOOKUP(B64,Sheet3!$B$2:$E$311,4,)</f>
        <v>GR</v>
      </c>
      <c r="F64" s="28">
        <v>589.0</v>
      </c>
      <c r="G64" s="28" t="s">
        <v>845</v>
      </c>
      <c r="H64" s="28" t="s">
        <v>836</v>
      </c>
      <c r="I64" s="20" t="s">
        <v>661</v>
      </c>
      <c r="J64" s="20" t="s">
        <v>803</v>
      </c>
    </row>
    <row r="65" ht="15.75" customHeight="1">
      <c r="A65" s="36"/>
      <c r="B65" s="27" t="s">
        <v>108</v>
      </c>
      <c r="C65" s="6" t="str">
        <f>VLOOKUP(B65,Sheet3!$B$2:$E$311,2,FALSE)</f>
        <v>B004</v>
      </c>
      <c r="D65" s="6" t="str">
        <f>VLOOKUP(B65,Sheet3!$B$2:$E$311,3,)</f>
        <v>BAHAN BAKU LUUCA</v>
      </c>
      <c r="E65" s="6" t="str">
        <f>VLOOKUP(B65,Sheet3!$B$2:$E$311,4,)</f>
        <v>GR</v>
      </c>
      <c r="F65" s="28" t="s">
        <v>847</v>
      </c>
      <c r="G65" s="28" t="s">
        <v>848</v>
      </c>
      <c r="H65" s="28" t="s">
        <v>836</v>
      </c>
      <c r="I65" s="20" t="s">
        <v>661</v>
      </c>
      <c r="J65" s="20" t="s">
        <v>803</v>
      </c>
    </row>
    <row r="66" ht="15.75" customHeight="1">
      <c r="A66" s="36"/>
      <c r="B66" s="27" t="s">
        <v>109</v>
      </c>
      <c r="C66" s="6" t="str">
        <f>VLOOKUP(B66,Sheet3!$B$2:$E$311,2,FALSE)</f>
        <v>B004</v>
      </c>
      <c r="D66" s="6" t="str">
        <f>VLOOKUP(B66,Sheet3!$B$2:$E$311,3,)</f>
        <v>BAHAN BAKU LUUCA</v>
      </c>
      <c r="E66" s="6" t="str">
        <f>VLOOKUP(B66,Sheet3!$B$2:$E$311,4,)</f>
        <v>GR</v>
      </c>
      <c r="F66" s="28" t="s">
        <v>849</v>
      </c>
      <c r="G66" s="28" t="s">
        <v>850</v>
      </c>
      <c r="H66" s="28" t="s">
        <v>836</v>
      </c>
      <c r="I66" s="20" t="s">
        <v>661</v>
      </c>
      <c r="J66" s="20" t="s">
        <v>803</v>
      </c>
    </row>
    <row r="67" ht="15.75" customHeight="1">
      <c r="A67" s="36"/>
      <c r="B67" s="27" t="s">
        <v>34</v>
      </c>
      <c r="C67" s="6" t="str">
        <f>VLOOKUP(B67,Sheet3!$B$2:$E$311,2,FALSE)</f>
        <v>B004</v>
      </c>
      <c r="D67" s="6" t="str">
        <f>VLOOKUP(B67,Sheet3!$B$2:$E$311,3,)</f>
        <v>BAHAN BAKU LUUCA</v>
      </c>
      <c r="E67" s="6" t="str">
        <f>VLOOKUP(B67,Sheet3!$B$2:$E$311,4,)</f>
        <v>GR</v>
      </c>
      <c r="F67" s="28">
        <v>1079.0</v>
      </c>
      <c r="G67" s="28" t="s">
        <v>852</v>
      </c>
      <c r="H67" s="28" t="s">
        <v>836</v>
      </c>
      <c r="I67" s="20" t="s">
        <v>661</v>
      </c>
      <c r="J67" s="20" t="s">
        <v>803</v>
      </c>
    </row>
    <row r="68" ht="15.75" customHeight="1">
      <c r="A68" s="36"/>
      <c r="B68" s="27" t="s">
        <v>34</v>
      </c>
      <c r="C68" s="6" t="str">
        <f>VLOOKUP(B68,Sheet3!$B$2:$E$311,2,FALSE)</f>
        <v>B004</v>
      </c>
      <c r="D68" s="6" t="str">
        <f>VLOOKUP(B68,Sheet3!$B$2:$E$311,3,)</f>
        <v>BAHAN BAKU LUUCA</v>
      </c>
      <c r="E68" s="6" t="str">
        <f>VLOOKUP(B68,Sheet3!$B$2:$E$311,4,)</f>
        <v>GR</v>
      </c>
      <c r="F68" s="28">
        <v>1051.0</v>
      </c>
      <c r="G68" s="28" t="s">
        <v>852</v>
      </c>
      <c r="H68" s="28" t="s">
        <v>836</v>
      </c>
      <c r="I68" s="20" t="s">
        <v>661</v>
      </c>
      <c r="J68" s="20" t="s">
        <v>803</v>
      </c>
    </row>
    <row r="69" ht="15.75" customHeight="1">
      <c r="A69" s="36">
        <v>46154.0</v>
      </c>
      <c r="B69" s="27" t="s">
        <v>53</v>
      </c>
      <c r="C69" s="6" t="str">
        <f>VLOOKUP(B69,Sheet3!$B$2:$E$311,2,FALSE)</f>
        <v>B004</v>
      </c>
      <c r="D69" s="27" t="s">
        <v>16</v>
      </c>
      <c r="E69" s="6" t="str">
        <f>VLOOKUP(B70,Sheet3!$B$2:$E$311,4,)</f>
        <v>GR</v>
      </c>
      <c r="F69" s="28">
        <v>24.0</v>
      </c>
      <c r="G69" s="28" t="s">
        <v>793</v>
      </c>
      <c r="H69" s="28" t="s">
        <v>836</v>
      </c>
      <c r="I69" s="20" t="s">
        <v>671</v>
      </c>
      <c r="J69" s="20" t="s">
        <v>853</v>
      </c>
    </row>
    <row r="70" ht="15.75" customHeight="1">
      <c r="A70" s="48"/>
      <c r="B70" s="27" t="s">
        <v>108</v>
      </c>
      <c r="C70" s="6" t="str">
        <f>VLOOKUP(B70,Sheet3!$B$2:$E$311,2,FALSE)</f>
        <v>B004</v>
      </c>
      <c r="D70" s="6" t="str">
        <f>VLOOKUP(B70,Sheet3!$B$2:$E$311,3,)</f>
        <v>BAHAN BAKU LUUCA</v>
      </c>
      <c r="E70" s="6" t="str">
        <f>VLOOKUP(B70,Sheet3!$B$2:$E$311,4,)</f>
        <v>GR</v>
      </c>
      <c r="F70" s="46" t="s">
        <v>854</v>
      </c>
      <c r="G70" s="46" t="s">
        <v>792</v>
      </c>
      <c r="H70" s="46" t="s">
        <v>522</v>
      </c>
      <c r="I70" s="49" t="s">
        <v>671</v>
      </c>
      <c r="J70" s="50" t="s">
        <v>855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36"/>
      <c r="B71" s="27" t="s">
        <v>33</v>
      </c>
      <c r="C71" s="6" t="str">
        <f>VLOOKUP(B71,Sheet3!$B$2:$E$311,2,FALSE)</f>
        <v>B004</v>
      </c>
      <c r="D71" s="6" t="str">
        <f>VLOOKUP(B71,Sheet3!$B$2:$E$311,3,)</f>
        <v>BAHAN BAKU LUUCA</v>
      </c>
      <c r="E71" s="6" t="str">
        <f>VLOOKUP(B71,Sheet3!$B$2:$E$311,4,)</f>
        <v>GR</v>
      </c>
      <c r="F71" s="28" t="s">
        <v>856</v>
      </c>
      <c r="G71" s="28" t="s">
        <v>703</v>
      </c>
      <c r="H71" s="28" t="s">
        <v>522</v>
      </c>
      <c r="I71" s="20" t="s">
        <v>671</v>
      </c>
      <c r="J71" s="20" t="s">
        <v>853</v>
      </c>
    </row>
    <row r="72" ht="15.75" customHeight="1">
      <c r="A72" s="36"/>
      <c r="B72" s="27" t="s">
        <v>65</v>
      </c>
      <c r="C72" s="6" t="str">
        <f>VLOOKUP(B72,Sheet3!$B$2:$E$311,2,FALSE)</f>
        <v>P005</v>
      </c>
      <c r="D72" s="6" t="str">
        <f>VLOOKUP(B72,Sheet3!$B$2:$E$311,3,)</f>
        <v>PACKAGING LUUCA</v>
      </c>
      <c r="E72" s="6" t="str">
        <f>VLOOKUP(B72,Sheet3!$B$2:$E$311,4,)</f>
        <v>PCS</v>
      </c>
      <c r="F72" s="28">
        <v>3.0</v>
      </c>
      <c r="G72" s="28" t="s">
        <v>858</v>
      </c>
      <c r="H72" s="28" t="s">
        <v>522</v>
      </c>
      <c r="I72" s="20" t="s">
        <v>671</v>
      </c>
      <c r="J72" s="20" t="s">
        <v>855</v>
      </c>
    </row>
    <row r="73" ht="15.75" customHeight="1">
      <c r="A73" s="36">
        <v>46155.0</v>
      </c>
      <c r="B73" s="27" t="s">
        <v>108</v>
      </c>
      <c r="C73" s="6" t="str">
        <f>VLOOKUP(B73,Sheet3!$B$2:$E$311,2,FALSE)</f>
        <v>B004</v>
      </c>
      <c r="D73" s="6" t="str">
        <f>VLOOKUP(B73,Sheet3!$B$2:$E$311,3,)</f>
        <v>BAHAN BAKU LUUCA</v>
      </c>
      <c r="E73" s="6" t="str">
        <f>VLOOKUP(B73,Sheet3!$B$2:$E$311,4,)</f>
        <v>GR</v>
      </c>
      <c r="F73" s="28" t="s">
        <v>679</v>
      </c>
      <c r="G73" s="28" t="s">
        <v>792</v>
      </c>
      <c r="H73" s="28" t="s">
        <v>859</v>
      </c>
      <c r="I73" s="20" t="s">
        <v>671</v>
      </c>
      <c r="J73" s="20" t="s">
        <v>855</v>
      </c>
    </row>
    <row r="74" ht="15.75" customHeight="1">
      <c r="A74" s="36"/>
      <c r="B74" s="27" t="s">
        <v>53</v>
      </c>
      <c r="C74" s="6" t="str">
        <f>VLOOKUP(B74,Sheet3!$B$2:$E$311,2,FALSE)</f>
        <v>B004</v>
      </c>
      <c r="D74" s="6" t="str">
        <f>VLOOKUP(B74,Sheet3!$B$2:$E$311,3,)</f>
        <v>BAHAN BAKU LUUCA</v>
      </c>
      <c r="E74" s="6" t="str">
        <f>VLOOKUP(B74,Sheet3!$B$2:$E$311,4,)</f>
        <v>GR</v>
      </c>
      <c r="F74" s="28" t="s">
        <v>861</v>
      </c>
      <c r="G74" s="28" t="s">
        <v>793</v>
      </c>
      <c r="H74" s="28" t="s">
        <v>859</v>
      </c>
      <c r="I74" s="20" t="s">
        <v>671</v>
      </c>
      <c r="J74" s="20" t="s">
        <v>855</v>
      </c>
    </row>
    <row r="75" ht="15.75" customHeight="1">
      <c r="A75" s="36"/>
      <c r="B75" s="27" t="s">
        <v>108</v>
      </c>
      <c r="C75" s="6" t="str">
        <f>VLOOKUP(B75,Sheet3!$B$2:$E$311,2,FALSE)</f>
        <v>B004</v>
      </c>
      <c r="D75" s="6" t="str">
        <f>VLOOKUP(B75,Sheet3!$B$2:$E$311,3,)</f>
        <v>BAHAN BAKU LUUCA</v>
      </c>
      <c r="E75" s="6" t="str">
        <f>VLOOKUP(B75,Sheet3!$B$2:$E$311,4,)</f>
        <v>GR</v>
      </c>
      <c r="F75" s="28" t="s">
        <v>863</v>
      </c>
      <c r="G75" s="28" t="s">
        <v>792</v>
      </c>
      <c r="H75" s="28" t="s">
        <v>859</v>
      </c>
      <c r="I75" s="20" t="s">
        <v>671</v>
      </c>
      <c r="J75" s="20" t="s">
        <v>855</v>
      </c>
    </row>
    <row r="76" ht="15.75" customHeight="1">
      <c r="A76" s="36"/>
      <c r="B76" s="27" t="s">
        <v>181</v>
      </c>
      <c r="C76" s="6" t="str">
        <f>VLOOKUP(B76,Sheet3!$B$2:$E$311,2,FALSE)</f>
        <v>P006</v>
      </c>
      <c r="D76" s="6" t="str">
        <f>VLOOKUP(B76,Sheet3!$B$2:$E$311,3,)</f>
        <v>PRODUKSI STOK LUUCA</v>
      </c>
      <c r="E76" s="6" t="str">
        <f>VLOOKUP(B76,Sheet3!$B$2:$E$311,4,)</f>
        <v>GR</v>
      </c>
      <c r="F76" s="28">
        <v>2988.0</v>
      </c>
      <c r="G76" s="28" t="s">
        <v>370</v>
      </c>
      <c r="H76" s="28" t="s">
        <v>859</v>
      </c>
      <c r="I76" s="20" t="s">
        <v>671</v>
      </c>
      <c r="J76" s="20" t="s">
        <v>855</v>
      </c>
    </row>
    <row r="77" ht="15.75" customHeight="1">
      <c r="A77" s="36"/>
      <c r="B77" s="27" t="s">
        <v>181</v>
      </c>
      <c r="C77" s="6" t="str">
        <f>VLOOKUP(B77,Sheet3!$B$2:$E$311,2,FALSE)</f>
        <v>P006</v>
      </c>
      <c r="D77" s="6" t="str">
        <f>VLOOKUP(B77,Sheet3!$B$2:$E$311,3,)</f>
        <v>PRODUKSI STOK LUUCA</v>
      </c>
      <c r="E77" s="6" t="str">
        <f>VLOOKUP(B77,Sheet3!$B$2:$E$311,4,)</f>
        <v>GR</v>
      </c>
      <c r="F77" s="28">
        <v>2959.0</v>
      </c>
      <c r="G77" s="28" t="s">
        <v>370</v>
      </c>
      <c r="H77" s="28" t="s">
        <v>859</v>
      </c>
      <c r="I77" s="20" t="s">
        <v>671</v>
      </c>
      <c r="J77" s="20" t="s">
        <v>855</v>
      </c>
    </row>
    <row r="78" ht="15.75" customHeight="1">
      <c r="A78" s="36"/>
      <c r="B78" s="27" t="s">
        <v>181</v>
      </c>
      <c r="C78" s="6" t="str">
        <f>VLOOKUP(B78,Sheet3!$B$2:$E$311,2,FALSE)</f>
        <v>P006</v>
      </c>
      <c r="D78" s="6" t="str">
        <f>VLOOKUP(B78,Sheet3!$B$2:$E$311,3,)</f>
        <v>PRODUKSI STOK LUUCA</v>
      </c>
      <c r="E78" s="6" t="str">
        <f>VLOOKUP(B78,Sheet3!$B$2:$E$311,4,)</f>
        <v>GR</v>
      </c>
      <c r="F78" s="28">
        <v>301.0</v>
      </c>
      <c r="G78" s="28" t="s">
        <v>370</v>
      </c>
      <c r="H78" s="28" t="s">
        <v>859</v>
      </c>
      <c r="I78" s="20" t="s">
        <v>671</v>
      </c>
      <c r="J78" s="20" t="s">
        <v>855</v>
      </c>
    </row>
    <row r="79" ht="15.75" customHeight="1">
      <c r="A79" s="36"/>
      <c r="B79" s="27" t="s">
        <v>186</v>
      </c>
      <c r="C79" s="6" t="str">
        <f>VLOOKUP(B79,Sheet3!$B$2:$E$311,2,FALSE)</f>
        <v>P006</v>
      </c>
      <c r="D79" s="6" t="str">
        <f>VLOOKUP(B79,Sheet3!$B$2:$E$311,3,)</f>
        <v>PRODUKSI STOK LUUCA</v>
      </c>
      <c r="E79" s="6" t="str">
        <f>VLOOKUP(B79,Sheet3!$B$2:$E$311,4,)</f>
        <v>GR</v>
      </c>
      <c r="F79" s="28" t="s">
        <v>866</v>
      </c>
      <c r="G79" s="28" t="s">
        <v>867</v>
      </c>
      <c r="H79" s="28" t="s">
        <v>859</v>
      </c>
      <c r="I79" s="20" t="s">
        <v>671</v>
      </c>
      <c r="J79" s="20" t="s">
        <v>855</v>
      </c>
    </row>
    <row r="80" ht="15.75" customHeight="1">
      <c r="A80" s="31">
        <v>46156.0</v>
      </c>
      <c r="B80" s="27" t="s">
        <v>53</v>
      </c>
      <c r="C80" s="6" t="str">
        <f>VLOOKUP(B80,Sheet3!$B$2:$E$311,2,FALSE)</f>
        <v>B004</v>
      </c>
      <c r="D80" s="6" t="str">
        <f>VLOOKUP(B80,Sheet3!$B$2:$E$311,3,)</f>
        <v>BAHAN BAKU LUUCA</v>
      </c>
      <c r="E80" s="6" t="str">
        <f>VLOOKUP(B80,Sheet3!$B$2:$E$311,4,)</f>
        <v>GR</v>
      </c>
      <c r="F80" s="28" t="s">
        <v>869</v>
      </c>
      <c r="G80" s="28" t="s">
        <v>793</v>
      </c>
      <c r="H80" s="28" t="s">
        <v>859</v>
      </c>
      <c r="I80" s="20" t="s">
        <v>671</v>
      </c>
      <c r="J80" s="20" t="s">
        <v>855</v>
      </c>
    </row>
    <row r="81" ht="15.75" customHeight="1">
      <c r="A81" s="36"/>
      <c r="B81" s="27" t="s">
        <v>108</v>
      </c>
      <c r="C81" s="6" t="str">
        <f>VLOOKUP(B81,Sheet3!$B$2:$E$311,2,FALSE)</f>
        <v>B004</v>
      </c>
      <c r="D81" s="6" t="str">
        <f>VLOOKUP(B81,Sheet3!$B$2:$E$311,3,)</f>
        <v>BAHAN BAKU LUUCA</v>
      </c>
      <c r="E81" s="6" t="str">
        <f>VLOOKUP(B81,Sheet3!$B$2:$E$311,4,)</f>
        <v>GR</v>
      </c>
      <c r="F81" s="28" t="s">
        <v>870</v>
      </c>
      <c r="G81" s="28" t="s">
        <v>792</v>
      </c>
      <c r="H81" s="28" t="s">
        <v>859</v>
      </c>
      <c r="I81" s="20" t="s">
        <v>671</v>
      </c>
      <c r="J81" s="20" t="s">
        <v>855</v>
      </c>
    </row>
    <row r="82" ht="15.75" customHeight="1">
      <c r="A82" s="36"/>
      <c r="B82" s="27" t="s">
        <v>33</v>
      </c>
      <c r="C82" s="6" t="str">
        <f>VLOOKUP(B82,Sheet3!$B$2:$E$311,2,FALSE)</f>
        <v>B004</v>
      </c>
      <c r="D82" s="6" t="str">
        <f>VLOOKUP(B82,Sheet3!$B$2:$E$311,3,)</f>
        <v>BAHAN BAKU LUUCA</v>
      </c>
      <c r="E82" s="6" t="str">
        <f>VLOOKUP(B82,Sheet3!$B$2:$E$311,4,)</f>
        <v>GR</v>
      </c>
      <c r="F82" s="28" t="s">
        <v>871</v>
      </c>
      <c r="G82" s="28" t="s">
        <v>703</v>
      </c>
      <c r="H82" s="28" t="s">
        <v>522</v>
      </c>
      <c r="I82" s="20" t="s">
        <v>671</v>
      </c>
      <c r="J82" s="20" t="s">
        <v>855</v>
      </c>
    </row>
    <row r="83" ht="15.75" customHeight="1">
      <c r="A83" s="36"/>
      <c r="B83" s="27" t="s">
        <v>34</v>
      </c>
      <c r="C83" s="6" t="str">
        <f>VLOOKUP(B83,Sheet3!$B$2:$E$311,2,FALSE)</f>
        <v>B004</v>
      </c>
      <c r="D83" s="6" t="str">
        <f>VLOOKUP(B83,Sheet3!$B$2:$E$311,3,)</f>
        <v>BAHAN BAKU LUUCA</v>
      </c>
      <c r="E83" s="6" t="str">
        <f>VLOOKUP(B83,Sheet3!$B$2:$E$311,4,)</f>
        <v>GR</v>
      </c>
      <c r="F83" s="28">
        <v>1398.0</v>
      </c>
      <c r="G83" s="28" t="s">
        <v>703</v>
      </c>
      <c r="H83" s="28" t="s">
        <v>522</v>
      </c>
      <c r="I83" s="20" t="s">
        <v>671</v>
      </c>
      <c r="J83" s="20" t="s">
        <v>855</v>
      </c>
    </row>
    <row r="84" ht="15.75" customHeight="1">
      <c r="A84" s="36"/>
      <c r="B84" s="27" t="s">
        <v>53</v>
      </c>
      <c r="C84" s="6" t="str">
        <f>VLOOKUP(B84,Sheet3!$B$2:$E$311,2,FALSE)</f>
        <v>B004</v>
      </c>
      <c r="D84" s="6" t="str">
        <f>VLOOKUP(B84,Sheet3!$B$2:$E$311,3,)</f>
        <v>BAHAN BAKU LUUCA</v>
      </c>
      <c r="E84" s="6" t="str">
        <f>VLOOKUP(B84,Sheet3!$B$2:$E$311,4,)</f>
        <v>GR</v>
      </c>
      <c r="F84" s="28" t="s">
        <v>873</v>
      </c>
      <c r="G84" s="28" t="s">
        <v>793</v>
      </c>
      <c r="H84" s="28" t="s">
        <v>874</v>
      </c>
      <c r="I84" s="20" t="s">
        <v>671</v>
      </c>
      <c r="J84" s="20" t="s">
        <v>855</v>
      </c>
    </row>
    <row r="85" ht="15.75" customHeight="1">
      <c r="A85" s="36"/>
      <c r="B85" s="27" t="s">
        <v>108</v>
      </c>
      <c r="C85" s="6" t="str">
        <f>VLOOKUP(B85,Sheet3!$B$2:$E$311,2,FALSE)</f>
        <v>B004</v>
      </c>
      <c r="D85" s="6" t="str">
        <f>VLOOKUP(B85,Sheet3!$B$2:$E$311,3,)</f>
        <v>BAHAN BAKU LUUCA</v>
      </c>
      <c r="E85" s="6" t="str">
        <f>VLOOKUP(B85,Sheet3!$B$2:$E$311,4,)</f>
        <v>GR</v>
      </c>
      <c r="F85" s="28" t="s">
        <v>694</v>
      </c>
      <c r="G85" s="28" t="s">
        <v>792</v>
      </c>
      <c r="H85" s="28" t="s">
        <v>615</v>
      </c>
      <c r="I85" s="20" t="s">
        <v>671</v>
      </c>
      <c r="J85" s="20" t="s">
        <v>855</v>
      </c>
    </row>
    <row r="86" ht="15.75" customHeight="1">
      <c r="A86" s="36"/>
      <c r="B86" s="27" t="s">
        <v>108</v>
      </c>
      <c r="C86" s="6" t="str">
        <f>VLOOKUP(B86,Sheet3!$B$2:$E$311,2,FALSE)</f>
        <v>B004</v>
      </c>
      <c r="D86" s="6" t="str">
        <f>VLOOKUP(B86,Sheet3!$B$2:$E$311,3,)</f>
        <v>BAHAN BAKU LUUCA</v>
      </c>
      <c r="E86" s="6" t="str">
        <f>VLOOKUP(B86,Sheet3!$B$2:$E$311,4,)</f>
        <v>GR</v>
      </c>
      <c r="F86" s="28" t="s">
        <v>875</v>
      </c>
      <c r="G86" s="28" t="s">
        <v>792</v>
      </c>
      <c r="H86" s="28" t="s">
        <v>615</v>
      </c>
      <c r="I86" s="20" t="s">
        <v>671</v>
      </c>
      <c r="J86" s="20" t="s">
        <v>855</v>
      </c>
    </row>
    <row r="87" ht="15.75" customHeight="1">
      <c r="A87" s="36"/>
      <c r="B87" s="27" t="s">
        <v>109</v>
      </c>
      <c r="C87" s="6" t="str">
        <f>VLOOKUP(B87,Sheet3!$B$2:$E$311,2,FALSE)</f>
        <v>B004</v>
      </c>
      <c r="D87" s="6" t="str">
        <f>VLOOKUP(B87,Sheet3!$B$2:$E$311,3,)</f>
        <v>BAHAN BAKU LUUCA</v>
      </c>
      <c r="E87" s="6" t="str">
        <f>VLOOKUP(B87,Sheet3!$B$2:$E$311,4,)</f>
        <v>GR</v>
      </c>
      <c r="F87" s="28" t="s">
        <v>877</v>
      </c>
      <c r="G87" s="28" t="s">
        <v>588</v>
      </c>
      <c r="H87" s="28" t="s">
        <v>615</v>
      </c>
      <c r="I87" s="20" t="s">
        <v>671</v>
      </c>
      <c r="J87" s="20" t="s">
        <v>855</v>
      </c>
    </row>
    <row r="88" ht="15.75" customHeight="1">
      <c r="A88" s="36"/>
      <c r="B88" s="27" t="s">
        <v>109</v>
      </c>
      <c r="C88" s="6" t="str">
        <f>VLOOKUP(B88,Sheet3!$B$2:$E$311,2,FALSE)</f>
        <v>B004</v>
      </c>
      <c r="D88" s="6" t="str">
        <f>VLOOKUP(B88,Sheet3!$B$2:$E$311,3,)</f>
        <v>BAHAN BAKU LUUCA</v>
      </c>
      <c r="E88" s="6" t="str">
        <f>VLOOKUP(B88,Sheet3!$B$2:$E$311,4,)</f>
        <v>GR</v>
      </c>
      <c r="F88" s="28" t="s">
        <v>783</v>
      </c>
      <c r="G88" s="28" t="s">
        <v>878</v>
      </c>
      <c r="H88" s="28" t="s">
        <v>615</v>
      </c>
      <c r="I88" s="20" t="s">
        <v>671</v>
      </c>
      <c r="J88" s="20" t="s">
        <v>855</v>
      </c>
    </row>
    <row r="89" ht="15.75" customHeight="1">
      <c r="A89" s="36"/>
      <c r="B89" s="27" t="s">
        <v>30</v>
      </c>
      <c r="C89" s="6" t="str">
        <f>VLOOKUP(B89,Sheet3!$B$2:$E$311,2,FALSE)</f>
        <v>B004</v>
      </c>
      <c r="D89" s="6" t="str">
        <f>VLOOKUP(B89,Sheet3!$B$2:$E$311,3,)</f>
        <v>BAHAN BAKU LUUCA</v>
      </c>
      <c r="E89" s="27" t="s">
        <v>37</v>
      </c>
      <c r="F89" s="28">
        <v>8.0</v>
      </c>
      <c r="G89" s="28" t="s">
        <v>830</v>
      </c>
      <c r="H89" s="28" t="s">
        <v>615</v>
      </c>
      <c r="I89" s="20" t="s">
        <v>671</v>
      </c>
      <c r="J89" s="20" t="s">
        <v>855</v>
      </c>
    </row>
    <row r="90" ht="15.75" customHeight="1">
      <c r="A90" s="36">
        <v>46157.0</v>
      </c>
      <c r="B90" s="27" t="s">
        <v>108</v>
      </c>
      <c r="C90" s="6" t="str">
        <f>VLOOKUP(B90,Sheet3!$B$2:$E$311,2,FALSE)</f>
        <v>B004</v>
      </c>
      <c r="D90" s="6" t="str">
        <f>VLOOKUP(B90,Sheet3!$B$2:$E$311,3,)</f>
        <v>BAHAN BAKU LUUCA</v>
      </c>
      <c r="E90" s="6" t="str">
        <f>VLOOKUP(B90,Sheet3!$B$2:$E$311,4,)</f>
        <v>GR</v>
      </c>
      <c r="F90" s="28" t="s">
        <v>634</v>
      </c>
      <c r="G90" s="28" t="s">
        <v>792</v>
      </c>
      <c r="H90" s="28" t="s">
        <v>561</v>
      </c>
      <c r="I90" s="20" t="s">
        <v>671</v>
      </c>
      <c r="J90" s="20" t="s">
        <v>855</v>
      </c>
    </row>
    <row r="91" ht="15.75" customHeight="1">
      <c r="A91" s="36"/>
      <c r="B91" s="18" t="s">
        <v>570</v>
      </c>
      <c r="C91" s="6" t="str">
        <f>VLOOKUP(B91,Sheet3!$B$2:$E$311,2,FALSE)</f>
        <v>#N/A</v>
      </c>
      <c r="D91" s="27" t="s">
        <v>16</v>
      </c>
      <c r="E91" s="27" t="s">
        <v>746</v>
      </c>
      <c r="F91" s="28" t="s">
        <v>880</v>
      </c>
      <c r="G91" s="28" t="s">
        <v>572</v>
      </c>
      <c r="H91" s="28" t="s">
        <v>541</v>
      </c>
      <c r="I91" s="20" t="s">
        <v>671</v>
      </c>
      <c r="J91" s="20" t="s">
        <v>855</v>
      </c>
    </row>
    <row r="92" ht="15.75" customHeight="1">
      <c r="A92" s="36">
        <v>46158.0</v>
      </c>
      <c r="B92" s="27" t="s">
        <v>108</v>
      </c>
      <c r="C92" s="6" t="str">
        <f>VLOOKUP(B92,Sheet3!$B$2:$E$311,2,FALSE)</f>
        <v>B004</v>
      </c>
      <c r="D92" s="6" t="str">
        <f>VLOOKUP(B92,Sheet3!$B$2:$E$311,3,)</f>
        <v>BAHAN BAKU LUUCA</v>
      </c>
      <c r="E92" s="6" t="str">
        <f>VLOOKUP(B92,Sheet3!$B$2:$E$311,4,)</f>
        <v>GR</v>
      </c>
      <c r="F92" s="28" t="s">
        <v>881</v>
      </c>
      <c r="G92" s="28" t="s">
        <v>792</v>
      </c>
      <c r="H92" s="28" t="s">
        <v>595</v>
      </c>
      <c r="I92" s="20" t="s">
        <v>671</v>
      </c>
      <c r="J92" s="20" t="s">
        <v>855</v>
      </c>
    </row>
    <row r="93" ht="15.75" customHeight="1">
      <c r="A93" s="36"/>
      <c r="B93" s="27" t="s">
        <v>109</v>
      </c>
      <c r="C93" s="6" t="str">
        <f>VLOOKUP(B93,Sheet3!$B$2:$E$311,2,FALSE)</f>
        <v>B004</v>
      </c>
      <c r="D93" s="6" t="str">
        <f>VLOOKUP(B93,Sheet3!$B$2:$E$311,3,)</f>
        <v>BAHAN BAKU LUUCA</v>
      </c>
      <c r="E93" s="6" t="str">
        <f>VLOOKUP(B93,Sheet3!$B$2:$E$311,4,)</f>
        <v>GR</v>
      </c>
      <c r="F93" s="28" t="s">
        <v>883</v>
      </c>
      <c r="G93" s="28" t="s">
        <v>588</v>
      </c>
      <c r="H93" s="28" t="s">
        <v>775</v>
      </c>
      <c r="I93" s="20" t="s">
        <v>671</v>
      </c>
      <c r="J93" s="20" t="s">
        <v>855</v>
      </c>
    </row>
    <row r="94" ht="15.75" customHeight="1">
      <c r="A94" s="36"/>
      <c r="B94" s="27" t="s">
        <v>33</v>
      </c>
      <c r="C94" s="6" t="str">
        <f>VLOOKUP(B94,Sheet3!$B$2:$E$311,2,FALSE)</f>
        <v>B004</v>
      </c>
      <c r="D94" s="6" t="str">
        <f>VLOOKUP(B94,Sheet3!$B$2:$E$311,3,)</f>
        <v>BAHAN BAKU LUUCA</v>
      </c>
      <c r="E94" s="6" t="str">
        <f>VLOOKUP(B94,Sheet3!$B$2:$E$311,4,)</f>
        <v>GR</v>
      </c>
      <c r="F94" s="28" t="s">
        <v>884</v>
      </c>
      <c r="G94" s="28" t="s">
        <v>703</v>
      </c>
      <c r="H94" s="28" t="s">
        <v>595</v>
      </c>
      <c r="I94" s="20" t="s">
        <v>671</v>
      </c>
      <c r="J94" s="20" t="s">
        <v>855</v>
      </c>
    </row>
    <row r="95" ht="15.75" customHeight="1">
      <c r="A95" s="36"/>
      <c r="B95" s="27" t="s">
        <v>108</v>
      </c>
      <c r="C95" s="6" t="str">
        <f>VLOOKUP(B95,Sheet3!$B$2:$E$311,2,FALSE)</f>
        <v>B004</v>
      </c>
      <c r="D95" s="6" t="str">
        <f>VLOOKUP(B95,Sheet3!$B$2:$E$311,3,)</f>
        <v>BAHAN BAKU LUUCA</v>
      </c>
      <c r="E95" s="6" t="str">
        <f>VLOOKUP(B95,Sheet3!$B$2:$E$311,4,)</f>
        <v>GR</v>
      </c>
      <c r="F95" s="28" t="s">
        <v>885</v>
      </c>
      <c r="G95" s="28" t="s">
        <v>792</v>
      </c>
      <c r="H95" s="28" t="s">
        <v>561</v>
      </c>
      <c r="I95" s="20" t="s">
        <v>671</v>
      </c>
      <c r="J95" s="20" t="s">
        <v>855</v>
      </c>
    </row>
    <row r="96" ht="15.75" customHeight="1">
      <c r="A96" s="36"/>
      <c r="B96" s="27" t="s">
        <v>108</v>
      </c>
      <c r="C96" s="6" t="str">
        <f>VLOOKUP(B96,Sheet3!$B$2:$E$311,2,FALSE)</f>
        <v>B004</v>
      </c>
      <c r="D96" s="6" t="str">
        <f>VLOOKUP(B96,Sheet3!$B$2:$E$311,3,)</f>
        <v>BAHAN BAKU LUUCA</v>
      </c>
      <c r="E96" s="6" t="str">
        <f>VLOOKUP(B96,Sheet3!$B$2:$E$311,4,)</f>
        <v>GR</v>
      </c>
      <c r="F96" s="28" t="s">
        <v>557</v>
      </c>
      <c r="G96" s="28" t="s">
        <v>792</v>
      </c>
      <c r="H96" s="28" t="s">
        <v>595</v>
      </c>
      <c r="I96" s="20" t="s">
        <v>671</v>
      </c>
      <c r="J96" s="20" t="s">
        <v>855</v>
      </c>
    </row>
    <row r="97" ht="15.75" customHeight="1">
      <c r="A97" s="36"/>
      <c r="B97" s="27" t="s">
        <v>65</v>
      </c>
      <c r="C97" s="6" t="str">
        <f>VLOOKUP(B97,Sheet3!$B$2:$E$311,2,FALSE)</f>
        <v>P005</v>
      </c>
      <c r="D97" s="6" t="str">
        <f>VLOOKUP(B97,Sheet3!$B$2:$E$311,3,)</f>
        <v>PACKAGING LUUCA</v>
      </c>
      <c r="E97" s="6" t="str">
        <f>VLOOKUP(B97,Sheet3!$B$2:$E$311,4,)</f>
        <v>PCS</v>
      </c>
      <c r="F97" s="28">
        <v>3.0</v>
      </c>
      <c r="G97" s="28" t="s">
        <v>886</v>
      </c>
      <c r="H97" s="28" t="s">
        <v>522</v>
      </c>
      <c r="I97" s="20" t="s">
        <v>671</v>
      </c>
      <c r="J97" s="20" t="s">
        <v>855</v>
      </c>
    </row>
    <row r="98" ht="15.75" customHeight="1">
      <c r="A98" s="36"/>
      <c r="B98" s="18" t="s">
        <v>570</v>
      </c>
      <c r="C98" s="6" t="str">
        <f>VLOOKUP(B98,Sheet3!$B$2:$E$311,2,FALSE)</f>
        <v>#N/A</v>
      </c>
      <c r="D98" s="27" t="s">
        <v>16</v>
      </c>
      <c r="E98" s="27" t="s">
        <v>746</v>
      </c>
      <c r="F98" s="28" t="s">
        <v>887</v>
      </c>
      <c r="G98" s="28" t="s">
        <v>572</v>
      </c>
      <c r="H98" s="28" t="s">
        <v>888</v>
      </c>
      <c r="I98" s="20" t="s">
        <v>661</v>
      </c>
      <c r="J98" s="20" t="s">
        <v>889</v>
      </c>
    </row>
    <row r="99" ht="15.75" customHeight="1">
      <c r="A99" s="36">
        <v>46159.0</v>
      </c>
      <c r="B99" s="27" t="s">
        <v>108</v>
      </c>
      <c r="C99" s="6" t="str">
        <f>VLOOKUP(B99,Sheet3!$B$2:$E$311,2,FALSE)</f>
        <v>B004</v>
      </c>
      <c r="D99" s="6" t="str">
        <f>VLOOKUP(B99,Sheet3!$B$2:$E$311,3,)</f>
        <v>BAHAN BAKU LUUCA</v>
      </c>
      <c r="E99" s="6" t="str">
        <f>VLOOKUP(B99,Sheet3!$B$2:$E$311,4,)</f>
        <v>GR</v>
      </c>
      <c r="F99" s="28" t="s">
        <v>881</v>
      </c>
      <c r="G99" s="28" t="s">
        <v>792</v>
      </c>
      <c r="H99" s="28" t="s">
        <v>859</v>
      </c>
      <c r="I99" s="20" t="s">
        <v>661</v>
      </c>
      <c r="J99" s="20" t="s">
        <v>889</v>
      </c>
    </row>
    <row r="100" ht="15.75" customHeight="1">
      <c r="A100" s="36"/>
      <c r="B100" s="18" t="s">
        <v>570</v>
      </c>
      <c r="C100" s="6" t="str">
        <f>VLOOKUP(B100,Sheet3!$B$2:$E$311,2,FALSE)</f>
        <v>#N/A</v>
      </c>
      <c r="D100" s="27" t="s">
        <v>16</v>
      </c>
      <c r="E100" s="27" t="s">
        <v>746</v>
      </c>
      <c r="F100" s="28" t="s">
        <v>891</v>
      </c>
      <c r="G100" s="28" t="s">
        <v>572</v>
      </c>
      <c r="H100" s="28" t="s">
        <v>629</v>
      </c>
      <c r="I100" s="20" t="s">
        <v>661</v>
      </c>
      <c r="J100" s="20" t="s">
        <v>889</v>
      </c>
    </row>
    <row r="101" ht="15.75" customHeight="1">
      <c r="A101" s="36"/>
      <c r="B101" s="27" t="s">
        <v>108</v>
      </c>
      <c r="C101" s="6" t="str">
        <f>VLOOKUP(B101,Sheet3!$B$2:$E$311,2,FALSE)</f>
        <v>B004</v>
      </c>
      <c r="D101" s="6" t="str">
        <f>VLOOKUP(B101,Sheet3!$B$2:$E$311,3,)</f>
        <v>BAHAN BAKU LUUCA</v>
      </c>
      <c r="E101" s="6" t="str">
        <f>VLOOKUP(B101,Sheet3!$B$2:$E$311,4,)</f>
        <v>GR</v>
      </c>
      <c r="F101" s="28" t="s">
        <v>893</v>
      </c>
      <c r="G101" s="28" t="s">
        <v>792</v>
      </c>
      <c r="H101" s="28" t="s">
        <v>629</v>
      </c>
      <c r="I101" s="20" t="s">
        <v>661</v>
      </c>
      <c r="J101" s="20" t="s">
        <v>889</v>
      </c>
    </row>
    <row r="102" ht="15.75" customHeight="1">
      <c r="A102" s="36"/>
      <c r="B102" s="27" t="s">
        <v>109</v>
      </c>
      <c r="C102" s="6" t="str">
        <f>VLOOKUP(B102,Sheet3!$B$2:$E$311,2,FALSE)</f>
        <v>B004</v>
      </c>
      <c r="D102" s="6" t="str">
        <f>VLOOKUP(B102,Sheet3!$B$2:$E$311,3,)</f>
        <v>BAHAN BAKU LUUCA</v>
      </c>
      <c r="E102" s="6" t="str">
        <f>VLOOKUP(B102,Sheet3!$B$2:$E$311,4,)</f>
        <v>GR</v>
      </c>
      <c r="F102" s="28" t="s">
        <v>894</v>
      </c>
      <c r="G102" s="28" t="s">
        <v>588</v>
      </c>
      <c r="H102" s="28" t="s">
        <v>595</v>
      </c>
      <c r="I102" s="20" t="s">
        <v>661</v>
      </c>
      <c r="J102" s="20" t="s">
        <v>889</v>
      </c>
    </row>
    <row r="103" ht="15.75" customHeight="1">
      <c r="A103" s="36"/>
      <c r="B103" s="27" t="s">
        <v>34</v>
      </c>
      <c r="C103" s="6" t="str">
        <f>VLOOKUP(B103,Sheet3!$B$2:$E$311,2,FALSE)</f>
        <v>B004</v>
      </c>
      <c r="D103" s="6" t="str">
        <f>VLOOKUP(B103,Sheet3!$B$2:$E$311,3,)</f>
        <v>BAHAN BAKU LUUCA</v>
      </c>
      <c r="E103" s="6" t="str">
        <f>VLOOKUP(B103,Sheet3!$B$2:$E$311,4,)</f>
        <v>GR</v>
      </c>
      <c r="F103" s="28">
        <v>1168.0</v>
      </c>
      <c r="G103" s="28" t="s">
        <v>703</v>
      </c>
      <c r="H103" s="28" t="s">
        <v>595</v>
      </c>
      <c r="I103" s="20" t="s">
        <v>661</v>
      </c>
      <c r="J103" s="20" t="s">
        <v>889</v>
      </c>
    </row>
    <row r="104" ht="15.75" customHeight="1">
      <c r="A104" s="36">
        <v>46160.0</v>
      </c>
      <c r="B104" s="18" t="s">
        <v>570</v>
      </c>
      <c r="C104" s="6" t="str">
        <f>VLOOKUP(B104,Sheet3!$B$2:$E$311,2,FALSE)</f>
        <v>#N/A</v>
      </c>
      <c r="D104" s="27" t="s">
        <v>16</v>
      </c>
      <c r="E104" s="27" t="s">
        <v>37</v>
      </c>
      <c r="F104" s="28">
        <v>1.0</v>
      </c>
      <c r="G104" s="28" t="s">
        <v>742</v>
      </c>
      <c r="H104" s="28" t="s">
        <v>595</v>
      </c>
      <c r="I104" s="20" t="s">
        <v>661</v>
      </c>
      <c r="J104" s="20" t="s">
        <v>889</v>
      </c>
    </row>
    <row r="105" ht="15.75" customHeight="1">
      <c r="A105" s="36"/>
      <c r="B105" s="27" t="s">
        <v>108</v>
      </c>
      <c r="C105" s="6" t="str">
        <f>VLOOKUP(B105,Sheet3!$B$2:$E$311,2,FALSE)</f>
        <v>B004</v>
      </c>
      <c r="D105" s="6" t="str">
        <f>VLOOKUP(B105,Sheet3!$B$2:$E$311,3,)</f>
        <v>BAHAN BAKU LUUCA</v>
      </c>
      <c r="E105" s="6" t="str">
        <f>VLOOKUP(B105,Sheet3!$B$2:$E$311,4,)</f>
        <v>GR</v>
      </c>
      <c r="F105" s="28">
        <v>6.0</v>
      </c>
      <c r="G105" s="28" t="s">
        <v>588</v>
      </c>
      <c r="H105" s="28" t="s">
        <v>595</v>
      </c>
      <c r="I105" s="20" t="s">
        <v>661</v>
      </c>
      <c r="J105" s="20" t="s">
        <v>889</v>
      </c>
    </row>
    <row r="106" ht="15.75" customHeight="1">
      <c r="A106" s="36"/>
      <c r="B106" s="27" t="s">
        <v>108</v>
      </c>
      <c r="C106" s="6" t="str">
        <f>VLOOKUP(B106,Sheet3!$B$2:$E$311,2,FALSE)</f>
        <v>B004</v>
      </c>
      <c r="D106" s="6" t="str">
        <f>VLOOKUP(B106,Sheet3!$B$2:$E$311,3,)</f>
        <v>BAHAN BAKU LUUCA</v>
      </c>
      <c r="E106" s="6" t="str">
        <f>VLOOKUP(B106,Sheet3!$B$2:$E$311,4,)</f>
        <v>GR</v>
      </c>
      <c r="F106" s="28" t="s">
        <v>897</v>
      </c>
      <c r="G106" s="28" t="s">
        <v>792</v>
      </c>
      <c r="H106" s="28" t="s">
        <v>595</v>
      </c>
      <c r="I106" s="20" t="s">
        <v>661</v>
      </c>
      <c r="J106" s="20" t="s">
        <v>889</v>
      </c>
    </row>
    <row r="107" ht="15.75" customHeight="1">
      <c r="A107" s="36"/>
      <c r="B107" s="27" t="s">
        <v>33</v>
      </c>
      <c r="C107" s="6" t="str">
        <f>VLOOKUP(B107,Sheet3!$B$2:$E$311,2,FALSE)</f>
        <v>B004</v>
      </c>
      <c r="D107" s="6" t="str">
        <f>VLOOKUP(B107,Sheet3!$B$2:$E$311,3,)</f>
        <v>BAHAN BAKU LUUCA</v>
      </c>
      <c r="E107" s="6" t="str">
        <f>VLOOKUP(B107,Sheet3!$B$2:$E$311,4,)</f>
        <v>GR</v>
      </c>
      <c r="F107" s="28">
        <v>999.0</v>
      </c>
      <c r="G107" s="28" t="s">
        <v>703</v>
      </c>
      <c r="H107" s="28" t="s">
        <v>629</v>
      </c>
      <c r="I107" s="20" t="s">
        <v>661</v>
      </c>
      <c r="J107" s="20" t="s">
        <v>889</v>
      </c>
    </row>
    <row r="108" ht="15.75" customHeight="1">
      <c r="A108" s="36"/>
      <c r="B108" s="27" t="s">
        <v>108</v>
      </c>
      <c r="C108" s="6" t="str">
        <f>VLOOKUP(B108,Sheet3!$B$2:$E$311,2,FALSE)</f>
        <v>B004</v>
      </c>
      <c r="D108" s="6" t="str">
        <f>VLOOKUP(B108,Sheet3!$B$2:$E$311,3,)</f>
        <v>BAHAN BAKU LUUCA</v>
      </c>
      <c r="E108" s="6" t="str">
        <f>VLOOKUP(B108,Sheet3!$B$2:$E$311,4,)</f>
        <v>GR</v>
      </c>
      <c r="F108" s="28" t="s">
        <v>899</v>
      </c>
      <c r="G108" s="28" t="s">
        <v>792</v>
      </c>
      <c r="H108" s="28" t="s">
        <v>629</v>
      </c>
      <c r="I108" s="20" t="s">
        <v>661</v>
      </c>
      <c r="J108" s="20" t="s">
        <v>889</v>
      </c>
    </row>
    <row r="109" ht="15.75" customHeight="1">
      <c r="A109" s="36">
        <v>46161.0</v>
      </c>
      <c r="B109" s="27" t="s">
        <v>36</v>
      </c>
      <c r="C109" s="6" t="str">
        <f>VLOOKUP(B109,Sheet3!$B$2:$E$311,2,FALSE)</f>
        <v>B004</v>
      </c>
      <c r="D109" s="6" t="str">
        <f>VLOOKUP(B109,Sheet3!$B$2:$E$311,3,)</f>
        <v>BAHAN BAKU LUUCA</v>
      </c>
      <c r="E109" s="6" t="str">
        <f>VLOOKUP(B109,Sheet3!$B$2:$E$311,4,)</f>
        <v>PCS</v>
      </c>
      <c r="F109" s="28">
        <v>2.0</v>
      </c>
      <c r="G109" s="28" t="s">
        <v>900</v>
      </c>
      <c r="H109" s="28" t="s">
        <v>561</v>
      </c>
      <c r="I109" s="20" t="s">
        <v>661</v>
      </c>
      <c r="J109" s="20" t="s">
        <v>889</v>
      </c>
    </row>
    <row r="110" ht="15.75" customHeight="1">
      <c r="A110" s="36"/>
      <c r="B110" s="27" t="s">
        <v>38</v>
      </c>
      <c r="C110" s="6" t="str">
        <f>VLOOKUP(B110,Sheet3!$B$2:$E$311,2,FALSE)</f>
        <v>P005</v>
      </c>
      <c r="D110" s="6" t="str">
        <f>VLOOKUP(B110,Sheet3!$B$2:$E$311,3,)</f>
        <v>PACKAGING LUUCA</v>
      </c>
      <c r="E110" s="6" t="str">
        <f>VLOOKUP(B110,Sheet3!$B$2:$E$311,4,)</f>
        <v>PCS</v>
      </c>
      <c r="F110" s="28">
        <v>2.0</v>
      </c>
      <c r="G110" s="28" t="s">
        <v>900</v>
      </c>
      <c r="H110" s="28" t="s">
        <v>561</v>
      </c>
      <c r="I110" s="20" t="s">
        <v>661</v>
      </c>
      <c r="J110" s="20" t="s">
        <v>889</v>
      </c>
    </row>
    <row r="111" ht="15.75" customHeight="1">
      <c r="A111" s="36">
        <v>46162.0</v>
      </c>
      <c r="B111" s="27" t="s">
        <v>34</v>
      </c>
      <c r="C111" s="6" t="str">
        <f>VLOOKUP(B111,Sheet3!$B$2:$E$311,2,FALSE)</f>
        <v>B004</v>
      </c>
      <c r="D111" s="6" t="str">
        <f>VLOOKUP(B111,Sheet3!$B$2:$E$311,3,)</f>
        <v>BAHAN BAKU LUUCA</v>
      </c>
      <c r="E111" s="6" t="str">
        <f>VLOOKUP(B111,Sheet3!$B$2:$E$311,4,)</f>
        <v>GR</v>
      </c>
      <c r="F111" s="28" t="s">
        <v>902</v>
      </c>
      <c r="G111" s="28" t="s">
        <v>703</v>
      </c>
      <c r="H111" s="28" t="s">
        <v>595</v>
      </c>
      <c r="I111" s="20" t="s">
        <v>661</v>
      </c>
      <c r="J111" s="20" t="s">
        <v>889</v>
      </c>
    </row>
    <row r="112" ht="15.75" customHeight="1">
      <c r="A112" s="36"/>
      <c r="B112" s="27" t="s">
        <v>69</v>
      </c>
      <c r="C112" s="6" t="str">
        <f>VLOOKUP(B112,Sheet3!$B$2:$E$311,2,FALSE)</f>
        <v>B004</v>
      </c>
      <c r="D112" s="6" t="str">
        <f>VLOOKUP(B112,Sheet3!$B$2:$E$311,3,)</f>
        <v>BAHAN BAKU LUUCA</v>
      </c>
      <c r="E112" s="27" t="s">
        <v>37</v>
      </c>
      <c r="F112" s="28">
        <v>14.0</v>
      </c>
      <c r="G112" s="28" t="s">
        <v>830</v>
      </c>
      <c r="H112" s="28" t="s">
        <v>595</v>
      </c>
      <c r="I112" s="20" t="s">
        <v>661</v>
      </c>
      <c r="J112" s="20" t="s">
        <v>889</v>
      </c>
    </row>
    <row r="113" ht="15.75" customHeight="1">
      <c r="A113" s="36"/>
      <c r="B113" s="27" t="s">
        <v>30</v>
      </c>
      <c r="C113" s="6" t="str">
        <f>VLOOKUP(B113,Sheet3!$B$2:$E$311,2,FALSE)</f>
        <v>B004</v>
      </c>
      <c r="D113" s="6" t="str">
        <f>VLOOKUP(B113,Sheet3!$B$2:$E$311,3,)</f>
        <v>BAHAN BAKU LUUCA</v>
      </c>
      <c r="E113" s="27" t="s">
        <v>37</v>
      </c>
      <c r="F113" s="28">
        <v>7.0</v>
      </c>
      <c r="G113" s="28" t="s">
        <v>830</v>
      </c>
      <c r="H113" s="28" t="s">
        <v>595</v>
      </c>
      <c r="I113" s="20" t="s">
        <v>661</v>
      </c>
      <c r="J113" s="20" t="s">
        <v>889</v>
      </c>
    </row>
    <row r="114" ht="15.75" customHeight="1">
      <c r="A114" s="36"/>
      <c r="B114" s="27" t="s">
        <v>30</v>
      </c>
      <c r="C114" s="6" t="str">
        <f>VLOOKUP(B114,Sheet3!$B$2:$E$311,2,FALSE)</f>
        <v>B004</v>
      </c>
      <c r="D114" s="6" t="str">
        <f>VLOOKUP(B114,Sheet3!$B$2:$E$311,3,)</f>
        <v>BAHAN BAKU LUUCA</v>
      </c>
      <c r="E114" s="27" t="s">
        <v>37</v>
      </c>
      <c r="F114" s="28">
        <v>8.0</v>
      </c>
      <c r="G114" s="28" t="s">
        <v>830</v>
      </c>
      <c r="H114" s="28" t="s">
        <v>595</v>
      </c>
      <c r="I114" s="20" t="s">
        <v>661</v>
      </c>
      <c r="J114" s="20" t="s">
        <v>889</v>
      </c>
    </row>
    <row r="115" ht="15.75" customHeight="1">
      <c r="A115" s="36"/>
      <c r="B115" s="27" t="s">
        <v>108</v>
      </c>
      <c r="C115" s="6" t="str">
        <f>VLOOKUP(B115,Sheet3!$B$2:$E$311,2,FALSE)</f>
        <v>B004</v>
      </c>
      <c r="D115" s="6" t="str">
        <f>VLOOKUP(B115,Sheet3!$B$2:$E$311,3,)</f>
        <v>BAHAN BAKU LUUCA</v>
      </c>
      <c r="E115" s="6" t="str">
        <f>VLOOKUP(B115,Sheet3!$B$2:$E$311,4,)</f>
        <v>GR</v>
      </c>
      <c r="F115" s="28" t="s">
        <v>905</v>
      </c>
      <c r="G115" s="28" t="s">
        <v>792</v>
      </c>
      <c r="H115" s="28" t="s">
        <v>553</v>
      </c>
      <c r="I115" s="20" t="s">
        <v>661</v>
      </c>
      <c r="J115" s="20" t="s">
        <v>889</v>
      </c>
    </row>
    <row r="116" ht="15.75" customHeight="1">
      <c r="A116" s="36"/>
      <c r="B116" s="27" t="s">
        <v>80</v>
      </c>
      <c r="C116" s="6" t="str">
        <f>VLOOKUP(B116,Sheet3!$B$2:$E$311,2,FALSE)</f>
        <v>B004</v>
      </c>
      <c r="D116" s="6" t="str">
        <f>VLOOKUP(B116,Sheet3!$B$2:$E$311,3,)</f>
        <v>BAHAN BAKU LUUCA</v>
      </c>
      <c r="E116" s="6" t="str">
        <f>VLOOKUP(B116,Sheet3!$B$2:$E$311,4,)</f>
        <v>PCS</v>
      </c>
      <c r="F116" s="28">
        <v>1.0</v>
      </c>
      <c r="G116" s="28" t="s">
        <v>906</v>
      </c>
      <c r="H116" s="28" t="s">
        <v>836</v>
      </c>
      <c r="I116" s="20" t="s">
        <v>661</v>
      </c>
      <c r="J116" s="20" t="s">
        <v>889</v>
      </c>
    </row>
    <row r="117" ht="15.75" customHeight="1">
      <c r="A117" s="26"/>
      <c r="B117" s="27" t="s">
        <v>514</v>
      </c>
      <c r="C117" s="6" t="str">
        <f>VLOOKUP(B117,Sheet3!$B$2:$E$311,2,FALSE)</f>
        <v>#N/A</v>
      </c>
      <c r="D117" s="6" t="str">
        <f>VLOOKUP(B117,Sheet3!$B$2:$E$311,3,)</f>
        <v>#N/A</v>
      </c>
      <c r="E117" s="6" t="str">
        <f>VLOOKUP(B117,Sheet3!$B$2:$E$311,4,)</f>
        <v>#N/A</v>
      </c>
      <c r="F117" s="28">
        <v>100.0</v>
      </c>
      <c r="G117" s="28" t="s">
        <v>906</v>
      </c>
      <c r="H117" s="28" t="s">
        <v>836</v>
      </c>
      <c r="I117" s="20" t="s">
        <v>661</v>
      </c>
      <c r="J117" s="20" t="s">
        <v>889</v>
      </c>
    </row>
    <row r="118" ht="15.75" customHeight="1">
      <c r="A118" s="23"/>
      <c r="B118" s="27" t="s">
        <v>908</v>
      </c>
      <c r="C118" s="6" t="str">
        <f>VLOOKUP(B118,Sheet3!$B$2:$E$311,2,FALSE)</f>
        <v>#N/A</v>
      </c>
      <c r="D118" s="6" t="str">
        <f>VLOOKUP(B118,Sheet3!$B$2:$E$311,3,)</f>
        <v>#N/A</v>
      </c>
      <c r="E118" s="6" t="str">
        <f>VLOOKUP(B118,Sheet3!$B$2:$E$311,4,)</f>
        <v>#N/A</v>
      </c>
      <c r="F118" s="28">
        <v>30.0</v>
      </c>
      <c r="G118" s="28" t="s">
        <v>906</v>
      </c>
      <c r="H118" s="28" t="s">
        <v>836</v>
      </c>
      <c r="I118" s="20" t="s">
        <v>661</v>
      </c>
      <c r="J118" s="20" t="s">
        <v>889</v>
      </c>
    </row>
    <row r="119" ht="15.75" customHeight="1">
      <c r="A119" s="23"/>
      <c r="B119" s="27" t="s">
        <v>106</v>
      </c>
      <c r="C119" s="6" t="str">
        <f>VLOOKUP(B119,Sheet3!$B$2:$E$311,2,FALSE)</f>
        <v>B004</v>
      </c>
      <c r="D119" s="6" t="str">
        <f>VLOOKUP(B119,Sheet3!$B$2:$E$311,3,)</f>
        <v>BAHAN BAKU LUUCA</v>
      </c>
      <c r="E119" s="6" t="str">
        <f>VLOOKUP(B119,Sheet3!$B$2:$E$311,4,)</f>
        <v>GR</v>
      </c>
      <c r="F119" s="28">
        <v>17.0</v>
      </c>
      <c r="G119" s="28" t="s">
        <v>906</v>
      </c>
      <c r="H119" s="28" t="s">
        <v>836</v>
      </c>
      <c r="I119" s="20" t="s">
        <v>661</v>
      </c>
      <c r="J119" s="20" t="s">
        <v>889</v>
      </c>
    </row>
    <row r="120" ht="15.75" customHeight="1">
      <c r="A120" s="23"/>
      <c r="B120" s="27" t="s">
        <v>82</v>
      </c>
      <c r="C120" s="6" t="str">
        <f>VLOOKUP(B120,Sheet3!$B$2:$E$311,2,FALSE)</f>
        <v>B004</v>
      </c>
      <c r="D120" s="6" t="str">
        <f>VLOOKUP(B120,Sheet3!$B$2:$E$311,3,)</f>
        <v>BAHAN BAKU LUUCA</v>
      </c>
      <c r="E120" s="6" t="str">
        <f>VLOOKUP(B120,Sheet3!$B$2:$E$311,4,)</f>
        <v>GR</v>
      </c>
      <c r="F120" s="28">
        <v>2.0</v>
      </c>
      <c r="G120" s="28" t="s">
        <v>906</v>
      </c>
      <c r="H120" s="28" t="s">
        <v>836</v>
      </c>
      <c r="I120" s="20" t="s">
        <v>661</v>
      </c>
      <c r="J120" s="20" t="s">
        <v>889</v>
      </c>
    </row>
    <row r="121" ht="15.75" customHeight="1">
      <c r="A121" s="23"/>
      <c r="B121" s="27" t="s">
        <v>36</v>
      </c>
      <c r="C121" s="6" t="str">
        <f>VLOOKUP(B121,Sheet3!$B$2:$E$311,2,FALSE)</f>
        <v>B004</v>
      </c>
      <c r="D121" s="6" t="str">
        <f>VLOOKUP(B121,Sheet3!$B$2:$E$311,3,)</f>
        <v>BAHAN BAKU LUUCA</v>
      </c>
      <c r="E121" s="6" t="str">
        <f>VLOOKUP(B121,Sheet3!$B$2:$E$311,4,)</f>
        <v>PCS</v>
      </c>
      <c r="F121" s="28">
        <v>1.0</v>
      </c>
      <c r="G121" s="28" t="s">
        <v>906</v>
      </c>
      <c r="H121" s="28" t="s">
        <v>522</v>
      </c>
      <c r="I121" s="20" t="s">
        <v>661</v>
      </c>
      <c r="J121" s="20" t="s">
        <v>889</v>
      </c>
    </row>
    <row r="122" ht="15.75" customHeight="1">
      <c r="A122" s="23"/>
      <c r="B122" s="27" t="s">
        <v>38</v>
      </c>
      <c r="C122" s="6" t="str">
        <f>VLOOKUP(B122,Sheet3!$B$2:$E$311,2,FALSE)</f>
        <v>P005</v>
      </c>
      <c r="D122" s="6" t="str">
        <f>VLOOKUP(B122,Sheet3!$B$2:$E$311,3,)</f>
        <v>PACKAGING LUUCA</v>
      </c>
      <c r="E122" s="6" t="str">
        <f>VLOOKUP(B122,Sheet3!$B$2:$E$311,4,)</f>
        <v>PCS</v>
      </c>
      <c r="F122" s="28">
        <v>1.0</v>
      </c>
      <c r="G122" s="28" t="s">
        <v>906</v>
      </c>
      <c r="H122" s="28" t="s">
        <v>522</v>
      </c>
      <c r="I122" s="20" t="s">
        <v>661</v>
      </c>
      <c r="J122" s="20" t="s">
        <v>889</v>
      </c>
    </row>
    <row r="123" ht="15.75" customHeight="1">
      <c r="A123" s="23"/>
      <c r="B123" s="27" t="s">
        <v>514</v>
      </c>
      <c r="C123" s="6" t="str">
        <f>VLOOKUP(B123,Sheet3!$B$2:$E$311,2,FALSE)</f>
        <v>#N/A</v>
      </c>
      <c r="D123" s="6" t="str">
        <f>VLOOKUP(B123,Sheet3!$B$2:$E$311,3,)</f>
        <v>#N/A</v>
      </c>
      <c r="E123" s="6" t="str">
        <f>VLOOKUP(B123,Sheet3!$B$2:$E$311,4,)</f>
        <v>#N/A</v>
      </c>
      <c r="F123" s="28">
        <v>100.0</v>
      </c>
      <c r="G123" s="28" t="s">
        <v>906</v>
      </c>
      <c r="H123" s="28" t="s">
        <v>522</v>
      </c>
      <c r="I123" s="20" t="s">
        <v>661</v>
      </c>
      <c r="J123" s="20" t="s">
        <v>889</v>
      </c>
    </row>
    <row r="124" ht="15.75" customHeight="1">
      <c r="A124" s="23"/>
      <c r="B124" s="27" t="s">
        <v>41</v>
      </c>
      <c r="C124" s="6" t="str">
        <f>VLOOKUP(B124,Sheet3!$B$2:$E$311,2,FALSE)</f>
        <v>P005</v>
      </c>
      <c r="D124" s="6" t="str">
        <f>VLOOKUP(B124,Sheet3!$B$2:$E$311,3,)</f>
        <v>PACKAGING LUUCA</v>
      </c>
      <c r="E124" s="6" t="str">
        <f>VLOOKUP(B124,Sheet3!$B$2:$E$311,4,)</f>
        <v>PCS</v>
      </c>
      <c r="F124" s="28">
        <v>1.0</v>
      </c>
      <c r="G124" s="28" t="s">
        <v>906</v>
      </c>
      <c r="H124" s="28" t="s">
        <v>553</v>
      </c>
      <c r="I124" s="20" t="s">
        <v>661</v>
      </c>
      <c r="J124" s="20" t="s">
        <v>889</v>
      </c>
    </row>
    <row r="125" ht="15.75" customHeight="1">
      <c r="A125" s="23"/>
      <c r="B125" s="27" t="s">
        <v>43</v>
      </c>
      <c r="C125" s="6" t="str">
        <f>VLOOKUP(B125,Sheet3!$B$2:$E$311,2,FALSE)</f>
        <v>P005</v>
      </c>
      <c r="D125" s="6" t="str">
        <f>VLOOKUP(B125,Sheet3!$B$2:$E$311,3,)</f>
        <v>PACKAGING LUUCA</v>
      </c>
      <c r="E125" s="6" t="str">
        <f>VLOOKUP(B125,Sheet3!$B$2:$E$311,4,)</f>
        <v>PCS</v>
      </c>
      <c r="F125" s="28">
        <v>1.0</v>
      </c>
      <c r="G125" s="28" t="s">
        <v>906</v>
      </c>
      <c r="H125" s="28" t="s">
        <v>553</v>
      </c>
      <c r="I125" s="20" t="s">
        <v>661</v>
      </c>
      <c r="J125" s="20" t="s">
        <v>889</v>
      </c>
    </row>
    <row r="126" ht="15.75" customHeight="1">
      <c r="A126" s="23"/>
      <c r="B126" s="27" t="s">
        <v>514</v>
      </c>
      <c r="C126" s="6" t="str">
        <f>VLOOKUP(B126,Sheet3!$B$2:$E$311,2,FALSE)</f>
        <v>#N/A</v>
      </c>
      <c r="D126" s="6" t="str">
        <f>VLOOKUP(B126,Sheet3!$B$2:$E$311,3,)</f>
        <v>#N/A</v>
      </c>
      <c r="E126" s="6" t="str">
        <f>VLOOKUP(B126,Sheet3!$B$2:$E$311,4,)</f>
        <v>#N/A</v>
      </c>
      <c r="F126" s="28">
        <v>150.0</v>
      </c>
      <c r="G126" s="28" t="s">
        <v>906</v>
      </c>
      <c r="H126" s="28" t="s">
        <v>553</v>
      </c>
      <c r="I126" s="20" t="s">
        <v>661</v>
      </c>
      <c r="J126" s="20" t="s">
        <v>889</v>
      </c>
    </row>
    <row r="127" ht="15.75" customHeight="1">
      <c r="A127" s="29"/>
      <c r="B127" s="27" t="s">
        <v>908</v>
      </c>
      <c r="C127" s="6" t="str">
        <f>VLOOKUP(B127,Sheet3!$B$2:$E$311,2,FALSE)</f>
        <v>#N/A</v>
      </c>
      <c r="D127" s="6" t="str">
        <f>VLOOKUP(B127,Sheet3!$B$2:$E$311,3,)</f>
        <v>#N/A</v>
      </c>
      <c r="E127" s="6" t="str">
        <f>VLOOKUP(B127,Sheet3!$B$2:$E$311,4,)</f>
        <v>#N/A</v>
      </c>
      <c r="F127" s="28">
        <v>40.0</v>
      </c>
      <c r="G127" s="28" t="s">
        <v>906</v>
      </c>
      <c r="H127" s="28" t="s">
        <v>553</v>
      </c>
      <c r="I127" s="20" t="s">
        <v>661</v>
      </c>
      <c r="J127" s="20" t="s">
        <v>889</v>
      </c>
    </row>
    <row r="128" ht="15.75" customHeight="1">
      <c r="A128" s="23"/>
      <c r="B128" s="27" t="s">
        <v>71</v>
      </c>
      <c r="C128" s="6" t="str">
        <f>VLOOKUP(B128,Sheet3!$B$2:$E$311,2,FALSE)</f>
        <v>B004</v>
      </c>
      <c r="D128" s="6" t="str">
        <f>VLOOKUP(B128,Sheet3!$B$2:$E$311,3,)</f>
        <v>BAHAN BAKU LUUCA</v>
      </c>
      <c r="E128" s="6" t="str">
        <f>VLOOKUP(B128,Sheet3!$B$2:$E$311,4,)</f>
        <v>GR</v>
      </c>
      <c r="F128" s="28">
        <v>12.0</v>
      </c>
      <c r="G128" s="28" t="s">
        <v>906</v>
      </c>
      <c r="H128" s="28" t="s">
        <v>553</v>
      </c>
      <c r="I128" s="20" t="s">
        <v>661</v>
      </c>
      <c r="J128" s="20" t="s">
        <v>889</v>
      </c>
    </row>
    <row r="129" ht="15.75" customHeight="1">
      <c r="A129" s="23"/>
      <c r="B129" s="27" t="s">
        <v>108</v>
      </c>
      <c r="C129" s="6" t="str">
        <f>VLOOKUP(B129,Sheet3!$B$2:$E$311,2,FALSE)</f>
        <v>B004</v>
      </c>
      <c r="D129" s="6" t="str">
        <f>VLOOKUP(B129,Sheet3!$B$2:$E$311,3,)</f>
        <v>BAHAN BAKU LUUCA</v>
      </c>
      <c r="E129" s="6" t="str">
        <f>VLOOKUP(B129,Sheet3!$B$2:$E$311,4,)</f>
        <v>GR</v>
      </c>
      <c r="F129" s="28">
        <v>12.0</v>
      </c>
      <c r="G129" s="28" t="s">
        <v>906</v>
      </c>
      <c r="H129" s="28" t="s">
        <v>553</v>
      </c>
      <c r="I129" s="20" t="s">
        <v>661</v>
      </c>
      <c r="J129" s="20" t="s">
        <v>889</v>
      </c>
    </row>
    <row r="130" ht="15.75" customHeight="1">
      <c r="A130" s="23"/>
      <c r="B130" s="27" t="s">
        <v>14</v>
      </c>
      <c r="C130" s="6" t="str">
        <f>VLOOKUP(B130,Sheet3!$B$2:$E$311,2,FALSE)</f>
        <v>B004</v>
      </c>
      <c r="D130" s="6" t="str">
        <f>VLOOKUP(B130,Sheet3!$B$2:$E$311,3,)</f>
        <v>BAHAN BAKU LUUCA</v>
      </c>
      <c r="E130" s="6" t="str">
        <f>VLOOKUP(B130,Sheet3!$B$2:$E$311,4,)</f>
        <v>GR</v>
      </c>
      <c r="F130" s="28">
        <v>3.0</v>
      </c>
      <c r="G130" s="28" t="s">
        <v>906</v>
      </c>
      <c r="H130" s="28" t="s">
        <v>553</v>
      </c>
      <c r="I130" s="20" t="s">
        <v>661</v>
      </c>
      <c r="J130" s="20" t="s">
        <v>889</v>
      </c>
    </row>
    <row r="131" ht="15.75" customHeight="1">
      <c r="A131" s="26">
        <v>46163.0</v>
      </c>
      <c r="B131" s="18" t="s">
        <v>570</v>
      </c>
      <c r="C131" s="6" t="str">
        <f>VLOOKUP(B131,Sheet3!$B$2:$E$311,2,FALSE)</f>
        <v>#N/A</v>
      </c>
      <c r="D131" s="27" t="s">
        <v>16</v>
      </c>
      <c r="E131" s="27" t="s">
        <v>17</v>
      </c>
      <c r="F131" s="28" t="s">
        <v>827</v>
      </c>
      <c r="G131" s="28" t="s">
        <v>572</v>
      </c>
      <c r="H131" s="28" t="s">
        <v>541</v>
      </c>
      <c r="I131" s="20" t="s">
        <v>661</v>
      </c>
      <c r="J131" s="20" t="s">
        <v>889</v>
      </c>
    </row>
    <row r="132" ht="15.75" customHeight="1">
      <c r="A132" s="29">
        <v>46164.0</v>
      </c>
      <c r="B132" s="27" t="s">
        <v>108</v>
      </c>
      <c r="C132" s="6" t="str">
        <f>VLOOKUP(B132,Sheet3!$B$2:$E$311,2,FALSE)</f>
        <v>B004</v>
      </c>
      <c r="D132" s="6" t="str">
        <f>VLOOKUP(B132,Sheet3!$B$2:$E$311,3,)</f>
        <v>BAHAN BAKU LUUCA</v>
      </c>
      <c r="E132" s="6" t="str">
        <f>VLOOKUP(B132,Sheet3!$B$2:$E$311,4,)</f>
        <v>GR</v>
      </c>
      <c r="F132" s="28" t="s">
        <v>917</v>
      </c>
      <c r="G132" s="28" t="s">
        <v>792</v>
      </c>
      <c r="H132" s="28" t="s">
        <v>541</v>
      </c>
      <c r="I132" s="20" t="s">
        <v>661</v>
      </c>
      <c r="J132" s="20" t="s">
        <v>889</v>
      </c>
    </row>
    <row r="133" ht="15.75" customHeight="1">
      <c r="A133" s="23"/>
      <c r="B133" s="27" t="s">
        <v>34</v>
      </c>
      <c r="C133" s="6" t="str">
        <f>VLOOKUP(B133,Sheet3!$B$2:$E$311,2,FALSE)</f>
        <v>B004</v>
      </c>
      <c r="D133" s="6" t="str">
        <f>VLOOKUP(B133,Sheet3!$B$2:$E$311,3,)</f>
        <v>BAHAN BAKU LUUCA</v>
      </c>
      <c r="E133" s="6" t="str">
        <f>VLOOKUP(B133,Sheet3!$B$2:$E$311,4,)</f>
        <v>GR</v>
      </c>
      <c r="F133" s="28">
        <v>716.0</v>
      </c>
      <c r="G133" s="28" t="s">
        <v>703</v>
      </c>
      <c r="H133" s="28" t="s">
        <v>541</v>
      </c>
      <c r="I133" s="20" t="s">
        <v>661</v>
      </c>
      <c r="J133" s="20" t="s">
        <v>889</v>
      </c>
    </row>
    <row r="134" ht="15.75" customHeight="1">
      <c r="A134" s="23"/>
      <c r="B134" s="27" t="s">
        <v>34</v>
      </c>
      <c r="C134" s="6" t="str">
        <f>VLOOKUP(B134,Sheet3!$B$2:$E$311,2,FALSE)</f>
        <v>B004</v>
      </c>
      <c r="D134" s="6" t="str">
        <f>VLOOKUP(B134,Sheet3!$B$2:$E$311,3,)</f>
        <v>BAHAN BAKU LUUCA</v>
      </c>
      <c r="E134" s="6" t="str">
        <f>VLOOKUP(B134,Sheet3!$B$2:$E$311,4,)</f>
        <v>GR</v>
      </c>
      <c r="F134" s="28" t="s">
        <v>919</v>
      </c>
      <c r="G134" s="28" t="s">
        <v>703</v>
      </c>
      <c r="H134" s="28" t="s">
        <v>553</v>
      </c>
      <c r="I134" s="20" t="s">
        <v>661</v>
      </c>
      <c r="J134" s="20" t="s">
        <v>889</v>
      </c>
    </row>
    <row r="135" ht="15.75" customHeight="1">
      <c r="A135" s="23"/>
      <c r="B135" s="27" t="s">
        <v>108</v>
      </c>
      <c r="C135" s="6" t="str">
        <f>VLOOKUP(B135,Sheet3!$B$2:$E$311,2,FALSE)</f>
        <v>B004</v>
      </c>
      <c r="D135" s="6" t="str">
        <f>VLOOKUP(B135,Sheet3!$B$2:$E$311,3,)</f>
        <v>BAHAN BAKU LUUCA</v>
      </c>
      <c r="E135" s="6" t="str">
        <f>VLOOKUP(B135,Sheet3!$B$2:$E$311,4,)</f>
        <v>GR</v>
      </c>
      <c r="F135" s="28" t="s">
        <v>761</v>
      </c>
      <c r="G135" s="28" t="s">
        <v>819</v>
      </c>
      <c r="H135" s="28" t="s">
        <v>553</v>
      </c>
      <c r="I135" s="20" t="s">
        <v>661</v>
      </c>
      <c r="J135" s="20" t="s">
        <v>889</v>
      </c>
    </row>
    <row r="136" ht="15.75" customHeight="1">
      <c r="A136" s="23"/>
      <c r="B136" s="27" t="s">
        <v>53</v>
      </c>
      <c r="C136" s="6" t="str">
        <f>VLOOKUP(B136,Sheet3!$B$2:$E$311,2,FALSE)</f>
        <v>B004</v>
      </c>
      <c r="D136" s="6" t="str">
        <f>VLOOKUP(B136,Sheet3!$B$2:$E$311,3,)</f>
        <v>BAHAN BAKU LUUCA</v>
      </c>
      <c r="E136" s="6" t="str">
        <f>VLOOKUP(B136,Sheet3!$B$2:$E$311,4,)</f>
        <v>GR</v>
      </c>
      <c r="F136" s="28">
        <v>40.0</v>
      </c>
      <c r="G136" s="28" t="s">
        <v>921</v>
      </c>
      <c r="H136" s="28" t="s">
        <v>615</v>
      </c>
      <c r="I136" s="20" t="s">
        <v>661</v>
      </c>
      <c r="J136" s="20" t="s">
        <v>889</v>
      </c>
    </row>
    <row r="137" ht="15.75" customHeight="1">
      <c r="A137" s="23"/>
      <c r="B137" s="27" t="s">
        <v>514</v>
      </c>
      <c r="C137" s="6" t="str">
        <f>VLOOKUP(B137,Sheet3!$B$2:$E$311,2,FALSE)</f>
        <v>#N/A</v>
      </c>
      <c r="D137" s="6" t="str">
        <f>VLOOKUP(B137,Sheet3!$B$2:$E$311,3,)</f>
        <v>#N/A</v>
      </c>
      <c r="E137" s="6" t="str">
        <f>VLOOKUP(B137,Sheet3!$B$2:$E$311,4,)</f>
        <v>#N/A</v>
      </c>
      <c r="F137" s="28" t="s">
        <v>922</v>
      </c>
      <c r="G137" s="28" t="s">
        <v>923</v>
      </c>
      <c r="H137" s="28" t="s">
        <v>615</v>
      </c>
      <c r="I137" s="20" t="s">
        <v>661</v>
      </c>
      <c r="J137" s="20" t="s">
        <v>889</v>
      </c>
    </row>
    <row r="138" ht="15.75" customHeight="1">
      <c r="A138" s="23"/>
      <c r="B138" s="27" t="s">
        <v>108</v>
      </c>
      <c r="C138" s="6" t="str">
        <f>VLOOKUP(B138,Sheet3!$B$2:$E$311,2,FALSE)</f>
        <v>B004</v>
      </c>
      <c r="D138" s="6" t="str">
        <f>VLOOKUP(B138,Sheet3!$B$2:$E$311,3,)</f>
        <v>BAHAN BAKU LUUCA</v>
      </c>
      <c r="E138" s="6" t="str">
        <f>VLOOKUP(B138,Sheet3!$B$2:$E$311,4,)</f>
        <v>GR</v>
      </c>
      <c r="F138" s="28" t="s">
        <v>693</v>
      </c>
      <c r="G138" s="28" t="s">
        <v>797</v>
      </c>
      <c r="H138" s="28" t="s">
        <v>541</v>
      </c>
      <c r="I138" s="20" t="s">
        <v>661</v>
      </c>
      <c r="J138" s="20" t="s">
        <v>889</v>
      </c>
    </row>
    <row r="139" ht="15.75" customHeight="1">
      <c r="A139" s="26">
        <v>46165.0</v>
      </c>
      <c r="B139" s="27" t="s">
        <v>108</v>
      </c>
      <c r="C139" s="6" t="str">
        <f>VLOOKUP(B139,Sheet3!$B$2:$E$311,2,FALSE)</f>
        <v>B004</v>
      </c>
      <c r="D139" s="6" t="str">
        <f>VLOOKUP(B139,Sheet3!$B$2:$E$311,3,)</f>
        <v>BAHAN BAKU LUUCA</v>
      </c>
      <c r="E139" s="6" t="str">
        <f>VLOOKUP(B139,Sheet3!$B$2:$E$311,4,)</f>
        <v>GR</v>
      </c>
      <c r="F139" s="28">
        <v>57.0</v>
      </c>
      <c r="G139" s="28" t="s">
        <v>797</v>
      </c>
      <c r="H139" s="28" t="s">
        <v>553</v>
      </c>
      <c r="I139" s="20" t="s">
        <v>661</v>
      </c>
      <c r="J139" s="20" t="s">
        <v>889</v>
      </c>
    </row>
    <row r="140" ht="15.75" customHeight="1">
      <c r="A140" s="26"/>
      <c r="B140" s="27" t="s">
        <v>106</v>
      </c>
      <c r="C140" s="6" t="str">
        <f>VLOOKUP(B140,Sheet3!$B$2:$E$311,2,FALSE)</f>
        <v>B004</v>
      </c>
      <c r="D140" s="6" t="str">
        <f>VLOOKUP(B140,Sheet3!$B$2:$E$311,3,)</f>
        <v>BAHAN BAKU LUUCA</v>
      </c>
      <c r="E140" s="6" t="str">
        <f>VLOOKUP(B140,Sheet3!$B$2:$E$311,4,)</f>
        <v>GR</v>
      </c>
      <c r="F140" s="28" t="s">
        <v>926</v>
      </c>
      <c r="G140" s="28" t="s">
        <v>927</v>
      </c>
      <c r="H140" s="28" t="s">
        <v>629</v>
      </c>
      <c r="I140" s="20" t="s">
        <v>661</v>
      </c>
      <c r="J140" s="20" t="s">
        <v>889</v>
      </c>
    </row>
    <row r="141" ht="15.75" customHeight="1">
      <c r="A141" s="23"/>
      <c r="B141" s="27" t="s">
        <v>53</v>
      </c>
      <c r="C141" s="6" t="str">
        <f>VLOOKUP(B141,Sheet3!$B$2:$E$311,2,FALSE)</f>
        <v>B004</v>
      </c>
      <c r="D141" s="6" t="str">
        <f>VLOOKUP(B141,Sheet3!$B$2:$E$311,3,)</f>
        <v>BAHAN BAKU LUUCA</v>
      </c>
      <c r="E141" s="6" t="str">
        <f>VLOOKUP(B141,Sheet3!$B$2:$E$311,4,)</f>
        <v>GR</v>
      </c>
      <c r="F141" s="28" t="s">
        <v>929</v>
      </c>
      <c r="G141" s="28" t="s">
        <v>793</v>
      </c>
      <c r="H141" s="28" t="s">
        <v>522</v>
      </c>
      <c r="I141" s="20" t="s">
        <v>661</v>
      </c>
      <c r="J141" s="20" t="s">
        <v>889</v>
      </c>
    </row>
    <row r="142" ht="15.75" customHeight="1">
      <c r="A142" s="23"/>
      <c r="B142" s="27" t="s">
        <v>53</v>
      </c>
      <c r="C142" s="6" t="str">
        <f>VLOOKUP(B142,Sheet3!$B$2:$E$311,2,FALSE)</f>
        <v>B004</v>
      </c>
      <c r="D142" s="6" t="str">
        <f>VLOOKUP(B142,Sheet3!$B$2:$E$311,3,)</f>
        <v>BAHAN BAKU LUUCA</v>
      </c>
      <c r="E142" s="6" t="str">
        <f>VLOOKUP(B142,Sheet3!$B$2:$E$311,4,)</f>
        <v>GR</v>
      </c>
      <c r="F142" s="28" t="s">
        <v>930</v>
      </c>
      <c r="G142" s="28" t="s">
        <v>496</v>
      </c>
      <c r="H142" s="28" t="s">
        <v>522</v>
      </c>
      <c r="I142" s="20" t="s">
        <v>661</v>
      </c>
      <c r="J142" s="20" t="s">
        <v>889</v>
      </c>
    </row>
    <row r="143" ht="15.75" customHeight="1">
      <c r="A143" s="23"/>
      <c r="B143" s="27" t="s">
        <v>109</v>
      </c>
      <c r="C143" s="6" t="str">
        <f>VLOOKUP(B143,Sheet3!$B$2:$E$311,2,FALSE)</f>
        <v>B004</v>
      </c>
      <c r="D143" s="6" t="str">
        <f>VLOOKUP(B143,Sheet3!$B$2:$E$311,3,)</f>
        <v>BAHAN BAKU LUUCA</v>
      </c>
      <c r="E143" s="6" t="str">
        <f>VLOOKUP(B143,Sheet3!$B$2:$E$311,4,)</f>
        <v>GR</v>
      </c>
      <c r="F143" s="28">
        <v>73.0</v>
      </c>
      <c r="G143" s="28" t="s">
        <v>496</v>
      </c>
      <c r="H143" s="28" t="s">
        <v>522</v>
      </c>
      <c r="I143" s="20" t="s">
        <v>661</v>
      </c>
      <c r="J143" s="20" t="s">
        <v>889</v>
      </c>
    </row>
    <row r="144" ht="15.75" customHeight="1">
      <c r="A144" s="23"/>
      <c r="B144" s="27" t="s">
        <v>109</v>
      </c>
      <c r="C144" s="6" t="str">
        <f>VLOOKUP(B144,Sheet3!$B$2:$E$311,2,FALSE)</f>
        <v>B004</v>
      </c>
      <c r="D144" s="6" t="str">
        <f>VLOOKUP(B144,Sheet3!$B$2:$E$311,3,)</f>
        <v>BAHAN BAKU LUUCA</v>
      </c>
      <c r="E144" s="6" t="str">
        <f>VLOOKUP(B144,Sheet3!$B$2:$E$311,4,)</f>
        <v>GR</v>
      </c>
      <c r="F144" s="28" t="s">
        <v>932</v>
      </c>
      <c r="G144" s="28" t="s">
        <v>588</v>
      </c>
      <c r="H144" s="28" t="s">
        <v>522</v>
      </c>
      <c r="I144" s="20" t="s">
        <v>661</v>
      </c>
      <c r="J144" s="20" t="s">
        <v>889</v>
      </c>
    </row>
    <row r="145" ht="15.75" customHeight="1">
      <c r="A145" s="26">
        <v>46166.0</v>
      </c>
      <c r="B145" s="27" t="s">
        <v>186</v>
      </c>
      <c r="C145" s="6" t="str">
        <f>VLOOKUP(B145,Sheet3!$B$2:$E$311,2,FALSE)</f>
        <v>P006</v>
      </c>
      <c r="D145" s="6" t="str">
        <f>VLOOKUP(B145,Sheet3!$B$2:$E$311,3,)</f>
        <v>PRODUKSI STOK LUUCA</v>
      </c>
      <c r="E145" s="6" t="str">
        <f>VLOOKUP(B145,Sheet3!$B$2:$E$311,4,)</f>
        <v>GR</v>
      </c>
      <c r="F145" s="28" t="s">
        <v>933</v>
      </c>
      <c r="G145" s="28" t="s">
        <v>370</v>
      </c>
      <c r="H145" s="28" t="s">
        <v>541</v>
      </c>
      <c r="I145" s="20" t="s">
        <v>661</v>
      </c>
      <c r="J145" s="20" t="s">
        <v>889</v>
      </c>
    </row>
    <row r="146" ht="15.75" customHeight="1">
      <c r="A146" s="23"/>
      <c r="B146" s="27" t="s">
        <v>77</v>
      </c>
      <c r="C146" s="6" t="str">
        <f>VLOOKUP(B146,Sheet3!$B$2:$E$311,2,FALSE)</f>
        <v>B004</v>
      </c>
      <c r="D146" s="6" t="str">
        <f>VLOOKUP(B146,Sheet3!$B$2:$E$311,3,)</f>
        <v>BAHAN BAKU LUUCA</v>
      </c>
      <c r="E146" s="6" t="str">
        <f>VLOOKUP(B146,Sheet3!$B$2:$E$311,4,)</f>
        <v>PCS</v>
      </c>
      <c r="F146" s="28">
        <v>1.0</v>
      </c>
      <c r="G146" s="28" t="s">
        <v>935</v>
      </c>
      <c r="H146" s="28" t="s">
        <v>522</v>
      </c>
      <c r="I146" s="20" t="s">
        <v>661</v>
      </c>
      <c r="J146" s="20" t="s">
        <v>889</v>
      </c>
    </row>
    <row r="147" ht="15.75" customHeight="1">
      <c r="A147" s="23"/>
      <c r="B147" s="27" t="s">
        <v>34</v>
      </c>
      <c r="C147" s="6" t="str">
        <f>VLOOKUP(B147,Sheet3!$B$2:$E$311,2,FALSE)</f>
        <v>B004</v>
      </c>
      <c r="D147" s="6" t="str">
        <f>VLOOKUP(B147,Sheet3!$B$2:$E$311,3,)</f>
        <v>BAHAN BAKU LUUCA</v>
      </c>
      <c r="E147" s="6" t="str">
        <f>VLOOKUP(B147,Sheet3!$B$2:$E$311,4,)</f>
        <v>GR</v>
      </c>
      <c r="F147" s="28" t="s">
        <v>936</v>
      </c>
      <c r="G147" s="28" t="s">
        <v>703</v>
      </c>
      <c r="H147" s="28" t="s">
        <v>541</v>
      </c>
      <c r="I147" s="20" t="s">
        <v>661</v>
      </c>
      <c r="J147" s="20" t="s">
        <v>889</v>
      </c>
    </row>
    <row r="148" ht="15.75" customHeight="1">
      <c r="A148" s="23"/>
      <c r="B148" s="27" t="s">
        <v>53</v>
      </c>
      <c r="C148" s="6" t="str">
        <f>VLOOKUP(B148,Sheet3!$B$2:$E$311,2,FALSE)</f>
        <v>B004</v>
      </c>
      <c r="D148" s="6" t="str">
        <f>VLOOKUP(B148,Sheet3!$B$2:$E$311,3,)</f>
        <v>BAHAN BAKU LUUCA</v>
      </c>
      <c r="E148" s="6" t="str">
        <f>VLOOKUP(B148,Sheet3!$B$2:$E$311,4,)</f>
        <v>GR</v>
      </c>
      <c r="F148" s="28" t="s">
        <v>938</v>
      </c>
      <c r="G148" s="28" t="s">
        <v>793</v>
      </c>
      <c r="H148" s="28" t="s">
        <v>541</v>
      </c>
      <c r="I148" s="20" t="s">
        <v>661</v>
      </c>
      <c r="J148" s="20" t="s">
        <v>889</v>
      </c>
    </row>
    <row r="149" ht="15.75" customHeight="1">
      <c r="A149" s="23"/>
      <c r="B149" s="27" t="s">
        <v>514</v>
      </c>
      <c r="C149" s="6" t="str">
        <f>VLOOKUP(B149,Sheet3!$B$2:$E$311,2,FALSE)</f>
        <v>#N/A</v>
      </c>
      <c r="D149" s="6" t="str">
        <f>VLOOKUP(B149,Sheet3!$B$2:$E$311,3,)</f>
        <v>#N/A</v>
      </c>
      <c r="E149" s="6" t="str">
        <f>VLOOKUP(B149,Sheet3!$B$2:$E$311,4,)</f>
        <v>#N/A</v>
      </c>
      <c r="F149" s="28" t="s">
        <v>940</v>
      </c>
      <c r="G149" s="28" t="s">
        <v>941</v>
      </c>
      <c r="H149" s="28" t="s">
        <v>859</v>
      </c>
      <c r="I149" s="20" t="s">
        <v>661</v>
      </c>
      <c r="J149" s="20" t="s">
        <v>889</v>
      </c>
    </row>
    <row r="150" ht="15.75" customHeight="1">
      <c r="A150" s="23"/>
      <c r="B150" s="27" t="s">
        <v>175</v>
      </c>
      <c r="C150" s="6" t="str">
        <f>VLOOKUP(B150,Sheet3!$B$2:$E$311,2,FALSE)</f>
        <v>P006</v>
      </c>
      <c r="D150" s="6" t="str">
        <f>VLOOKUP(B150,Sheet3!$B$2:$E$311,3,)</f>
        <v>PRODUKSI STOK LUUCA</v>
      </c>
      <c r="E150" s="6" t="str">
        <f>VLOOKUP(B150,Sheet3!$B$2:$E$311,4,)</f>
        <v>GR</v>
      </c>
      <c r="F150" s="28" t="s">
        <v>943</v>
      </c>
      <c r="G150" s="28" t="s">
        <v>941</v>
      </c>
      <c r="H150" s="28" t="s">
        <v>859</v>
      </c>
      <c r="I150" s="20" t="s">
        <v>661</v>
      </c>
      <c r="J150" s="20" t="s">
        <v>889</v>
      </c>
    </row>
    <row r="151" ht="15.75" customHeight="1">
      <c r="A151" s="23"/>
      <c r="B151" s="27" t="s">
        <v>108</v>
      </c>
      <c r="C151" s="6" t="str">
        <f>VLOOKUP(B151,Sheet3!$B$2:$E$311,2,FALSE)</f>
        <v>B004</v>
      </c>
      <c r="D151" s="6" t="str">
        <f>VLOOKUP(B151,Sheet3!$B$2:$E$311,3,)</f>
        <v>BAHAN BAKU LUUCA</v>
      </c>
      <c r="E151" s="6" t="str">
        <f>VLOOKUP(B151,Sheet3!$B$2:$E$311,4,)</f>
        <v>GR</v>
      </c>
      <c r="F151" s="28">
        <v>21.0</v>
      </c>
      <c r="G151" s="28" t="s">
        <v>792</v>
      </c>
      <c r="H151" s="28" t="s">
        <v>553</v>
      </c>
      <c r="I151" s="20" t="s">
        <v>661</v>
      </c>
      <c r="J151" s="20" t="s">
        <v>889</v>
      </c>
    </row>
    <row r="152" ht="15.75" customHeight="1">
      <c r="A152" s="23"/>
      <c r="B152" s="27" t="s">
        <v>34</v>
      </c>
      <c r="C152" s="6" t="str">
        <f>VLOOKUP(B152,Sheet3!$B$2:$E$311,2,FALSE)</f>
        <v>B004</v>
      </c>
      <c r="D152" s="6" t="str">
        <f>VLOOKUP(B152,Sheet3!$B$2:$E$311,3,)</f>
        <v>BAHAN BAKU LUUCA</v>
      </c>
      <c r="E152" s="6" t="str">
        <f>VLOOKUP(B152,Sheet3!$B$2:$E$311,4,)</f>
        <v>GR</v>
      </c>
      <c r="F152" s="28" t="s">
        <v>945</v>
      </c>
      <c r="G152" s="28" t="s">
        <v>703</v>
      </c>
      <c r="H152" s="28" t="s">
        <v>553</v>
      </c>
      <c r="I152" s="20" t="s">
        <v>661</v>
      </c>
      <c r="J152" s="20" t="s">
        <v>889</v>
      </c>
    </row>
    <row r="153" ht="15.75" customHeight="1">
      <c r="A153" s="26">
        <v>46167.0</v>
      </c>
      <c r="B153" s="27" t="s">
        <v>108</v>
      </c>
      <c r="C153" s="6" t="str">
        <f>VLOOKUP(B153,Sheet3!$B$2:$E$311,2,FALSE)</f>
        <v>B004</v>
      </c>
      <c r="D153" s="6" t="str">
        <f>VLOOKUP(B153,Sheet3!$B$2:$E$311,3,)</f>
        <v>BAHAN BAKU LUUCA</v>
      </c>
      <c r="E153" s="6" t="str">
        <f>VLOOKUP(B153,Sheet3!$B$2:$E$311,4,)</f>
        <v>GR</v>
      </c>
      <c r="F153" s="28">
        <v>41.0</v>
      </c>
      <c r="G153" s="28" t="s">
        <v>792</v>
      </c>
      <c r="H153" s="28" t="s">
        <v>629</v>
      </c>
      <c r="I153" s="20" t="s">
        <v>661</v>
      </c>
      <c r="J153" s="20" t="s">
        <v>889</v>
      </c>
    </row>
    <row r="154" ht="15.75" customHeight="1">
      <c r="A154" s="23"/>
      <c r="B154" s="27" t="s">
        <v>53</v>
      </c>
      <c r="C154" s="6" t="str">
        <f>VLOOKUP(B154,Sheet3!$B$2:$E$311,2,FALSE)</f>
        <v>B004</v>
      </c>
      <c r="D154" s="6" t="str">
        <f>VLOOKUP(B154,Sheet3!$B$2:$E$311,3,)</f>
        <v>BAHAN BAKU LUUCA</v>
      </c>
      <c r="E154" s="6" t="str">
        <f>VLOOKUP(B154,Sheet3!$B$2:$E$311,4,)</f>
        <v>GR</v>
      </c>
      <c r="F154" s="28" t="s">
        <v>947</v>
      </c>
      <c r="G154" s="28" t="s">
        <v>793</v>
      </c>
      <c r="H154" s="28" t="s">
        <v>629</v>
      </c>
      <c r="I154" s="20" t="s">
        <v>661</v>
      </c>
      <c r="J154" s="20" t="s">
        <v>889</v>
      </c>
    </row>
    <row r="155" ht="15.75" customHeight="1">
      <c r="A155" s="26">
        <v>46168.0</v>
      </c>
      <c r="B155" s="27" t="s">
        <v>181</v>
      </c>
      <c r="C155" s="6" t="str">
        <f>VLOOKUP(B155,Sheet3!$B$2:$E$311,2,FALSE)</f>
        <v>P006</v>
      </c>
      <c r="D155" s="6" t="str">
        <f>VLOOKUP(B155,Sheet3!$B$2:$E$311,3,)</f>
        <v>PRODUKSI STOK LUUCA</v>
      </c>
      <c r="E155" s="6" t="str">
        <f>VLOOKUP(B155,Sheet3!$B$2:$E$311,4,)</f>
        <v>GR</v>
      </c>
      <c r="F155" s="28">
        <v>1983.0</v>
      </c>
      <c r="G155" s="28" t="s">
        <v>370</v>
      </c>
      <c r="H155" s="27" t="s">
        <v>541</v>
      </c>
      <c r="I155" s="20" t="s">
        <v>661</v>
      </c>
      <c r="J155" s="20" t="s">
        <v>889</v>
      </c>
    </row>
    <row r="156" ht="15.75" customHeight="1">
      <c r="A156" s="23"/>
      <c r="B156" s="27" t="s">
        <v>181</v>
      </c>
      <c r="C156" s="6" t="str">
        <f>VLOOKUP(B156,Sheet3!$B$2:$E$311,2,FALSE)</f>
        <v>P006</v>
      </c>
      <c r="D156" s="6" t="str">
        <f>VLOOKUP(B156,Sheet3!$B$2:$E$311,3,)</f>
        <v>PRODUKSI STOK LUUCA</v>
      </c>
      <c r="E156" s="6" t="str">
        <f>VLOOKUP(B156,Sheet3!$B$2:$E$311,4,)</f>
        <v>GR</v>
      </c>
      <c r="F156" s="28">
        <v>2196.0</v>
      </c>
      <c r="G156" s="28" t="s">
        <v>370</v>
      </c>
      <c r="H156" s="27" t="s">
        <v>541</v>
      </c>
      <c r="I156" s="20" t="s">
        <v>661</v>
      </c>
      <c r="J156" s="20" t="s">
        <v>889</v>
      </c>
    </row>
    <row r="157" ht="15.75" customHeight="1">
      <c r="A157" s="26"/>
      <c r="B157" s="27" t="s">
        <v>181</v>
      </c>
      <c r="C157" s="6" t="str">
        <f>VLOOKUP(B157,Sheet3!$B$2:$E$311,2,FALSE)</f>
        <v>P006</v>
      </c>
      <c r="D157" s="6" t="str">
        <f>VLOOKUP(B157,Sheet3!$B$2:$E$311,3,)</f>
        <v>PRODUKSI STOK LUUCA</v>
      </c>
      <c r="E157" s="6" t="str">
        <f>VLOOKUP(B157,Sheet3!$B$2:$E$311,4,)</f>
        <v>GR</v>
      </c>
      <c r="F157" s="28" t="s">
        <v>951</v>
      </c>
      <c r="G157" s="28" t="s">
        <v>370</v>
      </c>
      <c r="H157" s="27" t="s">
        <v>541</v>
      </c>
      <c r="I157" s="20" t="s">
        <v>661</v>
      </c>
      <c r="J157" s="20" t="s">
        <v>889</v>
      </c>
    </row>
    <row r="158" ht="15.75" customHeight="1">
      <c r="A158" s="23"/>
      <c r="B158" s="27" t="s">
        <v>108</v>
      </c>
      <c r="C158" s="6" t="str">
        <f>VLOOKUP(B158,Sheet3!$B$2:$E$311,2,FALSE)</f>
        <v>B004</v>
      </c>
      <c r="D158" s="6" t="str">
        <f>VLOOKUP(B158,Sheet3!$B$2:$E$311,3,)</f>
        <v>BAHAN BAKU LUUCA</v>
      </c>
      <c r="E158" s="6" t="str">
        <f>VLOOKUP(B158,Sheet3!$B$2:$E$311,4,)</f>
        <v>GR</v>
      </c>
      <c r="F158" s="28" t="s">
        <v>952</v>
      </c>
      <c r="G158" s="27" t="s">
        <v>496</v>
      </c>
      <c r="H158" s="27" t="s">
        <v>541</v>
      </c>
      <c r="I158" s="20" t="s">
        <v>661</v>
      </c>
      <c r="J158" s="20" t="s">
        <v>889</v>
      </c>
    </row>
    <row r="159" ht="15.75" customHeight="1">
      <c r="A159" s="23"/>
      <c r="B159" s="18" t="s">
        <v>570</v>
      </c>
      <c r="C159" s="6" t="str">
        <f>VLOOKUP(B159,Sheet3!$B$2:$E$311,2,FALSE)</f>
        <v>#N/A</v>
      </c>
      <c r="D159" s="27" t="s">
        <v>16</v>
      </c>
      <c r="E159" s="27" t="s">
        <v>17</v>
      </c>
      <c r="F159" s="28" t="s">
        <v>954</v>
      </c>
      <c r="G159" s="28" t="s">
        <v>572</v>
      </c>
      <c r="H159" s="28" t="s">
        <v>595</v>
      </c>
      <c r="I159" s="20" t="s">
        <v>661</v>
      </c>
      <c r="J159" s="20" t="s">
        <v>889</v>
      </c>
    </row>
    <row r="160" ht="15.75" customHeight="1">
      <c r="A160" s="26" t="s">
        <v>958</v>
      </c>
      <c r="B160" s="27" t="s">
        <v>108</v>
      </c>
      <c r="C160" s="6" t="str">
        <f>VLOOKUP(B160,Sheet3!$B$2:$E$311,2,FALSE)</f>
        <v>B004</v>
      </c>
      <c r="D160" s="6" t="str">
        <f>VLOOKUP(B160,Sheet3!$B$2:$E$311,3,)</f>
        <v>BAHAN BAKU LUUCA</v>
      </c>
      <c r="E160" s="6" t="str">
        <f>VLOOKUP(B160,Sheet3!$B$2:$E$311,4,)</f>
        <v>GR</v>
      </c>
      <c r="F160" s="28" t="s">
        <v>960</v>
      </c>
      <c r="G160" s="28" t="s">
        <v>791</v>
      </c>
      <c r="H160" s="28" t="s">
        <v>615</v>
      </c>
      <c r="I160" s="20" t="s">
        <v>661</v>
      </c>
      <c r="J160" s="20" t="s">
        <v>889</v>
      </c>
    </row>
    <row r="161" ht="15.75" customHeight="1">
      <c r="A161" s="23"/>
      <c r="B161" s="27" t="s">
        <v>53</v>
      </c>
      <c r="C161" s="6" t="str">
        <f>VLOOKUP(B161,Sheet3!$B$2:$E$311,2,FALSE)</f>
        <v>B004</v>
      </c>
      <c r="D161" s="6" t="str">
        <f>VLOOKUP(B161,Sheet3!$B$2:$E$311,3,)</f>
        <v>BAHAN BAKU LUUCA</v>
      </c>
      <c r="E161" s="6" t="str">
        <f>VLOOKUP(B161,Sheet3!$B$2:$E$311,4,)</f>
        <v>GR</v>
      </c>
      <c r="F161" s="28" t="s">
        <v>961</v>
      </c>
      <c r="G161" s="28" t="s">
        <v>793</v>
      </c>
      <c r="H161" s="28" t="s">
        <v>561</v>
      </c>
      <c r="I161" s="20" t="s">
        <v>661</v>
      </c>
      <c r="J161" s="20" t="s">
        <v>889</v>
      </c>
    </row>
    <row r="162" ht="15.75" customHeight="1">
      <c r="A162" s="23"/>
      <c r="B162" s="27" t="s">
        <v>108</v>
      </c>
      <c r="C162" s="6" t="str">
        <f>VLOOKUP(B162,Sheet3!$B$2:$E$311,2,FALSE)</f>
        <v>B004</v>
      </c>
      <c r="D162" s="6" t="str">
        <f>VLOOKUP(B162,Sheet3!$B$2:$E$311,3,)</f>
        <v>BAHAN BAKU LUUCA</v>
      </c>
      <c r="E162" s="6" t="str">
        <f>VLOOKUP(B162,Sheet3!$B$2:$E$311,4,)</f>
        <v>GR</v>
      </c>
      <c r="F162" s="28" t="s">
        <v>951</v>
      </c>
      <c r="G162" s="28" t="s">
        <v>793</v>
      </c>
      <c r="H162" s="28" t="s">
        <v>522</v>
      </c>
      <c r="I162" s="20" t="s">
        <v>661</v>
      </c>
      <c r="J162" s="20" t="s">
        <v>889</v>
      </c>
    </row>
    <row r="163" ht="15.75" customHeight="1">
      <c r="A163" s="27"/>
      <c r="B163" s="27" t="s">
        <v>34</v>
      </c>
      <c r="C163" s="6" t="str">
        <f>VLOOKUP(B163,Sheet3!$B$2:$E$311,2,FALSE)</f>
        <v>B004</v>
      </c>
      <c r="D163" s="6" t="str">
        <f>VLOOKUP(B163,Sheet3!$B$2:$E$311,3,)</f>
        <v>BAHAN BAKU LUUCA</v>
      </c>
      <c r="E163" s="6" t="str">
        <f>VLOOKUP(B163,Sheet3!$B$2:$E$311,4,)</f>
        <v>GR</v>
      </c>
      <c r="F163" s="28">
        <v>519.0</v>
      </c>
      <c r="G163" s="28" t="s">
        <v>703</v>
      </c>
      <c r="H163" s="28" t="s">
        <v>522</v>
      </c>
      <c r="I163" s="20" t="s">
        <v>661</v>
      </c>
      <c r="J163" s="20" t="s">
        <v>889</v>
      </c>
    </row>
    <row r="164" ht="15.75" customHeight="1">
      <c r="A164" s="23"/>
      <c r="B164" s="27" t="s">
        <v>33</v>
      </c>
      <c r="C164" s="6" t="str">
        <f>VLOOKUP(B164,Sheet3!$B$2:$E$311,2,FALSE)</f>
        <v>B004</v>
      </c>
      <c r="D164" s="6" t="str">
        <f>VLOOKUP(B164,Sheet3!$B$2:$E$311,3,)</f>
        <v>BAHAN BAKU LUUCA</v>
      </c>
      <c r="E164" s="6" t="str">
        <f>VLOOKUP(B164,Sheet3!$B$2:$E$311,4,)</f>
        <v>GR</v>
      </c>
      <c r="F164" s="28" t="s">
        <v>965</v>
      </c>
      <c r="G164" s="28" t="s">
        <v>703</v>
      </c>
      <c r="H164" s="28" t="s">
        <v>522</v>
      </c>
      <c r="I164" s="20" t="s">
        <v>661</v>
      </c>
      <c r="J164" s="20" t="s">
        <v>889</v>
      </c>
    </row>
    <row r="165" ht="15.75" customHeight="1">
      <c r="A165" s="23"/>
      <c r="B165" s="27" t="s">
        <v>108</v>
      </c>
      <c r="C165" s="6" t="str">
        <f>VLOOKUP(B165,Sheet3!$B$2:$E$311,2,FALSE)</f>
        <v>B004</v>
      </c>
      <c r="D165" s="6" t="str">
        <f>VLOOKUP(B165,Sheet3!$B$2:$E$311,3,)</f>
        <v>BAHAN BAKU LUUCA</v>
      </c>
      <c r="E165" s="6" t="str">
        <f>VLOOKUP(B165,Sheet3!$B$2:$E$311,4,)</f>
        <v>GR</v>
      </c>
      <c r="F165" s="28" t="s">
        <v>966</v>
      </c>
      <c r="G165" s="28" t="s">
        <v>791</v>
      </c>
      <c r="H165" s="28" t="s">
        <v>522</v>
      </c>
      <c r="I165" s="20" t="s">
        <v>661</v>
      </c>
      <c r="J165" s="20" t="s">
        <v>889</v>
      </c>
    </row>
    <row r="166" ht="15.75" customHeight="1">
      <c r="A166" s="23"/>
      <c r="B166" s="27" t="s">
        <v>108</v>
      </c>
      <c r="C166" s="6" t="str">
        <f>VLOOKUP(B166,Sheet3!$B$2:$E$311,2,FALSE)</f>
        <v>B004</v>
      </c>
      <c r="D166" s="6" t="str">
        <f>VLOOKUP(B166,Sheet3!$B$2:$E$311,3,)</f>
        <v>BAHAN BAKU LUUCA</v>
      </c>
      <c r="E166" s="6" t="str">
        <f>VLOOKUP(B166,Sheet3!$B$2:$E$311,4,)</f>
        <v>GR</v>
      </c>
      <c r="F166" s="28" t="s">
        <v>779</v>
      </c>
      <c r="G166" s="28" t="s">
        <v>822</v>
      </c>
      <c r="H166" s="28" t="s">
        <v>522</v>
      </c>
      <c r="I166" s="20" t="s">
        <v>661</v>
      </c>
      <c r="J166" s="20" t="s">
        <v>889</v>
      </c>
    </row>
    <row r="167" ht="15.75" customHeight="1">
      <c r="A167" s="27"/>
      <c r="B167" s="27" t="s">
        <v>109</v>
      </c>
      <c r="C167" s="6" t="str">
        <f>VLOOKUP(B167,Sheet3!$B$2:$E$311,2,FALSE)</f>
        <v>B004</v>
      </c>
      <c r="D167" s="6" t="str">
        <f>VLOOKUP(B167,Sheet3!$B$2:$E$311,3,)</f>
        <v>BAHAN BAKU LUUCA</v>
      </c>
      <c r="E167" s="6" t="str">
        <f>VLOOKUP(B167,Sheet3!$B$2:$E$311,4,)</f>
        <v>GR</v>
      </c>
      <c r="F167" s="28" t="s">
        <v>898</v>
      </c>
      <c r="G167" s="28" t="s">
        <v>588</v>
      </c>
      <c r="H167" s="28" t="s">
        <v>522</v>
      </c>
      <c r="I167" s="20" t="s">
        <v>661</v>
      </c>
      <c r="J167" s="20" t="s">
        <v>889</v>
      </c>
    </row>
    <row r="168" ht="15.75" customHeight="1">
      <c r="A168" s="23"/>
      <c r="B168" s="27" t="s">
        <v>109</v>
      </c>
      <c r="C168" s="6" t="str">
        <f>VLOOKUP(B168,Sheet3!$B$2:$E$311,2,FALSE)</f>
        <v>B004</v>
      </c>
      <c r="D168" s="6" t="str">
        <f>VLOOKUP(B168,Sheet3!$B$2:$E$311,3,)</f>
        <v>BAHAN BAKU LUUCA</v>
      </c>
      <c r="E168" s="6" t="str">
        <f>VLOOKUP(B168,Sheet3!$B$2:$E$311,4,)</f>
        <v>GR</v>
      </c>
      <c r="F168" s="28" t="s">
        <v>873</v>
      </c>
      <c r="G168" s="28" t="s">
        <v>496</v>
      </c>
      <c r="H168" s="28" t="s">
        <v>522</v>
      </c>
      <c r="I168" s="20" t="s">
        <v>661</v>
      </c>
      <c r="J168" s="20" t="s">
        <v>889</v>
      </c>
    </row>
    <row r="169" ht="15.75" customHeight="1">
      <c r="A169" s="23"/>
      <c r="B169" s="27" t="s">
        <v>109</v>
      </c>
      <c r="C169" s="6" t="str">
        <f>VLOOKUP(B169,Sheet3!$B$2:$E$311,2,FALSE)</f>
        <v>B004</v>
      </c>
      <c r="D169" s="6" t="str">
        <f>VLOOKUP(B169,Sheet3!$B$2:$E$311,3,)</f>
        <v>BAHAN BAKU LUUCA</v>
      </c>
      <c r="E169" s="6" t="str">
        <f>VLOOKUP(B169,Sheet3!$B$2:$E$311,4,)</f>
        <v>GR</v>
      </c>
      <c r="F169" s="28" t="s">
        <v>968</v>
      </c>
      <c r="G169" s="28" t="s">
        <v>496</v>
      </c>
      <c r="H169" s="28" t="s">
        <v>522</v>
      </c>
      <c r="I169" s="20" t="s">
        <v>661</v>
      </c>
      <c r="J169" s="20" t="s">
        <v>889</v>
      </c>
    </row>
    <row r="170" ht="15.75" customHeight="1">
      <c r="A170" s="23"/>
      <c r="B170" s="27" t="s">
        <v>106</v>
      </c>
      <c r="C170" s="6" t="str">
        <f>VLOOKUP(B170,Sheet3!$B$2:$E$311,2,FALSE)</f>
        <v>B004</v>
      </c>
      <c r="D170" s="6" t="str">
        <f>VLOOKUP(B170,Sheet3!$B$2:$E$311,3,)</f>
        <v>BAHAN BAKU LUUCA</v>
      </c>
      <c r="E170" s="6" t="str">
        <f>VLOOKUP(B170,Sheet3!$B$2:$E$311,4,)</f>
        <v>GR</v>
      </c>
      <c r="F170" s="28" t="s">
        <v>857</v>
      </c>
      <c r="G170" s="28" t="s">
        <v>927</v>
      </c>
      <c r="H170" s="28" t="s">
        <v>522</v>
      </c>
      <c r="I170" s="20" t="s">
        <v>661</v>
      </c>
      <c r="J170" s="20" t="s">
        <v>889</v>
      </c>
    </row>
    <row r="171" ht="15.75" customHeight="1">
      <c r="A171" s="23"/>
      <c r="B171" s="27" t="s">
        <v>34</v>
      </c>
      <c r="C171" s="6" t="str">
        <f>VLOOKUP(B171,Sheet3!$B$2:$E$311,2,FALSE)</f>
        <v>B004</v>
      </c>
      <c r="D171" s="6" t="str">
        <f>VLOOKUP(B171,Sheet3!$B$2:$E$311,3,)</f>
        <v>BAHAN BAKU LUUCA</v>
      </c>
      <c r="E171" s="6" t="str">
        <f>VLOOKUP(B171,Sheet3!$B$2:$E$311,4,)</f>
        <v>GR</v>
      </c>
      <c r="F171" s="28" t="s">
        <v>970</v>
      </c>
      <c r="G171" s="28" t="s">
        <v>703</v>
      </c>
      <c r="H171" s="28" t="s">
        <v>971</v>
      </c>
      <c r="I171" s="20" t="s">
        <v>661</v>
      </c>
      <c r="J171" s="20" t="s">
        <v>889</v>
      </c>
    </row>
    <row r="172" ht="15.75" customHeight="1">
      <c r="A172" s="23"/>
      <c r="B172" s="27" t="s">
        <v>33</v>
      </c>
      <c r="C172" s="6" t="str">
        <f>VLOOKUP(B172,Sheet3!$B$2:$E$311,2,FALSE)</f>
        <v>B004</v>
      </c>
      <c r="D172" s="6" t="str">
        <f>VLOOKUP(B172,Sheet3!$B$2:$E$311,3,)</f>
        <v>BAHAN BAKU LUUCA</v>
      </c>
      <c r="E172" s="6" t="str">
        <f>VLOOKUP(B172,Sheet3!$B$2:$E$311,4,)</f>
        <v>GR</v>
      </c>
      <c r="F172" s="28">
        <v>737.0</v>
      </c>
      <c r="G172" s="28" t="s">
        <v>703</v>
      </c>
      <c r="H172" s="28" t="s">
        <v>522</v>
      </c>
      <c r="I172" s="20" t="s">
        <v>661</v>
      </c>
      <c r="J172" s="20" t="s">
        <v>889</v>
      </c>
    </row>
    <row r="173" ht="15.75" customHeight="1">
      <c r="A173" s="23"/>
      <c r="B173" s="27" t="s">
        <v>53</v>
      </c>
      <c r="C173" s="6" t="str">
        <f>VLOOKUP(B173,Sheet3!$B$2:$E$311,2,FALSE)</f>
        <v>B004</v>
      </c>
      <c r="D173" s="6" t="str">
        <f>VLOOKUP(B173,Sheet3!$B$2:$E$311,3,)</f>
        <v>BAHAN BAKU LUUCA</v>
      </c>
      <c r="E173" s="6" t="str">
        <f>VLOOKUP(B173,Sheet3!$B$2:$E$311,4,)</f>
        <v>GR</v>
      </c>
      <c r="F173" s="28" t="s">
        <v>973</v>
      </c>
      <c r="G173" s="28" t="s">
        <v>793</v>
      </c>
      <c r="H173" s="28" t="s">
        <v>522</v>
      </c>
      <c r="I173" s="20" t="s">
        <v>661</v>
      </c>
      <c r="J173" s="20" t="s">
        <v>889</v>
      </c>
    </row>
    <row r="174" ht="15.75" customHeight="1">
      <c r="A174" s="23"/>
      <c r="B174" s="27" t="s">
        <v>108</v>
      </c>
      <c r="C174" s="6" t="str">
        <f>VLOOKUP(B174,Sheet3!$B$2:$E$311,2,FALSE)</f>
        <v>B004</v>
      </c>
      <c r="D174" s="6" t="str">
        <f>VLOOKUP(B174,Sheet3!$B$2:$E$311,3,)</f>
        <v>BAHAN BAKU LUUCA</v>
      </c>
      <c r="E174" s="6" t="str">
        <f>VLOOKUP(B174,Sheet3!$B$2:$E$311,4,)</f>
        <v>GR</v>
      </c>
      <c r="F174" s="28" t="s">
        <v>975</v>
      </c>
      <c r="G174" s="28" t="s">
        <v>496</v>
      </c>
      <c r="H174" s="28" t="s">
        <v>522</v>
      </c>
      <c r="I174" s="20" t="s">
        <v>661</v>
      </c>
      <c r="J174" s="20" t="s">
        <v>889</v>
      </c>
    </row>
    <row r="175" ht="15.75" customHeight="1">
      <c r="A175" s="23"/>
      <c r="B175" s="27" t="s">
        <v>108</v>
      </c>
      <c r="C175" s="6" t="str">
        <f>VLOOKUP(B175,Sheet3!$B$2:$E$311,2,FALSE)</f>
        <v>B004</v>
      </c>
      <c r="D175" s="6" t="str">
        <f>VLOOKUP(B175,Sheet3!$B$2:$E$311,3,)</f>
        <v>BAHAN BAKU LUUCA</v>
      </c>
      <c r="E175" s="6" t="str">
        <f>VLOOKUP(B175,Sheet3!$B$2:$E$311,4,)</f>
        <v>GR</v>
      </c>
      <c r="F175" s="28" t="s">
        <v>575</v>
      </c>
      <c r="G175" s="28" t="s">
        <v>792</v>
      </c>
      <c r="H175" s="28" t="s">
        <v>522</v>
      </c>
      <c r="I175" s="20" t="s">
        <v>661</v>
      </c>
      <c r="J175" s="20" t="s">
        <v>889</v>
      </c>
    </row>
    <row r="176" ht="15.75" customHeight="1">
      <c r="A176" s="27"/>
      <c r="B176" s="27" t="s">
        <v>34</v>
      </c>
      <c r="C176" s="6" t="str">
        <f>VLOOKUP(B176,Sheet3!$B$2:$E$311,2,FALSE)</f>
        <v>B004</v>
      </c>
      <c r="D176" s="6" t="str">
        <f>VLOOKUP(B176,Sheet3!$B$2:$E$311,3,)</f>
        <v>BAHAN BAKU LUUCA</v>
      </c>
      <c r="E176" s="6" t="str">
        <f>VLOOKUP(B176,Sheet3!$B$2:$E$311,4,)</f>
        <v>GR</v>
      </c>
      <c r="F176" s="28">
        <v>854.0</v>
      </c>
      <c r="G176" s="28" t="s">
        <v>703</v>
      </c>
      <c r="H176" s="28" t="s">
        <v>522</v>
      </c>
      <c r="I176" s="20" t="s">
        <v>661</v>
      </c>
      <c r="J176" s="20" t="s">
        <v>889</v>
      </c>
    </row>
    <row r="177" ht="15.75" customHeight="1">
      <c r="A177" s="23"/>
      <c r="B177" s="27" t="s">
        <v>30</v>
      </c>
      <c r="C177" s="6" t="str">
        <f>VLOOKUP(B177,Sheet3!$B$2:$E$311,2,FALSE)</f>
        <v>B004</v>
      </c>
      <c r="D177" s="6" t="str">
        <f>VLOOKUP(B177,Sheet3!$B$2:$E$311,3,)</f>
        <v>BAHAN BAKU LUUCA</v>
      </c>
      <c r="E177" s="27" t="s">
        <v>37</v>
      </c>
      <c r="F177" s="28">
        <v>4.0</v>
      </c>
      <c r="G177" s="28" t="s">
        <v>830</v>
      </c>
      <c r="H177" s="28" t="s">
        <v>522</v>
      </c>
      <c r="I177" s="20" t="s">
        <v>661</v>
      </c>
      <c r="J177" s="20" t="s">
        <v>889</v>
      </c>
    </row>
    <row r="178" ht="15.75" customHeight="1">
      <c r="A178" s="23"/>
      <c r="B178" s="27" t="s">
        <v>809</v>
      </c>
      <c r="C178" s="6" t="str">
        <f>VLOOKUP(B178,Sheet3!$B$2:$E$311,2,FALSE)</f>
        <v>#N/A</v>
      </c>
      <c r="D178" s="6" t="str">
        <f>VLOOKUP(B178,Sheet3!$B$2:$E$311,3,)</f>
        <v>#N/A</v>
      </c>
      <c r="E178" s="6" t="str">
        <f>VLOOKUP(B178,Sheet3!$B$2:$E$311,4,)</f>
        <v>#N/A</v>
      </c>
      <c r="F178" s="28" t="s">
        <v>978</v>
      </c>
      <c r="G178" s="28" t="s">
        <v>979</v>
      </c>
      <c r="H178" s="28" t="s">
        <v>522</v>
      </c>
      <c r="I178" s="20" t="s">
        <v>661</v>
      </c>
      <c r="J178" s="20" t="s">
        <v>889</v>
      </c>
    </row>
    <row r="179" ht="15.75" customHeight="1">
      <c r="A179" s="26">
        <v>46170.0</v>
      </c>
      <c r="B179" s="27" t="s">
        <v>108</v>
      </c>
      <c r="C179" s="6" t="str">
        <f>VLOOKUP(B179,Sheet3!$B$2:$E$311,2,FALSE)</f>
        <v>B004</v>
      </c>
      <c r="D179" s="6" t="str">
        <f>VLOOKUP(B179,Sheet3!$B$2:$E$311,3,)</f>
        <v>BAHAN BAKU LUUCA</v>
      </c>
      <c r="E179" s="6" t="str">
        <f>VLOOKUP(B179,Sheet3!$B$2:$E$311,4,)</f>
        <v>GR</v>
      </c>
      <c r="F179" s="28" t="s">
        <v>981</v>
      </c>
      <c r="G179" s="28" t="s">
        <v>792</v>
      </c>
      <c r="H179" s="28" t="s">
        <v>553</v>
      </c>
      <c r="I179" s="20" t="s">
        <v>661</v>
      </c>
      <c r="J179" s="20" t="s">
        <v>889</v>
      </c>
    </row>
    <row r="180" ht="15.75" customHeight="1">
      <c r="A180" s="23"/>
      <c r="B180" s="18" t="s">
        <v>570</v>
      </c>
      <c r="C180" s="6" t="str">
        <f>VLOOKUP(B180,Sheet3!$B$2:$E$311,2,FALSE)</f>
        <v>#N/A</v>
      </c>
      <c r="D180" s="27" t="s">
        <v>16</v>
      </c>
      <c r="E180" s="27" t="s">
        <v>17</v>
      </c>
      <c r="F180" s="28" t="s">
        <v>982</v>
      </c>
      <c r="G180" s="28" t="s">
        <v>572</v>
      </c>
      <c r="H180" s="28" t="s">
        <v>983</v>
      </c>
      <c r="I180" s="20" t="s">
        <v>661</v>
      </c>
      <c r="J180" s="20" t="s">
        <v>889</v>
      </c>
    </row>
    <row r="181" ht="15.75" customHeight="1">
      <c r="A181" s="27"/>
      <c r="B181" s="27" t="s">
        <v>79</v>
      </c>
      <c r="C181" s="6" t="str">
        <f>VLOOKUP(B181,Sheet3!$B$2:$E$311,2,FALSE)</f>
        <v>B004</v>
      </c>
      <c r="D181" s="6" t="str">
        <f>VLOOKUP(B181,Sheet3!$B$2:$E$311,3,)</f>
        <v>BAHAN BAKU LUUCA</v>
      </c>
      <c r="E181" s="6" t="str">
        <f>VLOOKUP(B181,Sheet3!$B$2:$E$311,4,)</f>
        <v>PCS</v>
      </c>
      <c r="F181" s="28">
        <v>1.0</v>
      </c>
      <c r="G181" s="28" t="s">
        <v>830</v>
      </c>
      <c r="H181" s="28" t="s">
        <v>541</v>
      </c>
      <c r="I181" s="20" t="s">
        <v>661</v>
      </c>
      <c r="J181" s="20" t="s">
        <v>889</v>
      </c>
    </row>
    <row r="182" ht="15.75" customHeight="1">
      <c r="A182" s="27"/>
      <c r="B182" s="27" t="s">
        <v>108</v>
      </c>
      <c r="C182" s="6" t="str">
        <f>VLOOKUP(B182,Sheet3!$B$2:$E$311,2,FALSE)</f>
        <v>B004</v>
      </c>
      <c r="D182" s="6" t="str">
        <f>VLOOKUP(B182,Sheet3!$B$2:$E$311,3,)</f>
        <v>BAHAN BAKU LUUCA</v>
      </c>
      <c r="E182" s="6" t="str">
        <f>VLOOKUP(B182,Sheet3!$B$2:$E$311,4,)</f>
        <v>GR</v>
      </c>
      <c r="F182" s="28" t="s">
        <v>987</v>
      </c>
      <c r="G182" s="28" t="s">
        <v>496</v>
      </c>
      <c r="H182" s="28" t="s">
        <v>522</v>
      </c>
      <c r="I182" s="20" t="s">
        <v>661</v>
      </c>
      <c r="J182" s="20" t="s">
        <v>889</v>
      </c>
    </row>
    <row r="183" ht="15.75" customHeight="1">
      <c r="A183" s="23"/>
      <c r="B183" s="27" t="s">
        <v>108</v>
      </c>
      <c r="C183" s="6" t="str">
        <f>VLOOKUP(B183,Sheet3!$B$2:$E$311,2,FALSE)</f>
        <v>B004</v>
      </c>
      <c r="D183" s="6" t="str">
        <f>VLOOKUP(B183,Sheet3!$B$2:$E$311,3,)</f>
        <v>BAHAN BAKU LUUCA</v>
      </c>
      <c r="E183" s="6" t="str">
        <f>VLOOKUP(B183,Sheet3!$B$2:$E$311,4,)</f>
        <v>GR</v>
      </c>
      <c r="F183" s="28" t="s">
        <v>988</v>
      </c>
      <c r="G183" s="28" t="s">
        <v>792</v>
      </c>
      <c r="H183" s="28" t="s">
        <v>522</v>
      </c>
      <c r="I183" s="20" t="s">
        <v>661</v>
      </c>
      <c r="J183" s="20" t="s">
        <v>889</v>
      </c>
    </row>
    <row r="184" ht="15.75" customHeight="1">
      <c r="A184" s="26"/>
      <c r="B184" s="27" t="s">
        <v>109</v>
      </c>
      <c r="C184" s="6"/>
      <c r="D184" s="27" t="s">
        <v>16</v>
      </c>
      <c r="E184" s="27" t="s">
        <v>17</v>
      </c>
      <c r="F184" s="28" t="s">
        <v>903</v>
      </c>
      <c r="G184" s="28" t="s">
        <v>588</v>
      </c>
      <c r="H184" s="28" t="s">
        <v>522</v>
      </c>
      <c r="I184" s="20" t="s">
        <v>661</v>
      </c>
      <c r="J184" s="20" t="s">
        <v>889</v>
      </c>
    </row>
    <row r="185" ht="15.75" customHeight="1">
      <c r="A185" s="26">
        <v>46171.0</v>
      </c>
      <c r="B185" s="27" t="s">
        <v>53</v>
      </c>
      <c r="C185" s="6" t="str">
        <f>VLOOKUP(B185,Sheet3!$B$2:$E$311,2,FALSE)</f>
        <v>B004</v>
      </c>
      <c r="D185" s="6" t="str">
        <f>VLOOKUP(B185,Sheet3!$B$2:$E$311,3,)</f>
        <v>BAHAN BAKU LUUCA</v>
      </c>
      <c r="E185" s="6" t="str">
        <f>VLOOKUP(B185,Sheet3!$B$2:$E$311,4,)</f>
        <v>GR</v>
      </c>
      <c r="F185" s="28" t="s">
        <v>990</v>
      </c>
      <c r="G185" s="28" t="s">
        <v>793</v>
      </c>
      <c r="H185" s="28" t="s">
        <v>615</v>
      </c>
      <c r="I185" s="20" t="s">
        <v>661</v>
      </c>
      <c r="J185" s="20" t="s">
        <v>889</v>
      </c>
    </row>
    <row r="186" ht="15.75" customHeight="1">
      <c r="A186" s="23"/>
      <c r="B186" s="27" t="s">
        <v>53</v>
      </c>
      <c r="C186" s="6" t="str">
        <f>VLOOKUP(B186,Sheet3!$B$2:$E$311,2,FALSE)</f>
        <v>B004</v>
      </c>
      <c r="D186" s="6" t="str">
        <f>VLOOKUP(B186,Sheet3!$B$2:$E$311,3,)</f>
        <v>BAHAN BAKU LUUCA</v>
      </c>
      <c r="E186" s="6" t="str">
        <f>VLOOKUP(B186,Sheet3!$B$2:$E$311,4,)</f>
        <v>GR</v>
      </c>
      <c r="F186" s="28" t="s">
        <v>991</v>
      </c>
      <c r="G186" s="28" t="s">
        <v>793</v>
      </c>
      <c r="H186" s="28" t="s">
        <v>561</v>
      </c>
      <c r="I186" s="20" t="s">
        <v>661</v>
      </c>
      <c r="J186" s="20" t="s">
        <v>889</v>
      </c>
    </row>
    <row r="187" ht="15.75" customHeight="1">
      <c r="A187" s="23"/>
      <c r="B187" s="27" t="s">
        <v>76</v>
      </c>
      <c r="C187" s="6" t="str">
        <f>VLOOKUP(B187,Sheet3!$B$2:$E$311,2,FALSE)</f>
        <v>B004</v>
      </c>
      <c r="D187" s="6" t="str">
        <f>VLOOKUP(B187,Sheet3!$B$2:$E$311,3,)</f>
        <v>BAHAN BAKU LUUCA</v>
      </c>
      <c r="E187" s="6" t="str">
        <f>VLOOKUP(B187,Sheet3!$B$2:$E$311,4,)</f>
        <v>PCS</v>
      </c>
      <c r="F187" s="28">
        <v>1.0</v>
      </c>
      <c r="G187" s="28" t="s">
        <v>935</v>
      </c>
      <c r="H187" s="28" t="s">
        <v>615</v>
      </c>
      <c r="I187" s="20" t="s">
        <v>661</v>
      </c>
      <c r="J187" s="20" t="s">
        <v>889</v>
      </c>
    </row>
    <row r="188" ht="15.75" customHeight="1">
      <c r="A188" s="27"/>
      <c r="B188" s="27" t="s">
        <v>77</v>
      </c>
      <c r="C188" s="6" t="str">
        <f>VLOOKUP(B188,Sheet3!$B$2:$E$311,2,FALSE)</f>
        <v>B004</v>
      </c>
      <c r="D188" s="6" t="str">
        <f>VLOOKUP(B188,Sheet3!$B$2:$E$311,3,)</f>
        <v>BAHAN BAKU LUUCA</v>
      </c>
      <c r="E188" s="6" t="str">
        <f>VLOOKUP(B188,Sheet3!$B$2:$E$311,4,)</f>
        <v>PCS</v>
      </c>
      <c r="F188" s="28">
        <v>1.0</v>
      </c>
      <c r="G188" s="28" t="s">
        <v>935</v>
      </c>
      <c r="H188" s="28" t="s">
        <v>615</v>
      </c>
      <c r="I188" s="20" t="s">
        <v>661</v>
      </c>
      <c r="J188" s="20" t="s">
        <v>889</v>
      </c>
    </row>
    <row r="189" ht="15.75" customHeight="1">
      <c r="A189" s="23"/>
      <c r="B189" s="27" t="s">
        <v>33</v>
      </c>
      <c r="C189" s="6" t="str">
        <f>VLOOKUP(B189,Sheet3!$B$2:$E$311,2,FALSE)</f>
        <v>B004</v>
      </c>
      <c r="D189" s="6" t="str">
        <f>VLOOKUP(B189,Sheet3!$B$2:$E$311,3,)</f>
        <v>BAHAN BAKU LUUCA</v>
      </c>
      <c r="E189" s="6" t="str">
        <f>VLOOKUP(B189,Sheet3!$B$2:$E$311,4,)</f>
        <v>GR</v>
      </c>
      <c r="F189" s="28">
        <v>1093.0</v>
      </c>
      <c r="G189" s="28" t="s">
        <v>703</v>
      </c>
      <c r="H189" s="28" t="s">
        <v>541</v>
      </c>
      <c r="I189" s="20" t="s">
        <v>661</v>
      </c>
      <c r="J189" s="20" t="s">
        <v>889</v>
      </c>
    </row>
    <row r="190" ht="15.75" customHeight="1">
      <c r="A190" s="23"/>
      <c r="B190" s="27" t="s">
        <v>107</v>
      </c>
      <c r="C190" s="6" t="str">
        <f>VLOOKUP(B190,Sheet3!$B$2:$E$311,2,FALSE)</f>
        <v>B004</v>
      </c>
      <c r="D190" s="6" t="str">
        <f>VLOOKUP(B190,Sheet3!$B$2:$E$311,3,)</f>
        <v>BAHAN BAKU LUUCA</v>
      </c>
      <c r="E190" s="6" t="str">
        <f>VLOOKUP(B190,Sheet3!$B$2:$E$311,4,)</f>
        <v>GR</v>
      </c>
      <c r="F190" s="28">
        <v>18.0</v>
      </c>
      <c r="G190" s="28" t="s">
        <v>532</v>
      </c>
      <c r="H190" s="28" t="s">
        <v>561</v>
      </c>
      <c r="I190" s="20" t="s">
        <v>661</v>
      </c>
      <c r="J190" s="20" t="s">
        <v>889</v>
      </c>
    </row>
    <row r="191" ht="15.75" customHeight="1">
      <c r="A191" s="29">
        <v>46172.0</v>
      </c>
      <c r="B191" s="27" t="s">
        <v>108</v>
      </c>
      <c r="C191" s="6" t="str">
        <f>VLOOKUP(B191,Sheet3!$B$2:$E$311,2,FALSE)</f>
        <v>B004</v>
      </c>
      <c r="D191" s="6" t="str">
        <f>VLOOKUP(B191,Sheet3!$B$2:$E$311,3,)</f>
        <v>BAHAN BAKU LUUCA</v>
      </c>
      <c r="E191" s="6" t="str">
        <f>VLOOKUP(B191,Sheet3!$B$2:$E$311,4,)</f>
        <v>GR</v>
      </c>
      <c r="F191" s="28" t="s">
        <v>996</v>
      </c>
      <c r="G191" s="28" t="s">
        <v>792</v>
      </c>
      <c r="H191" s="28" t="s">
        <v>522</v>
      </c>
      <c r="I191" s="20" t="s">
        <v>661</v>
      </c>
      <c r="J191" s="20" t="s">
        <v>889</v>
      </c>
    </row>
    <row r="192" ht="15.75" customHeight="1">
      <c r="A192" s="23"/>
      <c r="B192" s="27" t="s">
        <v>108</v>
      </c>
      <c r="C192" s="6" t="str">
        <f>VLOOKUP(B192,Sheet3!$B$2:$E$311,2,FALSE)</f>
        <v>B004</v>
      </c>
      <c r="D192" s="6" t="str">
        <f>VLOOKUP(B192,Sheet3!$B$2:$E$311,3,)</f>
        <v>BAHAN BAKU LUUCA</v>
      </c>
      <c r="E192" s="6" t="str">
        <f>VLOOKUP(B192,Sheet3!$B$2:$E$311,4,)</f>
        <v>GR</v>
      </c>
      <c r="F192" s="28">
        <v>56.0</v>
      </c>
      <c r="G192" s="28" t="s">
        <v>791</v>
      </c>
      <c r="H192" s="28" t="s">
        <v>522</v>
      </c>
      <c r="I192" s="20" t="s">
        <v>661</v>
      </c>
      <c r="J192" s="20" t="s">
        <v>889</v>
      </c>
    </row>
    <row r="193" ht="15.75" customHeight="1">
      <c r="A193" s="23"/>
      <c r="B193" s="27" t="s">
        <v>108</v>
      </c>
      <c r="C193" s="6" t="str">
        <f>VLOOKUP(B193,Sheet3!$B$2:$E$311,2,FALSE)</f>
        <v>B004</v>
      </c>
      <c r="D193" s="6" t="str">
        <f>VLOOKUP(B193,Sheet3!$B$2:$E$311,3,)</f>
        <v>BAHAN BAKU LUUCA</v>
      </c>
      <c r="E193" s="6" t="str">
        <f>VLOOKUP(B193,Sheet3!$B$2:$E$311,4,)</f>
        <v>GR</v>
      </c>
      <c r="F193" s="28" t="s">
        <v>999</v>
      </c>
      <c r="G193" s="28" t="s">
        <v>791</v>
      </c>
      <c r="H193" s="28" t="s">
        <v>522</v>
      </c>
      <c r="I193" s="20" t="s">
        <v>661</v>
      </c>
      <c r="J193" s="20" t="s">
        <v>889</v>
      </c>
    </row>
    <row r="194" ht="15.75" customHeight="1">
      <c r="A194" s="23"/>
      <c r="B194" s="27" t="s">
        <v>33</v>
      </c>
      <c r="C194" s="6" t="str">
        <f>VLOOKUP(B194,Sheet3!$B$2:$E$311,2,FALSE)</f>
        <v>B004</v>
      </c>
      <c r="D194" s="6" t="str">
        <f>VLOOKUP(B194,Sheet3!$B$2:$E$311,3,)</f>
        <v>BAHAN BAKU LUUCA</v>
      </c>
      <c r="E194" s="6" t="str">
        <f>VLOOKUP(B194,Sheet3!$B$2:$E$311,4,)</f>
        <v>GR</v>
      </c>
      <c r="F194" s="28" t="s">
        <v>1001</v>
      </c>
      <c r="G194" s="28" t="s">
        <v>703</v>
      </c>
      <c r="H194" s="28" t="s">
        <v>522</v>
      </c>
      <c r="I194" s="20" t="s">
        <v>661</v>
      </c>
      <c r="J194" s="20" t="s">
        <v>889</v>
      </c>
    </row>
    <row r="195" ht="15.75" customHeight="1">
      <c r="A195" s="26">
        <v>46173.0</v>
      </c>
      <c r="B195" s="27" t="s">
        <v>53</v>
      </c>
      <c r="C195" s="6" t="str">
        <f>VLOOKUP(B195,Sheet3!$B$2:$E$311,2,FALSE)</f>
        <v>B004</v>
      </c>
      <c r="D195" s="6" t="str">
        <f>VLOOKUP(B195,Sheet3!$B$2:$E$311,3,)</f>
        <v>BAHAN BAKU LUUCA</v>
      </c>
      <c r="E195" s="6" t="str">
        <f>VLOOKUP(B195,Sheet3!$B$2:$E$311,4,)</f>
        <v>GR</v>
      </c>
      <c r="F195" s="28" t="s">
        <v>1003</v>
      </c>
      <c r="G195" s="28" t="s">
        <v>793</v>
      </c>
      <c r="H195" s="28" t="s">
        <v>541</v>
      </c>
      <c r="I195" s="20" t="s">
        <v>661</v>
      </c>
      <c r="J195" s="20" t="s">
        <v>889</v>
      </c>
    </row>
    <row r="196" ht="15.75" customHeight="1">
      <c r="A196" s="23"/>
      <c r="B196" s="27" t="s">
        <v>53</v>
      </c>
      <c r="C196" s="6" t="str">
        <f>VLOOKUP(B196,Sheet3!$B$2:$E$311,2,FALSE)</f>
        <v>B004</v>
      </c>
      <c r="D196" s="6" t="str">
        <f>VLOOKUP(B196,Sheet3!$B$2:$E$311,3,)</f>
        <v>BAHAN BAKU LUUCA</v>
      </c>
      <c r="E196" s="6" t="str">
        <f>VLOOKUP(B196,Sheet3!$B$2:$E$311,4,)</f>
        <v>GR</v>
      </c>
      <c r="F196" s="28" t="s">
        <v>1004</v>
      </c>
      <c r="G196" s="28" t="s">
        <v>1005</v>
      </c>
      <c r="H196" s="28" t="s">
        <v>541</v>
      </c>
      <c r="I196" s="20" t="s">
        <v>661</v>
      </c>
      <c r="J196" s="20" t="s">
        <v>889</v>
      </c>
    </row>
    <row r="197" ht="15.75" customHeight="1">
      <c r="A197" s="23"/>
      <c r="B197" s="27" t="s">
        <v>53</v>
      </c>
      <c r="C197" s="6" t="str">
        <f>VLOOKUP(B197,Sheet3!$B$2:$E$311,2,FALSE)</f>
        <v>B004</v>
      </c>
      <c r="D197" s="6" t="str">
        <f>VLOOKUP(B197,Sheet3!$B$2:$E$311,3,)</f>
        <v>BAHAN BAKU LUUCA</v>
      </c>
      <c r="E197" s="6" t="str">
        <f>VLOOKUP(B197,Sheet3!$B$2:$E$311,4,)</f>
        <v>GR</v>
      </c>
      <c r="F197" s="28" t="s">
        <v>1006</v>
      </c>
      <c r="G197" s="28" t="s">
        <v>793</v>
      </c>
      <c r="H197" s="28" t="s">
        <v>541</v>
      </c>
      <c r="I197" s="20" t="s">
        <v>661</v>
      </c>
      <c r="J197" s="20" t="s">
        <v>889</v>
      </c>
    </row>
    <row r="198" ht="15.75" customHeight="1">
      <c r="A198" s="23"/>
      <c r="B198" s="27" t="s">
        <v>53</v>
      </c>
      <c r="C198" s="6" t="str">
        <f>VLOOKUP(B198,Sheet3!$B$2:$E$311,2,FALSE)</f>
        <v>B004</v>
      </c>
      <c r="D198" s="6" t="str">
        <f>VLOOKUP(B198,Sheet3!$B$2:$E$311,3,)</f>
        <v>BAHAN BAKU LUUCA</v>
      </c>
      <c r="E198" s="6" t="str">
        <f>VLOOKUP(B198,Sheet3!$B$2:$E$311,4,)</f>
        <v>GR</v>
      </c>
      <c r="F198" s="28" t="s">
        <v>1007</v>
      </c>
      <c r="G198" s="28" t="s">
        <v>1008</v>
      </c>
      <c r="H198" s="28" t="s">
        <v>615</v>
      </c>
      <c r="I198" s="20" t="s">
        <v>661</v>
      </c>
      <c r="J198" s="20" t="s">
        <v>889</v>
      </c>
    </row>
    <row r="199" ht="15.75" customHeight="1">
      <c r="A199" s="23"/>
      <c r="B199" s="27" t="s">
        <v>77</v>
      </c>
      <c r="C199" s="6" t="str">
        <f>VLOOKUP(B199,Sheet3!$B$2:$E$311,2,FALSE)</f>
        <v>B004</v>
      </c>
      <c r="D199" s="6" t="str">
        <f>VLOOKUP(B199,Sheet3!$B$2:$E$311,3,)</f>
        <v>BAHAN BAKU LUUCA</v>
      </c>
      <c r="E199" s="6" t="str">
        <f>VLOOKUP(B199,Sheet3!$B$2:$E$311,4,)</f>
        <v>PCS</v>
      </c>
      <c r="F199" s="28">
        <v>1.0</v>
      </c>
      <c r="G199" s="28" t="s">
        <v>526</v>
      </c>
      <c r="H199" s="28" t="s">
        <v>522</v>
      </c>
      <c r="I199" s="20" t="s">
        <v>661</v>
      </c>
      <c r="J199" s="20" t="s">
        <v>889</v>
      </c>
    </row>
    <row r="200" ht="15.75" customHeight="1">
      <c r="A200" s="23"/>
      <c r="B200" s="27" t="s">
        <v>33</v>
      </c>
      <c r="C200" s="6" t="str">
        <f>VLOOKUP(B200,Sheet3!$B$2:$E$311,2,FALSE)</f>
        <v>B004</v>
      </c>
      <c r="D200" s="6" t="str">
        <f>VLOOKUP(B200,Sheet3!$B$2:$E$311,3,)</f>
        <v>BAHAN BAKU LUUCA</v>
      </c>
      <c r="E200" s="6" t="str">
        <f>VLOOKUP(B200,Sheet3!$B$2:$E$311,4,)</f>
        <v>GR</v>
      </c>
      <c r="F200" s="28">
        <v>674.0</v>
      </c>
      <c r="G200" s="28" t="s">
        <v>703</v>
      </c>
      <c r="H200" s="28" t="s">
        <v>522</v>
      </c>
      <c r="I200" s="20" t="s">
        <v>661</v>
      </c>
      <c r="J200" s="20" t="s">
        <v>889</v>
      </c>
    </row>
    <row r="201" ht="15.75" customHeight="1">
      <c r="A201" s="23"/>
      <c r="B201" s="27" t="s">
        <v>30</v>
      </c>
      <c r="C201" s="6" t="str">
        <f>VLOOKUP(B201,Sheet3!$B$2:$E$311,2,FALSE)</f>
        <v>B004</v>
      </c>
      <c r="D201" s="6" t="str">
        <f>VLOOKUP(B201,Sheet3!$B$2:$E$311,3,)</f>
        <v>BAHAN BAKU LUUCA</v>
      </c>
      <c r="E201" s="27" t="s">
        <v>37</v>
      </c>
      <c r="F201" s="28">
        <v>1.0</v>
      </c>
      <c r="G201" s="28" t="s">
        <v>830</v>
      </c>
      <c r="H201" s="28" t="s">
        <v>522</v>
      </c>
      <c r="I201" s="20" t="s">
        <v>661</v>
      </c>
      <c r="J201" s="20" t="s">
        <v>889</v>
      </c>
    </row>
    <row r="202" ht="15.75" customHeight="1">
      <c r="A202" s="23"/>
      <c r="B202" s="6"/>
      <c r="C202" s="6" t="str">
        <f>VLOOKUP(B202,Sheet3!$B$2:$E$311,2,FALSE)</f>
        <v>#N/A</v>
      </c>
      <c r="D202" s="6" t="str">
        <f>VLOOKUP(B202,Sheet3!$B$2:$E$311,3,)</f>
        <v>#N/A</v>
      </c>
      <c r="E202" s="6" t="str">
        <f>VLOOKUP(B202,Sheet3!$B$2:$E$311,4,)</f>
        <v>#N/A</v>
      </c>
      <c r="F202" s="19"/>
      <c r="G202" s="19"/>
      <c r="H202" s="19"/>
    </row>
    <row r="203" ht="15.75" customHeight="1">
      <c r="A203" s="23"/>
      <c r="B203" s="6"/>
      <c r="C203" s="6" t="str">
        <f>VLOOKUP(B203,Sheet3!$B$2:$E$311,2,FALSE)</f>
        <v>#N/A</v>
      </c>
      <c r="D203" s="6" t="str">
        <f>VLOOKUP(B203,Sheet3!$B$2:$E$311,3,)</f>
        <v>#N/A</v>
      </c>
      <c r="E203" s="6" t="str">
        <f>VLOOKUP(B203,Sheet3!$B$2:$E$311,4,)</f>
        <v>#N/A</v>
      </c>
      <c r="F203" s="19"/>
      <c r="G203" s="19"/>
      <c r="H203" s="19"/>
    </row>
    <row r="204" ht="15.75" customHeight="1">
      <c r="A204" s="23"/>
      <c r="B204" s="6"/>
      <c r="C204" s="6" t="str">
        <f>VLOOKUP(B204,Sheet3!$B$2:$E$311,2,FALSE)</f>
        <v>#N/A</v>
      </c>
      <c r="D204" s="6" t="str">
        <f>VLOOKUP(B204,Sheet3!$B$2:$E$311,3,)</f>
        <v>#N/A</v>
      </c>
      <c r="E204" s="6" t="str">
        <f>VLOOKUP(B204,Sheet3!$B$2:$E$311,4,)</f>
        <v>#N/A</v>
      </c>
      <c r="F204" s="19"/>
      <c r="G204" s="19"/>
      <c r="H204" s="19"/>
    </row>
    <row r="205" ht="15.75" customHeight="1">
      <c r="A205" s="23"/>
      <c r="B205" s="6"/>
      <c r="C205" s="6" t="str">
        <f>VLOOKUP(B205,Sheet3!$B$2:$E$311,2,FALSE)</f>
        <v>#N/A</v>
      </c>
      <c r="D205" s="6" t="str">
        <f>VLOOKUP(B205,Sheet3!$B$2:$E$311,3,)</f>
        <v>#N/A</v>
      </c>
      <c r="E205" s="6" t="str">
        <f>VLOOKUP(B205,Sheet3!$B$2:$E$311,4,)</f>
        <v>#N/A</v>
      </c>
      <c r="F205" s="19"/>
      <c r="G205" s="19"/>
      <c r="H205" s="19"/>
    </row>
    <row r="206" ht="15.75" customHeight="1">
      <c r="A206" s="23"/>
      <c r="B206" s="6"/>
      <c r="C206" s="6" t="str">
        <f>VLOOKUP(B206,Sheet3!$B$2:$E$311,2,FALSE)</f>
        <v>#N/A</v>
      </c>
      <c r="D206" s="6" t="str">
        <f>VLOOKUP(B206,Sheet3!$B$2:$E$311,3,)</f>
        <v>#N/A</v>
      </c>
      <c r="E206" s="6" t="str">
        <f>VLOOKUP(B206,Sheet3!$B$2:$E$311,4,)</f>
        <v>#N/A</v>
      </c>
      <c r="F206" s="19"/>
      <c r="G206" s="19"/>
      <c r="H206" s="19"/>
    </row>
    <row r="207" ht="15.75" customHeight="1">
      <c r="A207" s="23"/>
      <c r="B207" s="6"/>
      <c r="C207" s="6" t="str">
        <f>VLOOKUP(B207,Sheet3!$B$2:$E$311,2,FALSE)</f>
        <v>#N/A</v>
      </c>
      <c r="D207" s="6" t="str">
        <f>VLOOKUP(B207,Sheet3!$B$2:$E$311,3,)</f>
        <v>#N/A</v>
      </c>
      <c r="E207" s="6" t="str">
        <f>VLOOKUP(B207,Sheet3!$B$2:$E$311,4,)</f>
        <v>#N/A</v>
      </c>
      <c r="F207" s="19"/>
      <c r="G207" s="19"/>
      <c r="H207" s="19"/>
    </row>
    <row r="208" ht="15.75" customHeight="1">
      <c r="A208" s="23"/>
      <c r="B208" s="6"/>
      <c r="C208" s="6" t="str">
        <f>VLOOKUP(B208,Sheet3!$B$2:$E$311,2,FALSE)</f>
        <v>#N/A</v>
      </c>
      <c r="D208" s="6" t="str">
        <f>VLOOKUP(B208,Sheet3!$B$2:$E$311,3,)</f>
        <v>#N/A</v>
      </c>
      <c r="E208" s="6" t="str">
        <f>VLOOKUP(B208,Sheet3!$B$2:$E$311,4,)</f>
        <v>#N/A</v>
      </c>
      <c r="F208" s="6"/>
      <c r="G208" s="6"/>
      <c r="H208" s="6"/>
    </row>
    <row r="209" ht="15.75" customHeight="1">
      <c r="A209" s="23"/>
      <c r="B209" s="6"/>
      <c r="C209" s="6" t="str">
        <f>VLOOKUP(B209,Sheet3!$B$2:$E$311,2,FALSE)</f>
        <v>#N/A</v>
      </c>
      <c r="D209" s="6" t="str">
        <f>VLOOKUP(B209,Sheet3!$B$2:$E$311,3,)</f>
        <v>#N/A</v>
      </c>
      <c r="E209" s="6" t="str">
        <f>VLOOKUP(B209,Sheet3!$B$2:$E$311,4,)</f>
        <v>#N/A</v>
      </c>
      <c r="F209" s="6"/>
      <c r="G209" s="6"/>
      <c r="H209" s="6"/>
    </row>
    <row r="210" ht="15.75" customHeight="1">
      <c r="A210" s="23"/>
      <c r="B210" s="6"/>
      <c r="C210" s="6" t="str">
        <f>VLOOKUP(B210,Sheet3!$B$2:$E$311,2,FALSE)</f>
        <v>#N/A</v>
      </c>
      <c r="D210" s="6" t="str">
        <f>VLOOKUP(B210,Sheet3!$B$2:$E$311,3,)</f>
        <v>#N/A</v>
      </c>
      <c r="E210" s="6" t="str">
        <f>VLOOKUP(B210,Sheet3!$B$2:$E$311,4,)</f>
        <v>#N/A</v>
      </c>
      <c r="F210" s="6"/>
      <c r="G210" s="6"/>
      <c r="H210" s="6"/>
    </row>
    <row r="211" ht="15.75" customHeight="1">
      <c r="A211" s="23"/>
      <c r="B211" s="6"/>
      <c r="C211" s="6" t="str">
        <f>VLOOKUP(B211,Sheet3!$B$2:$E$311,2,FALSE)</f>
        <v>#N/A</v>
      </c>
      <c r="D211" s="6" t="str">
        <f>VLOOKUP(B211,Sheet3!$B$2:$E$311,3,)</f>
        <v>#N/A</v>
      </c>
      <c r="E211" s="6" t="str">
        <f>VLOOKUP(B211,Sheet3!$B$2:$E$311,4,)</f>
        <v>#N/A</v>
      </c>
      <c r="F211" s="6"/>
      <c r="G211" s="6"/>
      <c r="H211" s="6"/>
    </row>
    <row r="212" ht="15.75" customHeight="1">
      <c r="A212" s="23"/>
      <c r="B212" s="6"/>
      <c r="C212" s="6" t="str">
        <f>VLOOKUP(B212,Sheet3!$B$2:$E$311,2,FALSE)</f>
        <v>#N/A</v>
      </c>
      <c r="D212" s="6" t="str">
        <f>VLOOKUP(B212,Sheet3!$B$2:$E$311,3,)</f>
        <v>#N/A</v>
      </c>
      <c r="E212" s="6" t="str">
        <f>VLOOKUP(B212,Sheet3!$B$2:$E$311,4,)</f>
        <v>#N/A</v>
      </c>
      <c r="F212" s="6"/>
      <c r="G212" s="6"/>
      <c r="H212" s="6"/>
    </row>
    <row r="213" ht="15.75" customHeight="1">
      <c r="A213" s="23"/>
      <c r="B213" s="6"/>
      <c r="C213" s="6" t="str">
        <f>VLOOKUP(B213,Sheet3!$B$2:$E$311,2,FALSE)</f>
        <v>#N/A</v>
      </c>
      <c r="D213" s="6" t="str">
        <f>VLOOKUP(B213,Sheet3!$B$2:$E$311,3,)</f>
        <v>#N/A</v>
      </c>
      <c r="E213" s="6" t="str">
        <f>VLOOKUP(B213,Sheet3!$B$2:$E$311,4,)</f>
        <v>#N/A</v>
      </c>
      <c r="F213" s="6"/>
      <c r="G213" s="6"/>
      <c r="H213" s="6"/>
    </row>
    <row r="214" ht="15.75" customHeight="1">
      <c r="A214" s="23"/>
      <c r="B214" s="6"/>
      <c r="C214" s="6" t="str">
        <f>VLOOKUP(B214,Sheet3!$B$2:$E$311,2,FALSE)</f>
        <v>#N/A</v>
      </c>
      <c r="D214" s="6" t="str">
        <f>VLOOKUP(B214,Sheet3!$B$2:$E$311,3,)</f>
        <v>#N/A</v>
      </c>
      <c r="E214" s="6" t="str">
        <f>VLOOKUP(B214,Sheet3!$B$2:$E$311,4,)</f>
        <v>#N/A</v>
      </c>
      <c r="F214" s="6"/>
      <c r="G214" s="6"/>
      <c r="H214" s="6"/>
    </row>
    <row r="215" ht="15.75" customHeight="1">
      <c r="A215" s="23"/>
      <c r="B215" s="6"/>
      <c r="C215" s="6" t="str">
        <f>VLOOKUP(B215,Sheet3!$B$2:$E$311,2,FALSE)</f>
        <v>#N/A</v>
      </c>
      <c r="D215" s="6" t="str">
        <f>VLOOKUP(B215,Sheet3!$B$2:$E$311,3,)</f>
        <v>#N/A</v>
      </c>
      <c r="E215" s="6" t="str">
        <f>VLOOKUP(B215,Sheet3!$B$2:$E$311,4,)</f>
        <v>#N/A</v>
      </c>
      <c r="F215" s="6"/>
      <c r="G215" s="6"/>
      <c r="H215" s="6"/>
    </row>
    <row r="216" ht="15.75" customHeight="1">
      <c r="A216" s="23"/>
      <c r="B216" s="6"/>
      <c r="C216" s="6" t="str">
        <f>VLOOKUP(B216,Sheet3!$B$2:$E$311,2,FALSE)</f>
        <v>#N/A</v>
      </c>
      <c r="D216" s="6" t="str">
        <f>VLOOKUP(B216,Sheet3!$B$2:$E$311,3,)</f>
        <v>#N/A</v>
      </c>
      <c r="E216" s="6" t="str">
        <f>VLOOKUP(B216,Sheet3!$B$2:$E$311,4,)</f>
        <v>#N/A</v>
      </c>
      <c r="F216" s="6"/>
      <c r="G216" s="6"/>
      <c r="H216" s="6"/>
    </row>
    <row r="217" ht="15.75" customHeight="1">
      <c r="A217" s="23"/>
      <c r="B217" s="6"/>
      <c r="C217" s="6" t="str">
        <f>VLOOKUP(B217,Sheet3!$B$2:$E$311,2,FALSE)</f>
        <v>#N/A</v>
      </c>
      <c r="D217" s="6" t="str">
        <f>VLOOKUP(B217,Sheet3!$B$2:$E$311,3,)</f>
        <v>#N/A</v>
      </c>
      <c r="E217" s="6" t="str">
        <f>VLOOKUP(B217,Sheet3!$B$2:$E$311,4,)</f>
        <v>#N/A</v>
      </c>
      <c r="F217" s="6"/>
      <c r="G217" s="6"/>
      <c r="H217" s="6"/>
    </row>
    <row r="218" ht="15.75" customHeight="1">
      <c r="A218" s="23"/>
      <c r="B218" s="6"/>
      <c r="C218" s="6" t="str">
        <f>VLOOKUP(B218,Sheet3!$B$2:$E$311,2,FALSE)</f>
        <v>#N/A</v>
      </c>
      <c r="D218" s="6" t="str">
        <f>VLOOKUP(B218,Sheet3!$B$2:$E$311,3,)</f>
        <v>#N/A</v>
      </c>
      <c r="E218" s="6" t="str">
        <f>VLOOKUP(B218,Sheet3!$B$2:$E$311,4,)</f>
        <v>#N/A</v>
      </c>
      <c r="F218" s="6"/>
      <c r="G218" s="6"/>
      <c r="H218" s="6"/>
    </row>
    <row r="219" ht="15.75" customHeight="1">
      <c r="A219" s="23"/>
      <c r="B219" s="6"/>
      <c r="C219" s="6" t="str">
        <f>VLOOKUP(B219,Sheet3!$B$2:$E$311,2,FALSE)</f>
        <v>#N/A</v>
      </c>
      <c r="D219" s="6" t="str">
        <f>VLOOKUP(B219,Sheet3!$B$2:$E$311,3,)</f>
        <v>#N/A</v>
      </c>
      <c r="E219" s="6" t="str">
        <f>VLOOKUP(B219,Sheet3!$B$2:$E$311,4,)</f>
        <v>#N/A</v>
      </c>
      <c r="F219" s="6"/>
      <c r="G219" s="6"/>
      <c r="H219" s="6"/>
    </row>
    <row r="220" ht="15.75" customHeight="1">
      <c r="A220" s="23"/>
      <c r="B220" s="6"/>
      <c r="C220" s="6" t="str">
        <f>VLOOKUP(B220,Sheet3!$B$2:$E$311,2,FALSE)</f>
        <v>#N/A</v>
      </c>
      <c r="D220" s="6" t="str">
        <f>VLOOKUP(B220,Sheet3!$B$2:$E$311,3,)</f>
        <v>#N/A</v>
      </c>
      <c r="E220" s="6" t="str">
        <f>VLOOKUP(B220,Sheet3!$B$2:$E$311,4,)</f>
        <v>#N/A</v>
      </c>
      <c r="F220" s="6"/>
      <c r="G220" s="6"/>
      <c r="H220" s="6"/>
    </row>
    <row r="221" ht="15.75" customHeight="1">
      <c r="A221" s="23"/>
      <c r="B221" s="6"/>
      <c r="C221" s="6" t="str">
        <f>VLOOKUP(B221,Sheet3!$B$2:$E$311,2,FALSE)</f>
        <v>#N/A</v>
      </c>
      <c r="D221" s="6" t="str">
        <f>VLOOKUP(B221,Sheet3!$B$2:$E$311,3,)</f>
        <v>#N/A</v>
      </c>
      <c r="E221" s="6" t="str">
        <f>VLOOKUP(B221,Sheet3!$B$2:$E$311,4,)</f>
        <v>#N/A</v>
      </c>
      <c r="F221" s="6"/>
      <c r="G221" s="6"/>
      <c r="H221" s="6"/>
    </row>
    <row r="222" ht="15.75" customHeight="1">
      <c r="A222" s="23"/>
      <c r="B222" s="6"/>
      <c r="C222" s="6" t="str">
        <f>VLOOKUP(B222,Sheet3!$B$2:$E$311,2,FALSE)</f>
        <v>#N/A</v>
      </c>
      <c r="D222" s="6" t="str">
        <f>VLOOKUP(B222,Sheet3!$B$2:$E$311,3,)</f>
        <v>#N/A</v>
      </c>
      <c r="E222" s="6" t="str">
        <f>VLOOKUP(B222,Sheet3!$B$2:$E$311,4,)</f>
        <v>#N/A</v>
      </c>
      <c r="F222" s="6"/>
      <c r="G222" s="6"/>
      <c r="H222" s="6"/>
    </row>
    <row r="223" ht="15.75" customHeight="1">
      <c r="A223" s="23"/>
      <c r="B223" s="6"/>
      <c r="C223" s="6" t="str">
        <f>VLOOKUP(B223,Sheet3!$B$2:$E$311,2,FALSE)</f>
        <v>#N/A</v>
      </c>
      <c r="D223" s="6" t="str">
        <f>VLOOKUP(B223,Sheet3!$B$2:$E$311,3,)</f>
        <v>#N/A</v>
      </c>
      <c r="E223" s="6" t="str">
        <f>VLOOKUP(B223,Sheet3!$B$2:$E$311,4,)</f>
        <v>#N/A</v>
      </c>
      <c r="F223" s="6"/>
      <c r="G223" s="6"/>
      <c r="H223" s="6"/>
    </row>
    <row r="224" ht="15.75" customHeight="1">
      <c r="A224" s="23"/>
      <c r="B224" s="6"/>
      <c r="C224" s="6" t="str">
        <f>VLOOKUP(B224,Sheet3!$B$2:$E$311,2,FALSE)</f>
        <v>#N/A</v>
      </c>
      <c r="D224" s="6" t="str">
        <f>VLOOKUP(B224,Sheet3!$B$2:$E$311,3,)</f>
        <v>#N/A</v>
      </c>
      <c r="E224" s="6" t="str">
        <f>VLOOKUP(B224,Sheet3!$B$2:$E$311,4,)</f>
        <v>#N/A</v>
      </c>
      <c r="F224" s="6"/>
      <c r="G224" s="6"/>
      <c r="H224" s="6"/>
    </row>
    <row r="225" ht="15.75" customHeight="1">
      <c r="A225" s="23"/>
      <c r="B225" s="6"/>
      <c r="C225" s="6" t="str">
        <f>VLOOKUP(B225,Sheet3!$B$2:$E$311,2,FALSE)</f>
        <v>#N/A</v>
      </c>
      <c r="D225" s="6" t="str">
        <f>VLOOKUP(B225,Sheet3!$B$2:$E$311,3,)</f>
        <v>#N/A</v>
      </c>
      <c r="E225" s="6" t="str">
        <f>VLOOKUP(B225,Sheet3!$B$2:$E$311,4,)</f>
        <v>#N/A</v>
      </c>
      <c r="F225" s="6"/>
      <c r="G225" s="6"/>
      <c r="H225" s="6"/>
    </row>
    <row r="226" ht="15.75" customHeight="1">
      <c r="A226" s="23"/>
      <c r="B226" s="6"/>
      <c r="C226" s="6" t="str">
        <f>VLOOKUP(B226,Sheet3!$B$2:$E$311,2,FALSE)</f>
        <v>#N/A</v>
      </c>
      <c r="D226" s="6" t="str">
        <f>VLOOKUP(B226,Sheet3!$B$2:$E$311,3,)</f>
        <v>#N/A</v>
      </c>
      <c r="E226" s="6" t="str">
        <f>VLOOKUP(B226,Sheet3!$B$2:$E$311,4,)</f>
        <v>#N/A</v>
      </c>
      <c r="F226" s="6"/>
      <c r="G226" s="6"/>
      <c r="H226" s="6"/>
    </row>
    <row r="227" ht="15.75" customHeight="1">
      <c r="A227" s="23"/>
      <c r="B227" s="6"/>
      <c r="C227" s="6" t="str">
        <f>VLOOKUP(B227,Sheet3!$B$2:$E$311,2,FALSE)</f>
        <v>#N/A</v>
      </c>
      <c r="D227" s="6" t="str">
        <f>VLOOKUP(B227,Sheet3!$B$2:$E$311,3,)</f>
        <v>#N/A</v>
      </c>
      <c r="E227" s="6" t="str">
        <f>VLOOKUP(B227,Sheet3!$B$2:$E$311,4,)</f>
        <v>#N/A</v>
      </c>
      <c r="F227" s="6"/>
      <c r="G227" s="6"/>
      <c r="H227" s="6"/>
    </row>
    <row r="228" ht="15.75" customHeight="1">
      <c r="A228" s="23"/>
      <c r="B228" s="6"/>
      <c r="C228" s="6" t="str">
        <f>VLOOKUP(B228,Sheet3!$B$2:$E$311,2,FALSE)</f>
        <v>#N/A</v>
      </c>
      <c r="D228" s="6" t="str">
        <f>VLOOKUP(B228,Sheet3!$B$2:$E$311,3,)</f>
        <v>#N/A</v>
      </c>
      <c r="E228" s="6" t="str">
        <f>VLOOKUP(B228,Sheet3!$B$2:$E$311,4,)</f>
        <v>#N/A</v>
      </c>
      <c r="F228" s="6"/>
      <c r="G228" s="6"/>
      <c r="H228" s="6"/>
    </row>
    <row r="229" ht="15.75" customHeight="1">
      <c r="A229" s="23"/>
      <c r="B229" s="6"/>
      <c r="C229" s="6" t="str">
        <f>VLOOKUP(B229,Sheet3!$B$2:$E$311,2,FALSE)</f>
        <v>#N/A</v>
      </c>
      <c r="D229" s="6" t="str">
        <f>VLOOKUP(B229,Sheet3!$B$2:$E$311,3,)</f>
        <v>#N/A</v>
      </c>
      <c r="E229" s="6" t="str">
        <f>VLOOKUP(B229,Sheet3!$B$2:$E$311,4,)</f>
        <v>#N/A</v>
      </c>
      <c r="F229" s="6"/>
      <c r="G229" s="6"/>
      <c r="H229" s="6"/>
    </row>
    <row r="230" ht="15.75" customHeight="1">
      <c r="A230" s="23"/>
      <c r="B230" s="6"/>
      <c r="C230" s="6" t="str">
        <f>VLOOKUP(B230,Sheet3!$B$2:$E$311,2,FALSE)</f>
        <v>#N/A</v>
      </c>
      <c r="D230" s="6" t="str">
        <f>VLOOKUP(B230,Sheet3!$B$2:$E$311,3,)</f>
        <v>#N/A</v>
      </c>
      <c r="E230" s="6" t="str">
        <f>VLOOKUP(B230,Sheet3!$B$2:$E$311,4,)</f>
        <v>#N/A</v>
      </c>
      <c r="F230" s="6"/>
      <c r="G230" s="6"/>
      <c r="H230" s="6"/>
    </row>
    <row r="231" ht="15.75" customHeight="1">
      <c r="A231" s="23"/>
      <c r="B231" s="6"/>
      <c r="C231" s="6" t="str">
        <f>VLOOKUP(B231,Sheet3!$B$2:$E$311,2,FALSE)</f>
        <v>#N/A</v>
      </c>
      <c r="D231" s="6" t="str">
        <f>VLOOKUP(B231,Sheet3!$B$2:$E$311,3,)</f>
        <v>#N/A</v>
      </c>
      <c r="E231" s="6" t="str">
        <f>VLOOKUP(B231,Sheet3!$B$2:$E$311,4,)</f>
        <v>#N/A</v>
      </c>
      <c r="F231" s="6"/>
      <c r="G231" s="6"/>
      <c r="H231" s="6"/>
    </row>
    <row r="232" ht="15.75" customHeight="1">
      <c r="A232" s="23"/>
      <c r="B232" s="6"/>
      <c r="C232" s="6" t="str">
        <f>VLOOKUP(B232,Sheet3!$B$2:$E$311,2,FALSE)</f>
        <v>#N/A</v>
      </c>
      <c r="D232" s="6" t="str">
        <f>VLOOKUP(B232,Sheet3!$B$2:$E$311,3,)</f>
        <v>#N/A</v>
      </c>
      <c r="E232" s="6" t="str">
        <f>VLOOKUP(B232,Sheet3!$B$2:$E$311,4,)</f>
        <v>#N/A</v>
      </c>
      <c r="F232" s="6"/>
      <c r="G232" s="6"/>
      <c r="H232" s="6"/>
    </row>
    <row r="233" ht="15.75" customHeight="1">
      <c r="A233" s="23"/>
      <c r="B233" s="6"/>
      <c r="C233" s="6" t="str">
        <f>VLOOKUP(B233,Sheet3!$B$2:$E$311,2,FALSE)</f>
        <v>#N/A</v>
      </c>
      <c r="D233" s="6" t="str">
        <f>VLOOKUP(B233,Sheet3!$B$2:$E$311,3,)</f>
        <v>#N/A</v>
      </c>
      <c r="E233" s="6" t="str">
        <f>VLOOKUP(B233,Sheet3!$B$2:$E$311,4,)</f>
        <v>#N/A</v>
      </c>
      <c r="F233" s="6"/>
      <c r="G233" s="6"/>
      <c r="H233" s="6"/>
    </row>
    <row r="234" ht="15.75" customHeight="1">
      <c r="A234" s="23"/>
      <c r="B234" s="6"/>
      <c r="C234" s="6" t="str">
        <f>VLOOKUP(B234,Sheet3!$B$2:$E$311,2,FALSE)</f>
        <v>#N/A</v>
      </c>
      <c r="D234" s="6" t="str">
        <f>VLOOKUP(B234,Sheet3!$B$2:$E$311,3,)</f>
        <v>#N/A</v>
      </c>
      <c r="E234" s="6" t="str">
        <f>VLOOKUP(B234,Sheet3!$B$2:$E$311,4,)</f>
        <v>#N/A</v>
      </c>
      <c r="F234" s="6"/>
      <c r="G234" s="6"/>
      <c r="H234" s="6"/>
    </row>
    <row r="235" ht="15.75" customHeight="1">
      <c r="A235" s="23"/>
      <c r="B235" s="6"/>
      <c r="C235" s="6" t="str">
        <f>VLOOKUP(B235,Sheet3!$B$2:$E$311,2,FALSE)</f>
        <v>#N/A</v>
      </c>
      <c r="D235" s="6" t="str">
        <f>VLOOKUP(B235,Sheet3!$B$2:$E$311,3,)</f>
        <v>#N/A</v>
      </c>
      <c r="E235" s="6" t="str">
        <f>VLOOKUP(B235,Sheet3!$B$2:$E$311,4,)</f>
        <v>#N/A</v>
      </c>
      <c r="F235" s="6"/>
      <c r="G235" s="6"/>
      <c r="H235" s="6"/>
    </row>
    <row r="236" ht="15.75" customHeight="1">
      <c r="A236" s="23"/>
      <c r="B236" s="6"/>
      <c r="C236" s="6" t="str">
        <f>VLOOKUP(B236,Sheet3!$B$2:$E$311,2,FALSE)</f>
        <v>#N/A</v>
      </c>
      <c r="D236" s="6" t="str">
        <f>VLOOKUP(B236,Sheet3!$B$2:$E$311,3,)</f>
        <v>#N/A</v>
      </c>
      <c r="E236" s="6" t="str">
        <f>VLOOKUP(B236,Sheet3!$B$2:$E$311,4,)</f>
        <v>#N/A</v>
      </c>
      <c r="F236" s="6"/>
      <c r="G236" s="6"/>
      <c r="H236" s="6"/>
    </row>
    <row r="237" ht="15.75" customHeight="1">
      <c r="A237" s="23"/>
      <c r="B237" s="6"/>
      <c r="C237" s="6" t="str">
        <f>VLOOKUP(B237,Sheet3!$B$2:$E$311,2,FALSE)</f>
        <v>#N/A</v>
      </c>
      <c r="D237" s="6" t="str">
        <f>VLOOKUP(B237,Sheet3!$B$2:$E$311,3,)</f>
        <v>#N/A</v>
      </c>
      <c r="E237" s="6" t="str">
        <f>VLOOKUP(B237,Sheet3!$B$2:$E$311,4,)</f>
        <v>#N/A</v>
      </c>
      <c r="F237" s="6"/>
      <c r="G237" s="6"/>
      <c r="H237" s="6"/>
    </row>
    <row r="238" ht="15.75" customHeight="1">
      <c r="A238" s="23"/>
      <c r="B238" s="6"/>
      <c r="C238" s="6" t="str">
        <f>VLOOKUP(B238,Sheet3!$B$2:$E$311,2,FALSE)</f>
        <v>#N/A</v>
      </c>
      <c r="D238" s="6" t="str">
        <f>VLOOKUP(B238,Sheet3!$B$2:$E$311,3,)</f>
        <v>#N/A</v>
      </c>
      <c r="E238" s="6" t="str">
        <f>VLOOKUP(B238,Sheet3!$B$2:$E$311,4,)</f>
        <v>#N/A</v>
      </c>
      <c r="F238" s="6"/>
      <c r="G238" s="6"/>
      <c r="H238" s="6"/>
    </row>
    <row r="239" ht="15.75" customHeight="1">
      <c r="A239" s="23"/>
      <c r="B239" s="6"/>
      <c r="C239" s="6" t="str">
        <f>VLOOKUP(B239,Sheet3!$B$2:$E$311,2,FALSE)</f>
        <v>#N/A</v>
      </c>
      <c r="D239" s="6" t="str">
        <f>VLOOKUP(B239,Sheet3!$B$2:$E$311,3,)</f>
        <v>#N/A</v>
      </c>
      <c r="E239" s="6" t="str">
        <f>VLOOKUP(B239,Sheet3!$B$2:$E$311,4,)</f>
        <v>#N/A</v>
      </c>
      <c r="F239" s="6"/>
      <c r="G239" s="6"/>
      <c r="H239" s="6"/>
    </row>
    <row r="240" ht="15.75" customHeight="1">
      <c r="A240" s="23"/>
      <c r="B240" s="6"/>
      <c r="C240" s="6" t="str">
        <f>VLOOKUP(B240,Sheet3!$B$2:$E$311,2,FALSE)</f>
        <v>#N/A</v>
      </c>
      <c r="D240" s="6" t="str">
        <f>VLOOKUP(B240,Sheet3!$B$2:$E$311,3,)</f>
        <v>#N/A</v>
      </c>
      <c r="E240" s="6" t="str">
        <f>VLOOKUP(B240,Sheet3!$B$2:$E$311,4,)</f>
        <v>#N/A</v>
      </c>
      <c r="F240" s="6"/>
      <c r="G240" s="6"/>
      <c r="H240" s="6"/>
    </row>
    <row r="241" ht="15.75" customHeight="1">
      <c r="A241" s="23"/>
      <c r="B241" s="6"/>
      <c r="C241" s="6" t="str">
        <f>VLOOKUP(B241,Sheet3!$B$2:$E$311,2,FALSE)</f>
        <v>#N/A</v>
      </c>
      <c r="D241" s="6" t="str">
        <f>VLOOKUP(B241,Sheet3!$B$2:$E$311,3,)</f>
        <v>#N/A</v>
      </c>
      <c r="E241" s="6" t="str">
        <f>VLOOKUP(B241,Sheet3!$B$2:$E$311,4,)</f>
        <v>#N/A</v>
      </c>
      <c r="F241" s="6"/>
      <c r="G241" s="6"/>
      <c r="H241" s="6"/>
    </row>
    <row r="242" ht="15.75" customHeight="1">
      <c r="A242" s="6"/>
      <c r="B242" s="6"/>
      <c r="C242" s="6" t="str">
        <f>VLOOKUP(B242,Sheet3!$B$2:$E$311,2,FALSE)</f>
        <v>#N/A</v>
      </c>
      <c r="D242" s="6" t="str">
        <f>VLOOKUP(B242,Sheet3!$B$2:$E$311,3,)</f>
        <v>#N/A</v>
      </c>
      <c r="E242" s="6" t="str">
        <f>VLOOKUP(B242,Sheet3!$B$2:$E$311,4,)</f>
        <v>#N/A</v>
      </c>
      <c r="F242" s="6"/>
      <c r="G242" s="6"/>
      <c r="H242" s="6"/>
    </row>
    <row r="243" ht="15.75" customHeight="1">
      <c r="A243" s="6"/>
      <c r="B243" s="6"/>
      <c r="C243" s="6" t="str">
        <f>VLOOKUP(B243,Sheet3!$B$2:$E$311,2,FALSE)</f>
        <v>#N/A</v>
      </c>
      <c r="D243" s="6" t="str">
        <f>VLOOKUP(B243,Sheet3!$B$2:$E$311,3,)</f>
        <v>#N/A</v>
      </c>
      <c r="E243" s="6" t="str">
        <f>VLOOKUP(B243,Sheet3!$B$2:$E$311,4,)</f>
        <v>#N/A</v>
      </c>
      <c r="F243" s="6"/>
      <c r="G243" s="6"/>
      <c r="H243" s="6"/>
    </row>
    <row r="244" ht="15.75" customHeight="1">
      <c r="A244" s="6"/>
      <c r="B244" s="6"/>
      <c r="C244" s="6" t="str">
        <f>VLOOKUP(B244,Sheet3!$B$2:$E$311,2,FALSE)</f>
        <v>#N/A</v>
      </c>
      <c r="D244" s="6" t="str">
        <f>VLOOKUP(B244,Sheet3!$B$2:$E$311,3,)</f>
        <v>#N/A</v>
      </c>
      <c r="E244" s="6" t="str">
        <f>VLOOKUP(B244,Sheet3!$B$2:$E$311,4,)</f>
        <v>#N/A</v>
      </c>
      <c r="F244" s="6"/>
      <c r="G244" s="6"/>
      <c r="H244" s="6"/>
    </row>
    <row r="245" ht="15.75" customHeight="1">
      <c r="A245" s="6"/>
      <c r="B245" s="6"/>
      <c r="C245" s="6" t="str">
        <f>VLOOKUP(B245,Sheet3!$B$2:$E$311,2,FALSE)</f>
        <v>#N/A</v>
      </c>
      <c r="D245" s="6" t="str">
        <f>VLOOKUP(B245,Sheet3!$B$2:$E$311,3,)</f>
        <v>#N/A</v>
      </c>
      <c r="E245" s="6" t="str">
        <f>VLOOKUP(B245,Sheet3!$B$2:$E$311,4,)</f>
        <v>#N/A</v>
      </c>
      <c r="F245" s="6"/>
      <c r="G245" s="6"/>
      <c r="H245" s="6"/>
    </row>
    <row r="246" ht="15.75" customHeight="1">
      <c r="A246" s="6"/>
      <c r="B246" s="6"/>
      <c r="C246" s="6" t="str">
        <f>VLOOKUP(B246,Sheet3!$B$2:$E$311,2,FALSE)</f>
        <v>#N/A</v>
      </c>
      <c r="D246" s="6" t="str">
        <f>VLOOKUP(B246,Sheet3!$B$2:$E$311,3,)</f>
        <v>#N/A</v>
      </c>
      <c r="E246" s="6" t="str">
        <f>VLOOKUP(B246,Sheet3!$B$2:$E$311,4,)</f>
        <v>#N/A</v>
      </c>
      <c r="F246" s="6"/>
      <c r="G246" s="6"/>
      <c r="H246" s="6"/>
    </row>
    <row r="247" ht="15.75" customHeight="1">
      <c r="A247" s="6"/>
      <c r="B247" s="6"/>
      <c r="C247" s="6" t="str">
        <f>VLOOKUP(B247,Sheet3!$B$2:$E$311,2,FALSE)</f>
        <v>#N/A</v>
      </c>
      <c r="D247" s="6" t="str">
        <f>VLOOKUP(B247,Sheet3!$B$2:$E$311,3,)</f>
        <v>#N/A</v>
      </c>
      <c r="E247" s="6" t="str">
        <f>VLOOKUP(B247,Sheet3!$B$2:$E$311,4,)</f>
        <v>#N/A</v>
      </c>
      <c r="F247" s="6"/>
      <c r="G247" s="6"/>
      <c r="H247" s="6"/>
    </row>
    <row r="248" ht="15.75" customHeight="1">
      <c r="A248" s="6"/>
      <c r="B248" s="6"/>
      <c r="C248" s="6" t="str">
        <f>VLOOKUP(B248,Sheet3!$B$2:$E$311,2,FALSE)</f>
        <v>#N/A</v>
      </c>
      <c r="D248" s="6" t="str">
        <f>VLOOKUP(B248,Sheet3!$B$2:$E$311,3,)</f>
        <v>#N/A</v>
      </c>
      <c r="E248" s="6" t="str">
        <f>VLOOKUP(B248,Sheet3!$B$2:$E$311,4,)</f>
        <v>#N/A</v>
      </c>
      <c r="F248" s="6"/>
      <c r="G248" s="6"/>
      <c r="H248" s="6"/>
    </row>
    <row r="249" ht="15.75" customHeight="1">
      <c r="A249" s="6"/>
      <c r="B249" s="6"/>
      <c r="C249" s="6" t="str">
        <f>VLOOKUP(B249,Sheet3!$B$2:$E$311,2,FALSE)</f>
        <v>#N/A</v>
      </c>
      <c r="D249" s="6" t="str">
        <f>VLOOKUP(B249,Sheet3!$B$2:$E$311,3,)</f>
        <v>#N/A</v>
      </c>
      <c r="E249" s="6" t="str">
        <f>VLOOKUP(B249,Sheet3!$B$2:$E$311,4,)</f>
        <v>#N/A</v>
      </c>
      <c r="F249" s="6"/>
      <c r="G249" s="6"/>
      <c r="H249" s="6"/>
    </row>
    <row r="250" ht="15.75" customHeight="1">
      <c r="A250" s="6"/>
      <c r="B250" s="6"/>
      <c r="C250" s="6" t="str">
        <f>VLOOKUP(B250,Sheet3!$B$2:$E$311,2,FALSE)</f>
        <v>#N/A</v>
      </c>
      <c r="D250" s="6" t="str">
        <f>VLOOKUP(B250,Sheet3!$B$2:$E$311,3,)</f>
        <v>#N/A</v>
      </c>
      <c r="E250" s="6" t="str">
        <f>VLOOKUP(B250,Sheet3!$B$2:$E$311,4,)</f>
        <v>#N/A</v>
      </c>
      <c r="F250" s="6"/>
      <c r="G250" s="6"/>
      <c r="H250" s="6"/>
    </row>
    <row r="251" ht="15.75" customHeight="1">
      <c r="A251" s="6"/>
      <c r="B251" s="6"/>
      <c r="C251" s="6" t="str">
        <f>VLOOKUP(B251,Sheet3!$B$2:$E$311,2,FALSE)</f>
        <v>#N/A</v>
      </c>
      <c r="D251" s="6" t="str">
        <f>VLOOKUP(B251,Sheet3!$B$2:$E$311,3,)</f>
        <v>#N/A</v>
      </c>
      <c r="E251" s="6" t="str">
        <f>VLOOKUP(B251,Sheet3!$B$2:$E$311,4,)</f>
        <v>#N/A</v>
      </c>
      <c r="F251" s="6"/>
      <c r="G251" s="6"/>
      <c r="H251" s="6"/>
    </row>
    <row r="252" ht="15.75" customHeight="1">
      <c r="A252" s="6"/>
      <c r="B252" s="6"/>
      <c r="C252" s="6" t="str">
        <f>VLOOKUP(B252,Sheet3!$B$2:$E$311,2,FALSE)</f>
        <v>#N/A</v>
      </c>
      <c r="D252" s="6" t="str">
        <f>VLOOKUP(B252,Sheet3!$B$2:$E$311,3,)</f>
        <v>#N/A</v>
      </c>
      <c r="E252" s="6" t="str">
        <f>VLOOKUP(B252,Sheet3!$B$2:$E$311,4,)</f>
        <v>#N/A</v>
      </c>
      <c r="F252" s="6"/>
      <c r="G252" s="6"/>
      <c r="H252" s="6"/>
    </row>
    <row r="253" ht="15.75" customHeight="1">
      <c r="A253" s="6"/>
      <c r="B253" s="6"/>
      <c r="C253" s="6" t="str">
        <f>VLOOKUP(B253,Sheet3!$B$2:$E$311,2,FALSE)</f>
        <v>#N/A</v>
      </c>
      <c r="D253" s="6" t="str">
        <f>VLOOKUP(B253,Sheet3!$B$2:$E$311,3,)</f>
        <v>#N/A</v>
      </c>
      <c r="E253" s="6" t="str">
        <f>VLOOKUP(B253,Sheet3!$B$2:$E$311,4,)</f>
        <v>#N/A</v>
      </c>
      <c r="F253" s="6"/>
      <c r="G253" s="6"/>
      <c r="H253" s="6"/>
    </row>
    <row r="254" ht="15.75" customHeight="1">
      <c r="A254" s="6"/>
      <c r="B254" s="6"/>
      <c r="C254" s="6" t="str">
        <f>VLOOKUP(B254,Sheet3!$B$2:$E$311,2,FALSE)</f>
        <v>#N/A</v>
      </c>
      <c r="D254" s="6" t="str">
        <f>VLOOKUP(B254,Sheet3!$B$2:$E$311,3,)</f>
        <v>#N/A</v>
      </c>
      <c r="E254" s="6" t="str">
        <f>VLOOKUP(B254,Sheet3!$B$2:$E$311,4,)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VLOOKUP(B255,Sheet3!$B$2:$E$311,2,FALSE)</f>
        <v>#N/A</v>
      </c>
      <c r="D255" s="6" t="str">
        <f>VLOOKUP(B255,Sheet3!$B$2:$E$311,3,)</f>
        <v>#N/A</v>
      </c>
      <c r="E255" s="6" t="str">
        <f>VLOOKUP(B255,Sheet3!$B$2:$E$311,4,)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VLOOKUP(B256,Sheet3!$B$2:$E$311,2,FALSE)</f>
        <v>#N/A</v>
      </c>
      <c r="D256" s="6" t="str">
        <f>VLOOKUP(B256,Sheet3!$B$2:$E$311,3,)</f>
        <v>#N/A</v>
      </c>
      <c r="E256" s="6" t="str">
        <f>VLOOKUP(B256,Sheet3!$B$2:$E$311,4,)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VLOOKUP(B257,Sheet3!$B$2:$E$311,2,FALSE)</f>
        <v>#N/A</v>
      </c>
      <c r="D257" s="6" t="str">
        <f>VLOOKUP(B257,Sheet3!$B$2:$E$311,3,)</f>
        <v>#N/A</v>
      </c>
      <c r="E257" s="6" t="str">
        <f>VLOOKUP(B257,Sheet3!$B$2:$E$311,4,)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VLOOKUP(B258,Sheet3!$B$2:$E$311,2,FALSE)</f>
        <v>#N/A</v>
      </c>
      <c r="D258" s="6" t="str">
        <f>VLOOKUP(B258,Sheet3!$B$2:$E$311,3,)</f>
        <v>#N/A</v>
      </c>
      <c r="E258" s="6" t="str">
        <f>VLOOKUP(B258,Sheet3!$B$2:$E$311,4,)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VLOOKUP(B259,Sheet3!$B$2:$E$311,2,FALSE)</f>
        <v>#N/A</v>
      </c>
      <c r="D259" s="6" t="str">
        <f>VLOOKUP(B259,Sheet3!$B$2:$E$311,3,)</f>
        <v>#N/A</v>
      </c>
      <c r="E259" s="6" t="str">
        <f>VLOOKUP(B259,Sheet3!$B$2:$E$311,4,)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VLOOKUP(B260,Sheet3!$B$2:$E$311,2,FALSE)</f>
        <v>#N/A</v>
      </c>
      <c r="D260" s="6" t="str">
        <f>VLOOKUP(B260,Sheet3!$B$2:$E$311,3,)</f>
        <v>#N/A</v>
      </c>
      <c r="E260" s="6" t="str">
        <f>VLOOKUP(B260,Sheet3!$B$2:$E$311,4,)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VLOOKUP(B261,Sheet3!$B$2:$E$311,2,FALSE)</f>
        <v>#N/A</v>
      </c>
      <c r="D261" s="6" t="str">
        <f>VLOOKUP(B261,Sheet3!$B$2:$E$311,3,)</f>
        <v>#N/A</v>
      </c>
      <c r="E261" s="6" t="str">
        <f>VLOOKUP(B261,Sheet3!$B$2:$E$311,4,)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VLOOKUP(B262,Sheet3!$B$2:$E$311,2,FALSE)</f>
        <v>#N/A</v>
      </c>
      <c r="D262" s="6" t="str">
        <f>VLOOKUP(B262,Sheet3!$B$2:$E$311,3,)</f>
        <v>#N/A</v>
      </c>
      <c r="E262" s="6" t="str">
        <f>VLOOKUP(B262,Sheet3!$B$2:$E$311,4,)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VLOOKUP(B263,Sheet3!$B$2:$E$311,2,FALSE)</f>
        <v>#N/A</v>
      </c>
      <c r="D263" s="6" t="str">
        <f>VLOOKUP(B263,Sheet3!$B$2:$E$311,3,)</f>
        <v>#N/A</v>
      </c>
      <c r="E263" s="6" t="str">
        <f>VLOOKUP(B263,Sheet3!$B$2:$E$311,4,)</f>
        <v>#N/A</v>
      </c>
      <c r="F263" s="6"/>
      <c r="G263" s="6"/>
      <c r="H263" s="6"/>
    </row>
    <row r="264" ht="15.75" customHeight="1">
      <c r="A264" s="6"/>
      <c r="B264" s="6"/>
      <c r="C264" s="6" t="str">
        <f>VLOOKUP(B264,Sheet3!$B$2:$E$311,2,FALSE)</f>
        <v>#N/A</v>
      </c>
      <c r="D264" s="6" t="str">
        <f>VLOOKUP(B264,Sheet3!$B$2:$E$311,3,)</f>
        <v>#N/A</v>
      </c>
      <c r="E264" s="6" t="str">
        <f>VLOOKUP(B264,Sheet3!$B$2:$E$311,4,)</f>
        <v>#N/A</v>
      </c>
      <c r="F264" s="6"/>
      <c r="G264" s="6"/>
      <c r="H264" s="6"/>
    </row>
    <row r="265" ht="15.75" customHeight="1">
      <c r="A265" s="6"/>
      <c r="B265" s="6"/>
      <c r="C265" s="6" t="str">
        <f>VLOOKUP(B265,Sheet3!$B$2:$E$311,2,FALSE)</f>
        <v>#N/A</v>
      </c>
      <c r="D265" s="6" t="str">
        <f>VLOOKUP(B265,Sheet3!$B$2:$E$311,3,)</f>
        <v>#N/A</v>
      </c>
      <c r="E265" s="6" t="str">
        <f>VLOOKUP(B265,Sheet3!$B$2:$E$311,4,)</f>
        <v>#N/A</v>
      </c>
      <c r="F265" s="6"/>
      <c r="G265" s="6"/>
      <c r="H265" s="6"/>
    </row>
    <row r="266" ht="15.75" customHeight="1">
      <c r="A266" s="6"/>
      <c r="B266" s="6"/>
      <c r="C266" s="6" t="str">
        <f>VLOOKUP(B266,Sheet3!$B$2:$E$311,2,FALSE)</f>
        <v>#N/A</v>
      </c>
      <c r="D266" s="6" t="str">
        <f>VLOOKUP(B266,Sheet3!$B$2:$E$311,3,)</f>
        <v>#N/A</v>
      </c>
      <c r="E266" s="6" t="str">
        <f>VLOOKUP(B266,Sheet3!$B$2:$E$311,4,)</f>
        <v>#N/A</v>
      </c>
      <c r="F266" s="6"/>
      <c r="G266" s="6"/>
      <c r="H266" s="6"/>
    </row>
    <row r="267" ht="15.75" customHeight="1">
      <c r="A267" s="6"/>
      <c r="B267" s="6"/>
      <c r="C267" s="6" t="str">
        <f>VLOOKUP(B267,Sheet3!$B$2:$E$311,2,FALSE)</f>
        <v>#N/A</v>
      </c>
      <c r="D267" s="6" t="str">
        <f>VLOOKUP(B267,Sheet3!$B$2:$E$311,3,)</f>
        <v>#N/A</v>
      </c>
      <c r="E267" s="6" t="str">
        <f>VLOOKUP(B267,Sheet3!$B$2:$E$311,4,)</f>
        <v>#N/A</v>
      </c>
      <c r="F267" s="6"/>
      <c r="G267" s="6"/>
      <c r="H267" s="6"/>
    </row>
    <row r="268" ht="15.75" customHeight="1">
      <c r="A268" s="6"/>
      <c r="B268" s="6"/>
      <c r="C268" s="6" t="str">
        <f>VLOOKUP(B268,Sheet3!$B$2:$E$311,2,FALSE)</f>
        <v>#N/A</v>
      </c>
      <c r="D268" s="6" t="str">
        <f>VLOOKUP(B268,Sheet3!$B$2:$E$311,3,)</f>
        <v>#N/A</v>
      </c>
      <c r="E268" s="6" t="str">
        <f>VLOOKUP(B268,Sheet3!$B$2:$E$311,4,)</f>
        <v>#N/A</v>
      </c>
      <c r="F268" s="6"/>
      <c r="G268" s="6"/>
      <c r="H268" s="6"/>
    </row>
    <row r="269" ht="15.75" customHeight="1">
      <c r="A269" s="6"/>
      <c r="B269" s="6"/>
      <c r="C269" s="6" t="str">
        <f>VLOOKUP(B269,Sheet3!$B$2:$E$311,2,FALSE)</f>
        <v>#N/A</v>
      </c>
      <c r="D269" s="6" t="str">
        <f>VLOOKUP(B269,Sheet3!$B$2:$E$311,3,)</f>
        <v>#N/A</v>
      </c>
      <c r="E269" s="6" t="str">
        <f>VLOOKUP(B269,Sheet3!$B$2:$E$311,4,)</f>
        <v>#N/A</v>
      </c>
      <c r="F269" s="6"/>
      <c r="G269" s="6"/>
      <c r="H269" s="6"/>
    </row>
    <row r="270" ht="15.75" customHeight="1">
      <c r="A270" s="6"/>
      <c r="B270" s="6"/>
      <c r="C270" s="6" t="str">
        <f>VLOOKUP(B270,Sheet3!$B$2:$E$311,2,FALSE)</f>
        <v>#N/A</v>
      </c>
      <c r="D270" s="6" t="str">
        <f>VLOOKUP(B270,Sheet3!$B$2:$E$311,3,)</f>
        <v>#N/A</v>
      </c>
      <c r="E270" s="6" t="str">
        <f>VLOOKUP(B270,Sheet3!$B$2:$E$311,4,)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VLOOKUP(B271,Sheet3!$B$2:$E$311,2,FALSE)</f>
        <v>#N/A</v>
      </c>
      <c r="D271" s="6" t="str">
        <f>VLOOKUP(B271,Sheet3!$B$2:$E$311,3,)</f>
        <v>#N/A</v>
      </c>
      <c r="E271" s="6" t="str">
        <f>VLOOKUP(B271,Sheet3!$B$2:$E$311,4,)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VLOOKUP(B272,Sheet3!$B$2:$E$311,2,FALSE)</f>
        <v>#N/A</v>
      </c>
      <c r="D272" s="6" t="str">
        <f>VLOOKUP(B272,Sheet3!$B$2:$E$311,3,)</f>
        <v>#N/A</v>
      </c>
      <c r="E272" s="6" t="str">
        <f>VLOOKUP(B272,Sheet3!$B$2:$E$311,4,)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VLOOKUP(B273,Sheet3!$B$2:$E$311,2,FALSE)</f>
        <v>#N/A</v>
      </c>
      <c r="D273" s="6" t="str">
        <f>VLOOKUP(B273,Sheet3!$B$2:$E$311,3,)</f>
        <v>#N/A</v>
      </c>
      <c r="E273" s="6" t="str">
        <f>VLOOKUP(B273,Sheet3!$B$2:$E$311,4,)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VLOOKUP(B274,Sheet3!$B$2:$E$311,2,FALSE)</f>
        <v>#N/A</v>
      </c>
      <c r="D274" s="6" t="str">
        <f>VLOOKUP(B274,Sheet3!$B$2:$E$311,3,)</f>
        <v>#N/A</v>
      </c>
      <c r="E274" s="6" t="str">
        <f>VLOOKUP(B274,Sheet3!$B$2:$E$311,4,)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VLOOKUP(B275,Sheet3!$B$2:$E$311,2,FALSE)</f>
        <v>#N/A</v>
      </c>
      <c r="D275" s="6" t="str">
        <f>VLOOKUP(B275,Sheet3!$B$2:$E$311,3,)</f>
        <v>#N/A</v>
      </c>
      <c r="E275" s="6" t="str">
        <f>VLOOKUP(B275,Sheet3!$B$2:$E$311,4,)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VLOOKUP(B276,Sheet3!$B$2:$E$311,2,FALSE)</f>
        <v>#N/A</v>
      </c>
      <c r="D276" s="6" t="str">
        <f>VLOOKUP(B276,Sheet3!$B$2:$E$311,3,)</f>
        <v>#N/A</v>
      </c>
      <c r="E276" s="6" t="str">
        <f>VLOOKUP(B276,Sheet3!$B$2:$E$311,4,)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VLOOKUP(B277,Sheet3!$B$2:$E$311,2,FALSE)</f>
        <v>#N/A</v>
      </c>
      <c r="D277" s="6" t="str">
        <f>VLOOKUP(B277,Sheet3!$B$2:$E$311,3,)</f>
        <v>#N/A</v>
      </c>
      <c r="E277" s="6" t="str">
        <f>VLOOKUP(B277,Sheet3!$B$2:$E$311,4,)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VLOOKUP(B278,Sheet3!$B$2:$E$311,2,FALSE)</f>
        <v>#N/A</v>
      </c>
      <c r="D278" s="6" t="str">
        <f>VLOOKUP(B278,Sheet3!$B$2:$E$311,3,)</f>
        <v>#N/A</v>
      </c>
      <c r="E278" s="6" t="str">
        <f>VLOOKUP(B278,Sheet3!$B$2:$E$311,4,)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VLOOKUP(B279,Sheet3!$B$2:$E$311,2,FALSE)</f>
        <v>#N/A</v>
      </c>
      <c r="D279" s="6" t="str">
        <f>VLOOKUP(B279,Sheet3!$B$2:$E$311,3,)</f>
        <v>#N/A</v>
      </c>
      <c r="E279" s="6" t="str">
        <f>VLOOKUP(B279,Sheet3!$B$2:$E$311,4,)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VLOOKUP(B280,Sheet3!$B$2:$E$311,2,FALSE)</f>
        <v>#N/A</v>
      </c>
      <c r="D280" s="6" t="str">
        <f>VLOOKUP(B280,Sheet3!$B$2:$E$311,3,)</f>
        <v>#N/A</v>
      </c>
      <c r="E280" s="6" t="str">
        <f>VLOOKUP(B280,Sheet3!$B$2:$E$311,4,)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VLOOKUP(B281,Sheet3!$B$2:$E$311,2,FALSE)</f>
        <v>#N/A</v>
      </c>
      <c r="D281" s="6" t="str">
        <f>VLOOKUP(B281,Sheet3!$B$2:$E$311,3,)</f>
        <v>#N/A</v>
      </c>
      <c r="E281" s="6" t="str">
        <f>VLOOKUP(B281,Sheet3!$B$2:$E$311,4,)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VLOOKUP(B282,Sheet3!$B$2:$E$311,2,FALSE)</f>
        <v>#N/A</v>
      </c>
      <c r="D282" s="6" t="str">
        <f>VLOOKUP(B282,Sheet3!$B$2:$E$311,3,)</f>
        <v>#N/A</v>
      </c>
      <c r="E282" s="6" t="str">
        <f>VLOOKUP(B282,Sheet3!$B$2:$E$311,4,)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VLOOKUP(B283,Sheet3!$B$2:$E$311,2,FALSE)</f>
        <v>#N/A</v>
      </c>
      <c r="D283" s="6" t="str">
        <f>VLOOKUP(B283,Sheet3!$B$2:$E$311,3,)</f>
        <v>#N/A</v>
      </c>
      <c r="E283" s="6" t="str">
        <f>VLOOKUP(B283,Sheet3!$B$2:$E$311,4,)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VLOOKUP(B284,Sheet3!$B$2:$E$311,2,FALSE)</f>
        <v>#N/A</v>
      </c>
      <c r="D284" s="6" t="str">
        <f>VLOOKUP(B284,Sheet3!$B$2:$E$311,3,)</f>
        <v>#N/A</v>
      </c>
      <c r="E284" s="6" t="str">
        <f>VLOOKUP(B284,Sheet3!$B$2:$E$311,4,)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VLOOKUP(B285,Sheet3!$B$2:$E$311,2,FALSE)</f>
        <v>#N/A</v>
      </c>
      <c r="D285" s="6" t="str">
        <f>VLOOKUP(B285,Sheet3!$B$2:$E$311,3,)</f>
        <v>#N/A</v>
      </c>
      <c r="E285" s="6" t="str">
        <f>VLOOKUP(B285,Sheet3!$B$2:$E$311,4,)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VLOOKUP(B286,Sheet3!$B$2:$E$311,2,FALSE)</f>
        <v>#N/A</v>
      </c>
      <c r="D286" s="6" t="str">
        <f>VLOOKUP(B286,Sheet3!$B$2:$E$311,3,)</f>
        <v>#N/A</v>
      </c>
      <c r="E286" s="6" t="str">
        <f>VLOOKUP(B286,Sheet3!$B$2:$E$311,4,)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VLOOKUP(B287,Sheet3!$B$2:$E$311,2,FALSE)</f>
        <v>#N/A</v>
      </c>
      <c r="D287" s="6" t="str">
        <f>VLOOKUP(B287,Sheet3!$B$2:$E$311,3,)</f>
        <v>#N/A</v>
      </c>
      <c r="E287" s="6" t="str">
        <f>VLOOKUP(B287,Sheet3!$B$2:$E$311,4,)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VLOOKUP(B288,Sheet3!$B$2:$E$311,2,FALSE)</f>
        <v>#N/A</v>
      </c>
      <c r="D288" s="6" t="str">
        <f>VLOOKUP(B288,Sheet3!$B$2:$E$311,3,)</f>
        <v>#N/A</v>
      </c>
      <c r="E288" s="6" t="str">
        <f>VLOOKUP(B288,Sheet3!$B$2:$E$311,4,)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VLOOKUP(B289,Sheet3!$B$2:$E$311,2,FALSE)</f>
        <v>#N/A</v>
      </c>
      <c r="D289" s="6" t="str">
        <f>VLOOKUP(B289,Sheet3!$B$2:$E$311,3,)</f>
        <v>#N/A</v>
      </c>
      <c r="E289" s="6" t="str">
        <f>VLOOKUP(B289,Sheet3!$B$2:$E$311,4,)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VLOOKUP(B290,Sheet3!$B$2:$E$311,2,FALSE)</f>
        <v>#N/A</v>
      </c>
      <c r="D290" s="6" t="str">
        <f>VLOOKUP(B290,Sheet3!$B$2:$E$311,3,)</f>
        <v>#N/A</v>
      </c>
      <c r="E290" s="6" t="str">
        <f>VLOOKUP(B290,Sheet3!$B$2:$E$311,4,)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VLOOKUP(B291,Sheet3!$B$2:$E$311,2,FALSE)</f>
        <v>#N/A</v>
      </c>
      <c r="D291" s="6" t="str">
        <f>VLOOKUP(B291,Sheet3!$B$2:$E$311,3,)</f>
        <v>#N/A</v>
      </c>
      <c r="E291" s="6" t="str">
        <f>VLOOKUP(B291,Sheet3!$B$2:$E$311,4,)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VLOOKUP(B292,Sheet3!$B$2:$E$311,2,FALSE)</f>
        <v>#N/A</v>
      </c>
      <c r="D292" s="6" t="str">
        <f>VLOOKUP(B292,Sheet3!$B$2:$E$311,3,)</f>
        <v>#N/A</v>
      </c>
      <c r="E292" s="6" t="str">
        <f>VLOOKUP(B292,Sheet3!$B$2:$E$311,4,)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VLOOKUP(B293,Sheet3!$B$2:$E$311,2,FALSE)</f>
        <v>#N/A</v>
      </c>
      <c r="D293" s="6" t="str">
        <f>VLOOKUP(B293,Sheet3!$B$2:$E$311,3,)</f>
        <v>#N/A</v>
      </c>
      <c r="E293" s="6" t="str">
        <f>VLOOKUP(B293,Sheet3!$B$2:$E$311,4,)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VLOOKUP(B294,Sheet3!$B$2:$E$311,2,FALSE)</f>
        <v>#N/A</v>
      </c>
      <c r="D294" s="6" t="str">
        <f>VLOOKUP(B294,Sheet3!$B$2:$E$311,3,)</f>
        <v>#N/A</v>
      </c>
      <c r="E294" s="6" t="str">
        <f>VLOOKUP(B294,Sheet3!$B$2:$E$311,4,)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VLOOKUP(B295,Sheet3!$B$2:$E$311,2,FALSE)</f>
        <v>#N/A</v>
      </c>
      <c r="D295" s="6" t="str">
        <f>VLOOKUP(B295,Sheet3!$B$2:$E$311,3,)</f>
        <v>#N/A</v>
      </c>
      <c r="E295" s="6" t="str">
        <f>VLOOKUP(B295,Sheet3!$B$2:$E$311,4,)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VLOOKUP(B296,Sheet3!$B$2:$E$311,2,FALSE)</f>
        <v>#N/A</v>
      </c>
      <c r="D296" s="6" t="str">
        <f>VLOOKUP(B296,Sheet3!$B$2:$E$311,3,)</f>
        <v>#N/A</v>
      </c>
      <c r="E296" s="6" t="str">
        <f>VLOOKUP(B296,Sheet3!$B$2:$E$311,4,)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VLOOKUP(B297,Sheet3!$B$2:$E$311,2,FALSE)</f>
        <v>#N/A</v>
      </c>
      <c r="D297" s="6" t="str">
        <f>VLOOKUP(B297,Sheet3!$B$2:$E$311,3,)</f>
        <v>#N/A</v>
      </c>
      <c r="E297" s="6" t="str">
        <f>VLOOKUP(B297,Sheet3!$B$2:$E$311,4,)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VLOOKUP(B298,Sheet3!$B$2:$E$311,2,FALSE)</f>
        <v>#N/A</v>
      </c>
      <c r="D298" s="6" t="str">
        <f>VLOOKUP(B298,Sheet3!$B$2:$E$311,3,)</f>
        <v>#N/A</v>
      </c>
      <c r="E298" s="6" t="str">
        <f>VLOOKUP(B298,Sheet3!$B$2:$E$311,4,)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VLOOKUP(B299,Sheet3!$B$2:$E$311,2,FALSE)</f>
        <v>#N/A</v>
      </c>
      <c r="D299" s="6" t="str">
        <f>VLOOKUP(B299,Sheet3!$B$2:$E$311,3,)</f>
        <v>#N/A</v>
      </c>
      <c r="E299" s="6" t="str">
        <f>VLOOKUP(B299,Sheet3!$B$2:$E$311,4,)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VLOOKUP(B300,Sheet3!$B$2:$E$311,2,FALSE)</f>
        <v>#N/A</v>
      </c>
      <c r="D300" s="6" t="str">
        <f>VLOOKUP(B300,Sheet3!$B$2:$E$311,3,)</f>
        <v>#N/A</v>
      </c>
      <c r="E300" s="6" t="str">
        <f>VLOOKUP(B300,Sheet3!$B$2:$E$311,4,)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VLOOKUP(B301,Sheet3!$B$2:$E$311,2,FALSE)</f>
        <v>#N/A</v>
      </c>
      <c r="D301" s="6" t="str">
        <f>VLOOKUP(B301,Sheet3!$B$2:$E$311,3,)</f>
        <v>#N/A</v>
      </c>
      <c r="E301" s="6" t="str">
        <f>VLOOKUP(B301,Sheet3!$B$2:$E$311,4,)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VLOOKUP(B302,Sheet3!$B$2:$E$311,2,FALSE)</f>
        <v>#N/A</v>
      </c>
      <c r="D302" s="6" t="str">
        <f>VLOOKUP(B302,Sheet3!$B$2:$E$311,3,)</f>
        <v>#N/A</v>
      </c>
      <c r="E302" s="6" t="str">
        <f>VLOOKUP(B302,Sheet3!$B$2:$E$311,4,)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VLOOKUP(B303,Sheet3!$B$2:$E$311,2,FALSE)</f>
        <v>#N/A</v>
      </c>
      <c r="D303" s="6" t="str">
        <f>VLOOKUP(B303,Sheet3!$B$2:$E$311,3,)</f>
        <v>#N/A</v>
      </c>
      <c r="E303" s="6" t="str">
        <f>VLOOKUP(B303,Sheet3!$B$2:$E$311,4,)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VLOOKUP(B304,Sheet3!$B$2:$E$311,2,FALSE)</f>
        <v>#N/A</v>
      </c>
      <c r="D304" s="6" t="str">
        <f>VLOOKUP(B304,Sheet3!$B$2:$E$311,3,)</f>
        <v>#N/A</v>
      </c>
      <c r="E304" s="6" t="str">
        <f>VLOOKUP(B304,Sheet3!$B$2:$E$311,4,)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VLOOKUP(B305,Sheet3!$B$2:$E$311,2,FALSE)</f>
        <v>#N/A</v>
      </c>
      <c r="D305" s="6" t="str">
        <f>VLOOKUP(B305,Sheet3!$B$2:$E$311,3,)</f>
        <v>#N/A</v>
      </c>
      <c r="E305" s="6" t="str">
        <f>VLOOKUP(B305,Sheet3!$B$2:$E$311,4,)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VLOOKUP(B306,Sheet3!$B$2:$E$311,2,FALSE)</f>
        <v>#N/A</v>
      </c>
      <c r="D306" s="6" t="str">
        <f>VLOOKUP(B306,Sheet3!$B$2:$E$311,3,)</f>
        <v>#N/A</v>
      </c>
      <c r="E306" s="6" t="str">
        <f>VLOOKUP(B306,Sheet3!$B$2:$E$311,4,)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VLOOKUP(B307,Sheet3!$B$2:$E$311,2,FALSE)</f>
        <v>#N/A</v>
      </c>
      <c r="D307" s="6" t="str">
        <f>VLOOKUP(B307,Sheet3!$B$2:$E$311,3,)</f>
        <v>#N/A</v>
      </c>
      <c r="E307" s="6" t="str">
        <f>VLOOKUP(B307,Sheet3!$B$2:$E$311,4,)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VLOOKUP(B308,Sheet3!$B$2:$E$311,2,FALSE)</f>
        <v>#N/A</v>
      </c>
      <c r="D308" s="6" t="str">
        <f>VLOOKUP(B308,Sheet3!$B$2:$E$311,3,)</f>
        <v>#N/A</v>
      </c>
      <c r="E308" s="6" t="str">
        <f>VLOOKUP(B308,Sheet3!$B$2:$E$311,4,)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VLOOKUP(B309,Sheet3!$B$2:$E$311,2,FALSE)</f>
        <v>#N/A</v>
      </c>
      <c r="D309" s="6" t="str">
        <f>VLOOKUP(B309,Sheet3!$B$2:$E$311,3,)</f>
        <v>#N/A</v>
      </c>
      <c r="E309" s="6" t="str">
        <f>VLOOKUP(B309,Sheet3!$B$2:$E$311,4,)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VLOOKUP(B310,Sheet3!$B$2:$E$311,2,FALSE)</f>
        <v>#N/A</v>
      </c>
      <c r="D310" s="6" t="str">
        <f>VLOOKUP(B310,Sheet3!$B$2:$E$311,3,)</f>
        <v>#N/A</v>
      </c>
      <c r="E310" s="6" t="str">
        <f>VLOOKUP(B310,Sheet3!$B$2:$E$311,4,)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VLOOKUP(B311,Sheet3!$B$2:$E$311,2,FALSE)</f>
        <v>#N/A</v>
      </c>
      <c r="D311" s="6" t="str">
        <f>VLOOKUP(B311,Sheet3!$B$2:$E$311,3,)</f>
        <v>#N/A</v>
      </c>
      <c r="E311" s="6" t="str">
        <f>VLOOKUP(B311,Sheet3!$B$2:$E$311,4,)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VLOOKUP(B312,Sheet3!$B$2:$E$311,2,FALSE)</f>
        <v>#N/A</v>
      </c>
      <c r="D312" s="6" t="str">
        <f>VLOOKUP(B312,Sheet3!$B$2:$E$311,3,)</f>
        <v>#N/A</v>
      </c>
      <c r="E312" s="6" t="str">
        <f>VLOOKUP(B312,Sheet3!$B$2:$E$311,4,)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VLOOKUP(B313,Sheet3!$B$2:$E$311,2,FALSE)</f>
        <v>#N/A</v>
      </c>
      <c r="D313" s="6" t="str">
        <f>VLOOKUP(B313,Sheet3!$B$2:$E$311,3,)</f>
        <v>#N/A</v>
      </c>
      <c r="E313" s="6" t="str">
        <f>VLOOKUP(B313,Sheet3!$B$2:$E$311,4,)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VLOOKUP(B314,Sheet3!$B$2:$E$311,2,FALSE)</f>
        <v>#N/A</v>
      </c>
      <c r="D314" s="6" t="str">
        <f>VLOOKUP(B314,Sheet3!$B$2:$E$311,3,)</f>
        <v>#N/A</v>
      </c>
      <c r="E314" s="6" t="str">
        <f>VLOOKUP(B314,Sheet3!$B$2:$E$311,4,)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VLOOKUP(B315,Sheet3!$B$2:$E$311,2,FALSE)</f>
        <v>#N/A</v>
      </c>
      <c r="D315" s="6" t="str">
        <f>VLOOKUP(B315,Sheet3!$B$2:$E$311,3,)</f>
        <v>#N/A</v>
      </c>
      <c r="E315" s="6" t="str">
        <f>VLOOKUP(B315,Sheet3!$B$2:$E$311,4,)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VLOOKUP(B316,Sheet3!$B$2:$E$311,2,FALSE)</f>
        <v>#N/A</v>
      </c>
      <c r="D316" s="6" t="str">
        <f>VLOOKUP(B316,Sheet3!$B$2:$E$311,3,)</f>
        <v>#N/A</v>
      </c>
      <c r="E316" s="6" t="str">
        <f>VLOOKUP(B316,Sheet3!$B$2:$E$311,4,)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VLOOKUP(B317,Sheet3!$B$2:$E$311,2,FALSE)</f>
        <v>#N/A</v>
      </c>
      <c r="D317" s="6" t="str">
        <f>VLOOKUP(B317,Sheet3!$B$2:$E$311,3,)</f>
        <v>#N/A</v>
      </c>
      <c r="E317" s="6" t="str">
        <f>VLOOKUP(B317,Sheet3!$B$2:$E$311,4,)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VLOOKUP(B318,Sheet3!$B$2:$E$311,2,FALSE)</f>
        <v>#N/A</v>
      </c>
      <c r="D318" s="6" t="str">
        <f>VLOOKUP(B318,Sheet3!$B$2:$E$311,3,)</f>
        <v>#N/A</v>
      </c>
      <c r="E318" s="6" t="str">
        <f>VLOOKUP(B318,Sheet3!$B$2:$E$311,4,)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VLOOKUP(B319,Sheet3!$B$2:$E$311,2,FALSE)</f>
        <v>#N/A</v>
      </c>
      <c r="D319" s="6" t="str">
        <f>VLOOKUP(B319,Sheet3!$B$2:$E$311,3,)</f>
        <v>#N/A</v>
      </c>
      <c r="E319" s="6" t="str">
        <f>VLOOKUP(B319,Sheet3!$B$2:$E$311,4,)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VLOOKUP(B320,Sheet3!$B$2:$E$311,2,FALSE)</f>
        <v>#N/A</v>
      </c>
      <c r="D320" s="6" t="str">
        <f>VLOOKUP(B320,Sheet3!$B$2:$E$311,3,)</f>
        <v>#N/A</v>
      </c>
      <c r="E320" s="6" t="str">
        <f>VLOOKUP(B320,Sheet3!$B$2:$E$311,4,)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VLOOKUP(B321,Sheet3!$B$2:$E$311,2,FALSE)</f>
        <v>#N/A</v>
      </c>
      <c r="D321" s="6" t="str">
        <f>VLOOKUP(B321,Sheet3!$B$2:$E$311,3,)</f>
        <v>#N/A</v>
      </c>
      <c r="E321" s="6" t="str">
        <f>VLOOKUP(B321,Sheet3!$B$2:$E$311,4,)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VLOOKUP(B322,Sheet3!$B$2:$E$311,2,FALSE)</f>
        <v>#N/A</v>
      </c>
      <c r="D322" s="6" t="str">
        <f>VLOOKUP(B322,Sheet3!$B$2:$E$311,3,)</f>
        <v>#N/A</v>
      </c>
      <c r="E322" s="6" t="str">
        <f>VLOOKUP(B322,Sheet3!$B$2:$E$311,4,)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VLOOKUP(B323,Sheet3!$B$2:$E$311,2,FALSE)</f>
        <v>#N/A</v>
      </c>
      <c r="D323" s="6" t="str">
        <f>VLOOKUP(B323,Sheet3!$B$2:$E$311,3,)</f>
        <v>#N/A</v>
      </c>
      <c r="E323" s="6" t="str">
        <f>VLOOKUP(B323,Sheet3!$B$2:$E$311,4,)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VLOOKUP(B324,Sheet3!$B$2:$E$311,2,FALSE)</f>
        <v>#N/A</v>
      </c>
      <c r="D324" s="6" t="str">
        <f>VLOOKUP(B324,Sheet3!$B$2:$E$311,3,)</f>
        <v>#N/A</v>
      </c>
      <c r="E324" s="6" t="str">
        <f>VLOOKUP(B324,Sheet3!$B$2:$E$311,4,)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VLOOKUP(B325,Sheet3!$B$2:$E$311,2,FALSE)</f>
        <v>#N/A</v>
      </c>
      <c r="D325" s="6" t="str">
        <f>VLOOKUP(B325,Sheet3!$B$2:$E$311,3,)</f>
        <v>#N/A</v>
      </c>
      <c r="E325" s="6" t="str">
        <f>VLOOKUP(B325,Sheet3!$B$2:$E$311,4,)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VLOOKUP(B326,Sheet3!$B$2:$E$311,2,FALSE)</f>
        <v>#N/A</v>
      </c>
      <c r="D326" s="6" t="str">
        <f>VLOOKUP(B326,Sheet3!$B$2:$E$311,3,)</f>
        <v>#N/A</v>
      </c>
      <c r="E326" s="6" t="str">
        <f>VLOOKUP(B326,Sheet3!$B$2:$E$311,4,)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VLOOKUP(B327,Sheet3!$B$2:$E$311,2,FALSE)</f>
        <v>#N/A</v>
      </c>
      <c r="D327" s="6" t="str">
        <f>VLOOKUP(B327,Sheet3!$B$2:$E$311,3,)</f>
        <v>#N/A</v>
      </c>
      <c r="E327" s="6" t="str">
        <f>VLOOKUP(B327,Sheet3!$B$2:$E$311,4,)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VLOOKUP(B328,Sheet3!$B$2:$E$311,2,FALSE)</f>
        <v>#N/A</v>
      </c>
      <c r="D328" s="6" t="str">
        <f>VLOOKUP(B328,Sheet3!$B$2:$E$311,3,)</f>
        <v>#N/A</v>
      </c>
      <c r="E328" s="6" t="str">
        <f>VLOOKUP(B328,Sheet3!$B$2:$E$311,4,)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VLOOKUP(B329,Sheet3!$B$2:$E$311,2,FALSE)</f>
        <v>#N/A</v>
      </c>
      <c r="D329" s="6" t="str">
        <f>VLOOKUP(B329,Sheet3!$B$2:$E$311,3,)</f>
        <v>#N/A</v>
      </c>
      <c r="E329" s="6" t="str">
        <f>VLOOKUP(B329,Sheet3!$B$2:$E$311,4,)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VLOOKUP(B330,Sheet3!$B$2:$E$311,2,FALSE)</f>
        <v>#N/A</v>
      </c>
      <c r="D330" s="6" t="str">
        <f>VLOOKUP(B330,Sheet3!$B$2:$E$311,3,)</f>
        <v>#N/A</v>
      </c>
      <c r="E330" s="6" t="str">
        <f>VLOOKUP(B330,Sheet3!$B$2:$E$311,4,)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VLOOKUP(B331,Sheet3!$B$2:$E$311,2,FALSE)</f>
        <v>#N/A</v>
      </c>
      <c r="D331" s="6" t="str">
        <f>VLOOKUP(B331,Sheet3!$B$2:$E$311,3,)</f>
        <v>#N/A</v>
      </c>
      <c r="E331" s="6" t="str">
        <f>VLOOKUP(B331,Sheet3!$B$2:$E$311,4,)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VLOOKUP(B332,Sheet3!$B$2:$E$311,2,FALSE)</f>
        <v>#N/A</v>
      </c>
      <c r="D332" s="6" t="str">
        <f>VLOOKUP(B332,Sheet3!$B$2:$E$311,3,)</f>
        <v>#N/A</v>
      </c>
      <c r="E332" s="6" t="str">
        <f>VLOOKUP(B332,Sheet3!$B$2:$E$311,4,)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VLOOKUP(B333,Sheet3!$B$2:$E$311,2,FALSE)</f>
        <v>#N/A</v>
      </c>
      <c r="D333" s="6" t="str">
        <f>VLOOKUP(B333,Sheet3!$B$2:$E$311,3,)</f>
        <v>#N/A</v>
      </c>
      <c r="E333" s="6" t="str">
        <f>VLOOKUP(B333,Sheet3!$B$2:$E$311,4,)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VLOOKUP(B334,Sheet3!$B$2:$E$311,2,FALSE)</f>
        <v>#N/A</v>
      </c>
      <c r="D334" s="6" t="str">
        <f>VLOOKUP(B334,Sheet3!$B$2:$E$311,3,)</f>
        <v>#N/A</v>
      </c>
      <c r="E334" s="6" t="str">
        <f>VLOOKUP(B334,Sheet3!$B$2:$E$311,4,)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VLOOKUP(B335,Sheet3!$B$2:$E$311,2,FALSE)</f>
        <v>#N/A</v>
      </c>
      <c r="D335" s="6" t="str">
        <f>VLOOKUP(B335,Sheet3!$B$2:$E$311,3,)</f>
        <v>#N/A</v>
      </c>
      <c r="E335" s="6" t="str">
        <f>VLOOKUP(B335,Sheet3!$B$2:$E$311,4,)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VLOOKUP(B336,Sheet3!$B$2:$E$311,2,FALSE)</f>
        <v>#N/A</v>
      </c>
      <c r="D336" s="6" t="str">
        <f>VLOOKUP(B336,Sheet3!$B$2:$E$311,3,)</f>
        <v>#N/A</v>
      </c>
      <c r="E336" s="6" t="str">
        <f>VLOOKUP(B336,Sheet3!$B$2:$E$311,4,)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VLOOKUP(B337,Sheet3!$B$2:$E$311,2,FALSE)</f>
        <v>#N/A</v>
      </c>
      <c r="D337" s="6" t="str">
        <f>VLOOKUP(B337,Sheet3!$B$2:$E$311,3,)</f>
        <v>#N/A</v>
      </c>
      <c r="E337" s="6" t="str">
        <f>VLOOKUP(B337,Sheet3!$B$2:$E$311,4,)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VLOOKUP(B338,Sheet3!$B$2:$E$311,2,FALSE)</f>
        <v>#N/A</v>
      </c>
      <c r="D338" s="6" t="str">
        <f>VLOOKUP(B338,Sheet3!$B$2:$E$311,3,)</f>
        <v>#N/A</v>
      </c>
      <c r="E338" s="6" t="str">
        <f>VLOOKUP(B338,Sheet3!$B$2:$E$311,4,)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VLOOKUP(B339,Sheet3!$B$2:$E$311,2,FALSE)</f>
        <v>#N/A</v>
      </c>
      <c r="D339" s="6" t="str">
        <f>VLOOKUP(B339,Sheet3!$B$2:$E$311,3,)</f>
        <v>#N/A</v>
      </c>
      <c r="E339" s="6" t="str">
        <f>VLOOKUP(B339,Sheet3!$B$2:$E$311,4,)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VLOOKUP(B340,Sheet3!$B$2:$E$311,2,FALSE)</f>
        <v>#N/A</v>
      </c>
      <c r="D340" s="6" t="str">
        <f>VLOOKUP(B340,Sheet3!$B$2:$E$311,3,)</f>
        <v>#N/A</v>
      </c>
      <c r="E340" s="6" t="str">
        <f>VLOOKUP(B340,Sheet3!$B$2:$E$311,4,)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VLOOKUP(B341,Sheet3!$B$2:$E$311,2,FALSE)</f>
        <v>#N/A</v>
      </c>
      <c r="D341" s="6" t="str">
        <f>VLOOKUP(B341,Sheet3!$B$2:$E$311,3,)</f>
        <v>#N/A</v>
      </c>
      <c r="E341" s="6" t="str">
        <f>VLOOKUP(B341,Sheet3!$B$2:$E$311,4,)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VLOOKUP(B342,Sheet3!$B$2:$E$311,2,FALSE)</f>
        <v>#N/A</v>
      </c>
      <c r="D342" s="6" t="str">
        <f>VLOOKUP(B342,Sheet3!$B$2:$E$311,3,)</f>
        <v>#N/A</v>
      </c>
      <c r="E342" s="6" t="str">
        <f>VLOOKUP(B342,Sheet3!$B$2:$E$311,4,)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VLOOKUP(B343,Sheet3!$B$2:$E$311,2,FALSE)</f>
        <v>#N/A</v>
      </c>
      <c r="D343" s="6" t="str">
        <f>VLOOKUP(B343,Sheet3!$B$2:$E$311,3,)</f>
        <v>#N/A</v>
      </c>
      <c r="E343" s="6" t="str">
        <f>VLOOKUP(B343,Sheet3!$B$2:$E$311,4,)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VLOOKUP(B344,Sheet3!$B$2:$E$311,2,FALSE)</f>
        <v>#N/A</v>
      </c>
      <c r="D344" s="6" t="str">
        <f>VLOOKUP(B344,Sheet3!$B$2:$E$311,3,)</f>
        <v>#N/A</v>
      </c>
      <c r="E344" s="6" t="str">
        <f>VLOOKUP(B344,Sheet3!$B$2:$E$311,4,)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VLOOKUP(B345,Sheet3!$B$2:$E$311,2,FALSE)</f>
        <v>#N/A</v>
      </c>
      <c r="D345" s="6" t="str">
        <f>VLOOKUP(B345,Sheet3!$B$2:$E$311,3,)</f>
        <v>#N/A</v>
      </c>
      <c r="E345" s="6" t="str">
        <f>VLOOKUP(B345,Sheet3!$B$2:$E$311,4,)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VLOOKUP(B346,Sheet3!$B$2:$E$311,2,FALSE)</f>
        <v>#N/A</v>
      </c>
      <c r="D346" s="6" t="str">
        <f>VLOOKUP(B346,Sheet3!$B$2:$E$311,3,)</f>
        <v>#N/A</v>
      </c>
      <c r="E346" s="6" t="str">
        <f>VLOOKUP(B346,Sheet3!$B$2:$E$311,4,)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VLOOKUP(B347,Sheet3!$B$2:$E$311,2,FALSE)</f>
        <v>#N/A</v>
      </c>
      <c r="D347" s="6" t="str">
        <f>VLOOKUP(B347,Sheet3!$B$2:$E$311,3,)</f>
        <v>#N/A</v>
      </c>
      <c r="E347" s="6" t="str">
        <f>VLOOKUP(B347,Sheet3!$B$2:$E$311,4,)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VLOOKUP(B348,Sheet3!$B$2:$E$311,2,FALSE)</f>
        <v>#N/A</v>
      </c>
      <c r="D348" s="6" t="str">
        <f>VLOOKUP(B348,Sheet3!$B$2:$E$311,3,)</f>
        <v>#N/A</v>
      </c>
      <c r="E348" s="6" t="str">
        <f>VLOOKUP(B348,Sheet3!$B$2:$E$311,4,)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VLOOKUP(B349,Sheet3!$B$2:$E$311,2,FALSE)</f>
        <v>#N/A</v>
      </c>
      <c r="D349" s="6" t="str">
        <f>VLOOKUP(B349,Sheet3!$B$2:$E$311,3,)</f>
        <v>#N/A</v>
      </c>
      <c r="E349" s="6" t="str">
        <f>VLOOKUP(B349,Sheet3!$B$2:$E$311,4,)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VLOOKUP(B350,Sheet3!$B$2:$E$311,2,FALSE)</f>
        <v>#N/A</v>
      </c>
      <c r="D350" s="6" t="str">
        <f>VLOOKUP(B350,Sheet3!$B$2:$E$311,3,)</f>
        <v>#N/A</v>
      </c>
      <c r="E350" s="6" t="str">
        <f>VLOOKUP(B350,Sheet3!$B$2:$E$311,4,)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VLOOKUP(B351,Sheet3!$B$2:$E$311,2,FALSE)</f>
        <v>#N/A</v>
      </c>
      <c r="D351" s="6" t="str">
        <f>VLOOKUP(B351,Sheet3!$B$2:$E$311,3,)</f>
        <v>#N/A</v>
      </c>
      <c r="E351" s="6" t="str">
        <f>VLOOKUP(B351,Sheet3!$B$2:$E$311,4,)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VLOOKUP(B352,Sheet3!$B$2:$E$311,2,FALSE)</f>
        <v>#N/A</v>
      </c>
      <c r="D352" s="6" t="str">
        <f>VLOOKUP(B352,Sheet3!$B$2:$E$311,3,)</f>
        <v>#N/A</v>
      </c>
      <c r="E352" s="6" t="str">
        <f>VLOOKUP(B352,Sheet3!$B$2:$E$311,4,)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VLOOKUP(B353,Sheet3!$B$2:$E$311,2,FALSE)</f>
        <v>#N/A</v>
      </c>
      <c r="D353" s="6" t="str">
        <f>VLOOKUP(B353,Sheet3!$B$2:$E$311,3,)</f>
        <v>#N/A</v>
      </c>
      <c r="E353" s="6" t="str">
        <f>VLOOKUP(B353,Sheet3!$B$2:$E$311,4,)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VLOOKUP(B354,Sheet3!$B$2:$E$311,2,FALSE)</f>
        <v>#N/A</v>
      </c>
      <c r="D354" s="6" t="str">
        <f>VLOOKUP(B354,Sheet3!$B$2:$E$311,3,)</f>
        <v>#N/A</v>
      </c>
      <c r="E354" s="6" t="str">
        <f>VLOOKUP(B354,Sheet3!$B$2:$E$311,4,)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VLOOKUP(B355,Sheet3!$B$2:$E$311,2,FALSE)</f>
        <v>#N/A</v>
      </c>
      <c r="D355" s="6" t="str">
        <f>VLOOKUP(B355,Sheet3!$B$2:$E$311,3,)</f>
        <v>#N/A</v>
      </c>
      <c r="E355" s="6" t="str">
        <f>VLOOKUP(B355,Sheet3!$B$2:$E$311,4,)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VLOOKUP(B356,Sheet3!$B$2:$E$311,2,FALSE)</f>
        <v>#N/A</v>
      </c>
      <c r="D356" s="6" t="str">
        <f>VLOOKUP(B356,Sheet3!$B$2:$E$311,3,)</f>
        <v>#N/A</v>
      </c>
      <c r="E356" s="6" t="str">
        <f>VLOOKUP(B356,Sheet3!$B$2:$E$311,4,)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VLOOKUP(B357,Sheet3!$B$2:$E$311,2,FALSE)</f>
        <v>#N/A</v>
      </c>
      <c r="D357" s="6" t="str">
        <f>VLOOKUP(B357,Sheet3!$B$2:$E$311,3,)</f>
        <v>#N/A</v>
      </c>
      <c r="E357" s="6" t="str">
        <f>VLOOKUP(B357,Sheet3!$B$2:$E$311,4,)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VLOOKUP(B358,Sheet3!$B$2:$E$311,2,FALSE)</f>
        <v>#N/A</v>
      </c>
      <c r="D358" s="6" t="str">
        <f>VLOOKUP(B358,Sheet3!$B$2:$E$311,3,)</f>
        <v>#N/A</v>
      </c>
      <c r="E358" s="6" t="str">
        <f>VLOOKUP(B358,Sheet3!$B$2:$E$311,4,)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VLOOKUP(B359,Sheet3!$B$2:$E$311,2,FALSE)</f>
        <v>#N/A</v>
      </c>
      <c r="D359" s="6" t="str">
        <f>VLOOKUP(B359,Sheet3!$B$2:$E$311,3,)</f>
        <v>#N/A</v>
      </c>
      <c r="E359" s="6" t="str">
        <f>VLOOKUP(B359,Sheet3!$B$2:$E$311,4,)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VLOOKUP(B360,Sheet3!$B$2:$E$311,2,FALSE)</f>
        <v>#N/A</v>
      </c>
      <c r="D360" s="6" t="str">
        <f>VLOOKUP(B360,Sheet3!$B$2:$E$311,3,)</f>
        <v>#N/A</v>
      </c>
      <c r="E360" s="6" t="str">
        <f>VLOOKUP(B360,Sheet3!$B$2:$E$311,4,)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VLOOKUP(B361,Sheet3!$B$2:$E$311,2,FALSE)</f>
        <v>#N/A</v>
      </c>
      <c r="D361" s="6" t="str">
        <f>VLOOKUP(B361,Sheet3!$B$2:$E$311,3,)</f>
        <v>#N/A</v>
      </c>
      <c r="E361" s="6" t="str">
        <f>VLOOKUP(B361,Sheet3!$B$2:$E$311,4,)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VLOOKUP(B362,Sheet3!$B$2:$E$311,2,FALSE)</f>
        <v>#N/A</v>
      </c>
      <c r="D362" s="6" t="str">
        <f>VLOOKUP(B362,Sheet3!$B$2:$E$311,3,)</f>
        <v>#N/A</v>
      </c>
      <c r="E362" s="6" t="str">
        <f>VLOOKUP(B362,Sheet3!$B$2:$E$311,4,)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VLOOKUP(B363,Sheet3!$B$2:$E$311,2,FALSE)</f>
        <v>#N/A</v>
      </c>
      <c r="D363" s="6" t="str">
        <f>VLOOKUP(B363,Sheet3!$B$2:$E$311,3,)</f>
        <v>#N/A</v>
      </c>
      <c r="E363" s="6" t="str">
        <f>VLOOKUP(B363,Sheet3!$B$2:$E$311,4,)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VLOOKUP(B364,Sheet3!$B$2:$E$311,2,FALSE)</f>
        <v>#N/A</v>
      </c>
      <c r="D364" s="6" t="str">
        <f>VLOOKUP(B364,Sheet3!$B$2:$E$311,3,)</f>
        <v>#N/A</v>
      </c>
      <c r="E364" s="6" t="str">
        <f>VLOOKUP(B364,Sheet3!$B$2:$E$311,4,)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VLOOKUP(B365,Sheet3!$B$2:$E$311,2,FALSE)</f>
        <v>#N/A</v>
      </c>
      <c r="D365" s="6" t="str">
        <f>VLOOKUP(B365,Sheet3!$B$2:$E$311,3,)</f>
        <v>#N/A</v>
      </c>
      <c r="E365" s="6" t="str">
        <f>VLOOKUP(B365,Sheet3!$B$2:$E$311,4,)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VLOOKUP(B366,Sheet3!$B$2:$E$311,2,FALSE)</f>
        <v>#N/A</v>
      </c>
      <c r="D366" s="6" t="str">
        <f>VLOOKUP(B366,Sheet3!$B$2:$E$311,3,)</f>
        <v>#N/A</v>
      </c>
      <c r="E366" s="6" t="str">
        <f>VLOOKUP(B366,Sheet3!$B$2:$E$311,4,)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VLOOKUP(B367,Sheet3!$B$2:$E$311,2,FALSE)</f>
        <v>#N/A</v>
      </c>
      <c r="D367" s="6" t="str">
        <f>VLOOKUP(B367,Sheet3!$B$2:$E$311,3,)</f>
        <v>#N/A</v>
      </c>
      <c r="E367" s="6" t="str">
        <f>VLOOKUP(B367,Sheet3!$B$2:$E$311,4,)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VLOOKUP(B368,Sheet3!$B$2:$E$311,2,FALSE)</f>
        <v>#N/A</v>
      </c>
      <c r="D368" s="6" t="str">
        <f>VLOOKUP(B368,Sheet3!$B$2:$E$311,3,)</f>
        <v>#N/A</v>
      </c>
      <c r="E368" s="6" t="str">
        <f>VLOOKUP(B368,Sheet3!$B$2:$E$311,4,)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VLOOKUP(B369,Sheet3!$B$2:$E$311,2,FALSE)</f>
        <v>#N/A</v>
      </c>
      <c r="D369" s="6" t="str">
        <f>VLOOKUP(B369,Sheet3!$B$2:$E$311,3,)</f>
        <v>#N/A</v>
      </c>
      <c r="E369" s="6" t="str">
        <f>VLOOKUP(B369,Sheet3!$B$2:$E$311,4,)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VLOOKUP(B370,Sheet3!$B$2:$E$311,2,FALSE)</f>
        <v>#N/A</v>
      </c>
      <c r="D370" s="6" t="str">
        <f>VLOOKUP(B370,Sheet3!$B$2:$E$311,3,)</f>
        <v>#N/A</v>
      </c>
      <c r="E370" s="6" t="str">
        <f>VLOOKUP(B370,Sheet3!$B$2:$E$311,4,)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VLOOKUP(B371,Sheet3!$B$2:$E$311,2,FALSE)</f>
        <v>#N/A</v>
      </c>
      <c r="D371" s="6" t="str">
        <f>VLOOKUP(B371,Sheet3!$B$2:$E$311,3,)</f>
        <v>#N/A</v>
      </c>
      <c r="E371" s="6" t="str">
        <f>VLOOKUP(B371,Sheet3!$B$2:$E$311,4,)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VLOOKUP(B372,Sheet3!$B$2:$E$311,2,FALSE)</f>
        <v>#N/A</v>
      </c>
      <c r="D372" s="6" t="str">
        <f>VLOOKUP(B372,Sheet3!$B$2:$E$311,3,)</f>
        <v>#N/A</v>
      </c>
      <c r="E372" s="6" t="str">
        <f>VLOOKUP(B372,Sheet3!$B$2:$E$311,4,)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VLOOKUP(B373,Sheet3!$B$2:$E$311,2,FALSE)</f>
        <v>#N/A</v>
      </c>
      <c r="D373" s="6" t="str">
        <f>VLOOKUP(B373,Sheet3!$B$2:$E$311,3,)</f>
        <v>#N/A</v>
      </c>
      <c r="E373" s="6" t="str">
        <f>VLOOKUP(B373,Sheet3!$B$2:$E$311,4,)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VLOOKUP(B374,Sheet3!$B$2:$E$311,2,FALSE)</f>
        <v>#N/A</v>
      </c>
      <c r="D374" s="6" t="str">
        <f>VLOOKUP(B374,Sheet3!$B$2:$E$311,3,)</f>
        <v>#N/A</v>
      </c>
      <c r="E374" s="6" t="str">
        <f>VLOOKUP(B374,Sheet3!$B$2:$E$311,4,)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VLOOKUP(B375,Sheet3!$B$2:$E$311,2,FALSE)</f>
        <v>#N/A</v>
      </c>
      <c r="D375" s="6" t="str">
        <f>VLOOKUP(B375,Sheet3!$B$2:$E$311,3,)</f>
        <v>#N/A</v>
      </c>
      <c r="E375" s="6" t="str">
        <f>VLOOKUP(B375,Sheet3!$B$2:$E$311,4,)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VLOOKUP(B376,Sheet3!$B$2:$E$311,2,FALSE)</f>
        <v>#N/A</v>
      </c>
      <c r="D376" s="6" t="str">
        <f>VLOOKUP(B376,Sheet3!$B$2:$E$311,3,)</f>
        <v>#N/A</v>
      </c>
      <c r="E376" s="6" t="str">
        <f>VLOOKUP(B376,Sheet3!$B$2:$E$311,4,)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VLOOKUP(B377,Sheet3!$B$2:$E$311,2,FALSE)</f>
        <v>#N/A</v>
      </c>
      <c r="D377" s="6" t="str">
        <f>VLOOKUP(B377,Sheet3!$B$2:$E$311,3,)</f>
        <v>#N/A</v>
      </c>
      <c r="E377" s="6" t="str">
        <f>VLOOKUP(B377,Sheet3!$B$2:$E$311,4,)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VLOOKUP(B378,Sheet3!$B$2:$E$311,2,FALSE)</f>
        <v>#N/A</v>
      </c>
      <c r="D378" s="6" t="str">
        <f>VLOOKUP(B378,Sheet3!$B$2:$E$311,3,)</f>
        <v>#N/A</v>
      </c>
      <c r="E378" s="6" t="str">
        <f>VLOOKUP(B378,Sheet3!$B$2:$E$311,4,)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VLOOKUP(B379,Sheet3!$B$2:$E$311,2,FALSE)</f>
        <v>#N/A</v>
      </c>
      <c r="D379" s="6" t="str">
        <f>VLOOKUP(B379,Sheet3!$B$2:$E$311,3,)</f>
        <v>#N/A</v>
      </c>
      <c r="E379" s="6" t="str">
        <f>VLOOKUP(B379,Sheet3!$B$2:$E$311,4,)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VLOOKUP(B380,Sheet3!$B$2:$E$311,2,FALSE)</f>
        <v>#N/A</v>
      </c>
      <c r="D380" s="6" t="str">
        <f>VLOOKUP(B380,Sheet3!$B$2:$E$311,3,)</f>
        <v>#N/A</v>
      </c>
      <c r="E380" s="6" t="str">
        <f>VLOOKUP(B380,Sheet3!$B$2:$E$311,4,)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VLOOKUP(B381,Sheet3!$B$2:$E$311,2,FALSE)</f>
        <v>#N/A</v>
      </c>
      <c r="D381" s="6" t="str">
        <f>VLOOKUP(B381,Sheet3!$B$2:$E$311,3,)</f>
        <v>#N/A</v>
      </c>
      <c r="E381" s="6" t="str">
        <f>VLOOKUP(B381,Sheet3!$B$2:$E$311,4,)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VLOOKUP(B382,Sheet3!$B$2:$E$311,2,FALSE)</f>
        <v>#N/A</v>
      </c>
      <c r="D382" s="6" t="str">
        <f>VLOOKUP(B382,Sheet3!$B$2:$E$311,3,)</f>
        <v>#N/A</v>
      </c>
      <c r="E382" s="6" t="str">
        <f>VLOOKUP(B382,Sheet3!$B$2:$E$311,4,)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VLOOKUP(B383,Sheet3!$B$2:$E$311,2,FALSE)</f>
        <v>#N/A</v>
      </c>
      <c r="D383" s="6" t="str">
        <f>VLOOKUP(B383,Sheet3!$B$2:$E$311,3,)</f>
        <v>#N/A</v>
      </c>
      <c r="E383" s="6" t="str">
        <f>VLOOKUP(B383,Sheet3!$B$2:$E$311,4,)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VLOOKUP(B384,Sheet3!$B$2:$E$311,2,FALSE)</f>
        <v>#N/A</v>
      </c>
      <c r="D384" s="6" t="str">
        <f>VLOOKUP(B384,Sheet3!$B$2:$E$311,3,)</f>
        <v>#N/A</v>
      </c>
      <c r="E384" s="6" t="str">
        <f>VLOOKUP(B384,Sheet3!$B$2:$E$311,4,)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VLOOKUP(B385,Sheet3!$B$2:$E$311,2,FALSE)</f>
        <v>#N/A</v>
      </c>
      <c r="D385" s="6" t="str">
        <f>VLOOKUP(B385,Sheet3!$B$2:$E$311,3,)</f>
        <v>#N/A</v>
      </c>
      <c r="E385" s="6" t="str">
        <f>VLOOKUP(B385,Sheet3!$B$2:$E$311,4,)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VLOOKUP(B386,Sheet3!$B$2:$E$311,2,FALSE)</f>
        <v>#N/A</v>
      </c>
      <c r="D386" s="6" t="str">
        <f>VLOOKUP(B386,Sheet3!$B$2:$E$311,3,)</f>
        <v>#N/A</v>
      </c>
      <c r="E386" s="6" t="str">
        <f>VLOOKUP(B386,Sheet3!$B$2:$E$311,4,)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VLOOKUP(B387,Sheet3!$B$2:$E$311,2,FALSE)</f>
        <v>#N/A</v>
      </c>
      <c r="D387" s="6" t="str">
        <f>VLOOKUP(B387,Sheet3!$B$2:$E$311,3,)</f>
        <v>#N/A</v>
      </c>
      <c r="E387" s="6" t="str">
        <f>VLOOKUP(B387,Sheet3!$B$2:$E$311,4,)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VLOOKUP(B388,Sheet3!$B$2:$E$311,2,FALSE)</f>
        <v>#N/A</v>
      </c>
      <c r="D388" s="6" t="str">
        <f>VLOOKUP(B388,Sheet3!$B$2:$E$311,3,)</f>
        <v>#N/A</v>
      </c>
      <c r="E388" s="6" t="str">
        <f>VLOOKUP(B388,Sheet3!$B$2:$E$311,4,)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VLOOKUP(B389,Sheet3!$B$2:$E$311,2,FALSE)</f>
        <v>#N/A</v>
      </c>
      <c r="D389" s="6" t="str">
        <f>VLOOKUP(B389,Sheet3!$B$2:$E$311,3,)</f>
        <v>#N/A</v>
      </c>
      <c r="E389" s="6" t="str">
        <f>VLOOKUP(B389,Sheet3!$B$2:$E$311,4,)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VLOOKUP(B390,Sheet3!$B$2:$E$311,2,FALSE)</f>
        <v>#N/A</v>
      </c>
      <c r="D390" s="6" t="str">
        <f>VLOOKUP(B390,Sheet3!$B$2:$E$311,3,)</f>
        <v>#N/A</v>
      </c>
      <c r="E390" s="6" t="str">
        <f>VLOOKUP(B390,Sheet3!$B$2:$E$311,4,)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VLOOKUP(B391,Sheet3!$B$2:$E$311,2,FALSE)</f>
        <v>#N/A</v>
      </c>
      <c r="D391" s="6" t="str">
        <f>VLOOKUP(B391,Sheet3!$B$2:$E$311,3,)</f>
        <v>#N/A</v>
      </c>
      <c r="E391" s="6" t="str">
        <f>VLOOKUP(B391,Sheet3!$B$2:$E$311,4,)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VLOOKUP(B392,Sheet3!$B$2:$E$311,2,FALSE)</f>
        <v>#N/A</v>
      </c>
      <c r="D392" s="6" t="str">
        <f>VLOOKUP(B392,Sheet3!$B$2:$E$311,3,)</f>
        <v>#N/A</v>
      </c>
      <c r="E392" s="6" t="str">
        <f>VLOOKUP(B392,Sheet3!$B$2:$E$311,4,)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VLOOKUP(B393,Sheet3!$B$2:$E$311,2,FALSE)</f>
        <v>#N/A</v>
      </c>
      <c r="D393" s="6" t="str">
        <f>VLOOKUP(B393,Sheet3!$B$2:$E$311,3,)</f>
        <v>#N/A</v>
      </c>
      <c r="E393" s="6" t="str">
        <f>VLOOKUP(B393,Sheet3!$B$2:$E$311,4,)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VLOOKUP(B394,Sheet3!$B$2:$E$311,2,FALSE)</f>
        <v>#N/A</v>
      </c>
      <c r="D394" s="6" t="str">
        <f>VLOOKUP(B394,Sheet3!$B$2:$E$311,3,)</f>
        <v>#N/A</v>
      </c>
      <c r="E394" s="6" t="str">
        <f>VLOOKUP(B394,Sheet3!$B$2:$E$311,4,)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VLOOKUP(B395,Sheet3!$B$2:$E$311,2,FALSE)</f>
        <v>#N/A</v>
      </c>
      <c r="D395" s="6" t="str">
        <f>VLOOKUP(B395,Sheet3!$B$2:$E$311,3,)</f>
        <v>#N/A</v>
      </c>
      <c r="E395" s="6" t="str">
        <f>VLOOKUP(B395,Sheet3!$B$2:$E$311,4,)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VLOOKUP(B396,Sheet3!$B$2:$E$311,2,FALSE)</f>
        <v>#N/A</v>
      </c>
      <c r="D396" s="6" t="str">
        <f>VLOOKUP(B396,Sheet3!$B$2:$E$311,3,)</f>
        <v>#N/A</v>
      </c>
      <c r="E396" s="6" t="str">
        <f>VLOOKUP(B396,Sheet3!$B$2:$E$311,4,)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VLOOKUP(B397,Sheet3!$B$2:$E$311,2,FALSE)</f>
        <v>#N/A</v>
      </c>
      <c r="D397" s="6" t="str">
        <f>VLOOKUP(B397,Sheet3!$B$2:$E$311,3,)</f>
        <v>#N/A</v>
      </c>
      <c r="E397" s="6" t="str">
        <f>VLOOKUP(B397,Sheet3!$B$2:$E$311,4,)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VLOOKUP(B398,Sheet3!$B$2:$E$311,2,FALSE)</f>
        <v>#N/A</v>
      </c>
      <c r="D398" s="6" t="str">
        <f>VLOOKUP(B398,Sheet3!$B$2:$E$311,3,)</f>
        <v>#N/A</v>
      </c>
      <c r="E398" s="6" t="str">
        <f>VLOOKUP(B398,Sheet3!$B$2:$E$311,4,)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VLOOKUP(B399,Sheet3!$B$2:$E$311,2,FALSE)</f>
        <v>#N/A</v>
      </c>
      <c r="D399" s="6" t="str">
        <f>VLOOKUP(B399,Sheet3!$B$2:$E$311,3,)</f>
        <v>#N/A</v>
      </c>
      <c r="E399" s="6" t="str">
        <f>VLOOKUP(B399,Sheet3!$B$2:$E$311,4,)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VLOOKUP(B400,Sheet3!$B$2:$E$311,2,FALSE)</f>
        <v>#N/A</v>
      </c>
      <c r="D400" s="6" t="str">
        <f>VLOOKUP(B400,Sheet3!$B$2:$E$311,3,)</f>
        <v>#N/A</v>
      </c>
      <c r="E400" s="6" t="str">
        <f>VLOOKUP(B400,Sheet3!$B$2:$E$311,4,)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VLOOKUP(B401,Sheet3!$B$2:$E$311,2,FALSE)</f>
        <v>#N/A</v>
      </c>
      <c r="D401" s="6" t="str">
        <f>VLOOKUP(B401,Sheet3!$B$2:$E$311,3,)</f>
        <v>#N/A</v>
      </c>
      <c r="E401" s="6" t="str">
        <f>VLOOKUP(B401,Sheet3!$B$2:$E$311,4,)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VLOOKUP(B402,Sheet3!$B$2:$E$311,2,FALSE)</f>
        <v>#N/A</v>
      </c>
      <c r="D402" s="6" t="str">
        <f>VLOOKUP(B402,Sheet3!$B$2:$E$311,3,)</f>
        <v>#N/A</v>
      </c>
      <c r="E402" s="6" t="str">
        <f>VLOOKUP(B402,Sheet3!$B$2:$E$311,4,)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VLOOKUP(B403,Sheet3!$B$2:$E$311,2,FALSE)</f>
        <v>#N/A</v>
      </c>
      <c r="D403" s="6" t="str">
        <f>VLOOKUP(B403,Sheet3!$B$2:$E$311,3,)</f>
        <v>#N/A</v>
      </c>
      <c r="E403" s="6" t="str">
        <f>VLOOKUP(B403,Sheet3!$B$2:$E$311,4,)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VLOOKUP(B404,Sheet3!$B$2:$E$311,2,FALSE)</f>
        <v>#N/A</v>
      </c>
      <c r="D404" s="6" t="str">
        <f>VLOOKUP(B404,Sheet3!$B$2:$E$311,3,)</f>
        <v>#N/A</v>
      </c>
      <c r="E404" s="6" t="str">
        <f>VLOOKUP(B404,Sheet3!$B$2:$E$311,4,)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VLOOKUP(B405,Sheet3!$B$2:$E$311,2,FALSE)</f>
        <v>#N/A</v>
      </c>
      <c r="D405" s="6" t="str">
        <f>VLOOKUP(B405,Sheet3!$B$2:$E$311,3,)</f>
        <v>#N/A</v>
      </c>
      <c r="E405" s="6" t="str">
        <f>VLOOKUP(B405,Sheet3!$B$2:$E$311,4,)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VLOOKUP(B406,Sheet3!$B$2:$E$311,2,FALSE)</f>
        <v>#N/A</v>
      </c>
      <c r="D406" s="6" t="str">
        <f>VLOOKUP(B406,Sheet3!$B$2:$E$311,3,)</f>
        <v>#N/A</v>
      </c>
      <c r="E406" s="6" t="str">
        <f>VLOOKUP(B406,Sheet3!$B$2:$E$311,4,)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VLOOKUP(B407,Sheet3!$B$2:$E$311,2,FALSE)</f>
        <v>#N/A</v>
      </c>
      <c r="D407" s="6" t="str">
        <f>VLOOKUP(B407,Sheet3!$B$2:$E$311,3,)</f>
        <v>#N/A</v>
      </c>
      <c r="E407" s="6" t="str">
        <f>VLOOKUP(B407,Sheet3!$B$2:$E$311,4,)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VLOOKUP(B408,Sheet3!$B$2:$E$311,2,FALSE)</f>
        <v>#N/A</v>
      </c>
      <c r="D408" s="6" t="str">
        <f>VLOOKUP(B408,Sheet3!$B$2:$E$311,3,)</f>
        <v>#N/A</v>
      </c>
      <c r="E408" s="6" t="str">
        <f>VLOOKUP(B408,Sheet3!$B$2:$E$311,4,)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VLOOKUP(B409,Sheet3!$B$2:$E$311,2,FALSE)</f>
        <v>#N/A</v>
      </c>
      <c r="D409" s="6" t="str">
        <f>VLOOKUP(B409,Sheet3!$B$2:$E$311,3,)</f>
        <v>#N/A</v>
      </c>
      <c r="E409" s="6" t="str">
        <f>VLOOKUP(B409,Sheet3!$B$2:$E$311,4,)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VLOOKUP(B410,Sheet3!$B$2:$E$311,2,FALSE)</f>
        <v>#N/A</v>
      </c>
      <c r="D410" s="6" t="str">
        <f>VLOOKUP(B410,Sheet3!$B$2:$E$311,3,)</f>
        <v>#N/A</v>
      </c>
      <c r="E410" s="6" t="str">
        <f>VLOOKUP(B410,Sheet3!$B$2:$E$311,4,)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VLOOKUP(B411,Sheet3!$B$2:$E$311,2,FALSE)</f>
        <v>#N/A</v>
      </c>
      <c r="D411" s="6" t="str">
        <f>VLOOKUP(B411,Sheet3!$B$2:$E$311,3,)</f>
        <v>#N/A</v>
      </c>
      <c r="E411" s="6" t="str">
        <f>VLOOKUP(B411,Sheet3!$B$2:$E$311,4,)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VLOOKUP(B412,Sheet3!$B$2:$E$311,2,FALSE)</f>
        <v>#N/A</v>
      </c>
      <c r="D412" s="6" t="str">
        <f>VLOOKUP(B412,Sheet3!$B$2:$E$311,3,)</f>
        <v>#N/A</v>
      </c>
      <c r="E412" s="6" t="str">
        <f>VLOOKUP(B412,Sheet3!$B$2:$E$311,4,)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VLOOKUP(B413,Sheet3!$B$2:$E$311,2,FALSE)</f>
        <v>#N/A</v>
      </c>
      <c r="D413" s="6" t="str">
        <f>VLOOKUP(B413,Sheet3!$B$2:$E$311,3,)</f>
        <v>#N/A</v>
      </c>
      <c r="E413" s="6" t="str">
        <f>VLOOKUP(B413,Sheet3!$B$2:$E$311,4,)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VLOOKUP(B414,Sheet3!$B$2:$E$311,2,FALSE)</f>
        <v>#N/A</v>
      </c>
      <c r="D414" s="6" t="str">
        <f>VLOOKUP(B414,Sheet3!$B$2:$E$311,3,)</f>
        <v>#N/A</v>
      </c>
      <c r="E414" s="6" t="str">
        <f>VLOOKUP(B414,Sheet3!$B$2:$E$311,4,)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VLOOKUP(B415,Sheet3!$B$2:$E$311,2,FALSE)</f>
        <v>#N/A</v>
      </c>
      <c r="D415" s="6" t="str">
        <f>VLOOKUP(B415,Sheet3!$B$2:$E$311,3,)</f>
        <v>#N/A</v>
      </c>
      <c r="E415" s="6" t="str">
        <f>VLOOKUP(B415,Sheet3!$B$2:$E$311,4,)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VLOOKUP(B416,Sheet3!$B$2:$E$311,2,FALSE)</f>
        <v>#N/A</v>
      </c>
      <c r="D416" s="6" t="str">
        <f>VLOOKUP(B416,Sheet3!$B$2:$E$311,3,)</f>
        <v>#N/A</v>
      </c>
      <c r="E416" s="6" t="str">
        <f>VLOOKUP(B416,Sheet3!$B$2:$E$311,4,)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VLOOKUP(B417,Sheet3!$B$2:$E$311,2,FALSE)</f>
        <v>#N/A</v>
      </c>
      <c r="D417" s="6" t="str">
        <f>VLOOKUP(B417,Sheet3!$B$2:$E$311,3,)</f>
        <v>#N/A</v>
      </c>
      <c r="E417" s="6" t="str">
        <f>VLOOKUP(B417,Sheet3!$B$2:$E$311,4,)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VLOOKUP(B418,Sheet3!$B$2:$E$311,2,FALSE)</f>
        <v>#N/A</v>
      </c>
      <c r="D418" s="6" t="str">
        <f>VLOOKUP(B418,Sheet3!$B$2:$E$311,3,)</f>
        <v>#N/A</v>
      </c>
      <c r="E418" s="6" t="str">
        <f>VLOOKUP(B418,Sheet3!$B$2:$E$311,4,)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VLOOKUP(B419,Sheet3!$B$2:$E$311,2,FALSE)</f>
        <v>#N/A</v>
      </c>
      <c r="D419" s="6" t="str">
        <f>VLOOKUP(B419,Sheet3!$B$2:$E$311,3,)</f>
        <v>#N/A</v>
      </c>
      <c r="E419" s="6" t="str">
        <f>VLOOKUP(B419,Sheet3!$B$2:$E$311,4,)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VLOOKUP(B420,Sheet3!$B$2:$E$311,2,FALSE)</f>
        <v>#N/A</v>
      </c>
      <c r="D420" s="6" t="str">
        <f>VLOOKUP(B420,Sheet3!$B$2:$E$311,3,)</f>
        <v>#N/A</v>
      </c>
      <c r="E420" s="6" t="str">
        <f>VLOOKUP(B420,Sheet3!$B$2:$E$311,4,)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VLOOKUP(B421,Sheet3!$B$2:$E$311,2,FALSE)</f>
        <v>#N/A</v>
      </c>
      <c r="D421" s="6" t="str">
        <f>VLOOKUP(B421,Sheet3!$B$2:$E$311,3,)</f>
        <v>#N/A</v>
      </c>
      <c r="E421" s="6" t="str">
        <f>VLOOKUP(B421,Sheet3!$B$2:$E$311,4,)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VLOOKUP(B422,Sheet3!$B$2:$E$311,2,FALSE)</f>
        <v>#N/A</v>
      </c>
      <c r="D422" s="6" t="str">
        <f>VLOOKUP(B422,Sheet3!$B$2:$E$311,3,)</f>
        <v>#N/A</v>
      </c>
      <c r="E422" s="6" t="str">
        <f>VLOOKUP(B422,Sheet3!$B$2:$E$311,4,)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VLOOKUP(B423,Sheet3!$B$2:$E$311,2,FALSE)</f>
        <v>#N/A</v>
      </c>
      <c r="D423" s="6" t="str">
        <f>VLOOKUP(B423,Sheet3!$B$2:$E$311,3,)</f>
        <v>#N/A</v>
      </c>
      <c r="E423" s="6" t="str">
        <f>VLOOKUP(B423,Sheet3!$B$2:$E$311,4,)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VLOOKUP(B424,Sheet3!$B$2:$E$311,2,FALSE)</f>
        <v>#N/A</v>
      </c>
      <c r="D424" s="6" t="str">
        <f>VLOOKUP(B424,Sheet3!$B$2:$E$311,3,)</f>
        <v>#N/A</v>
      </c>
      <c r="E424" s="6" t="str">
        <f>VLOOKUP(B424,Sheet3!$B$2:$E$311,4,)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VLOOKUP(B425,Sheet3!$B$2:$E$311,2,FALSE)</f>
        <v>#N/A</v>
      </c>
      <c r="D425" s="6" t="str">
        <f>VLOOKUP(B425,Sheet3!$B$2:$E$311,3,)</f>
        <v>#N/A</v>
      </c>
      <c r="E425" s="6" t="str">
        <f>VLOOKUP(B425,Sheet3!$B$2:$E$311,4,)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VLOOKUP(B426,Sheet3!$B$2:$E$311,2,FALSE)</f>
        <v>#N/A</v>
      </c>
      <c r="D426" s="6" t="str">
        <f>VLOOKUP(B426,Sheet3!$B$2:$E$311,3,)</f>
        <v>#N/A</v>
      </c>
      <c r="E426" s="6" t="str">
        <f>VLOOKUP(B426,Sheet3!$B$2:$E$311,4,)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VLOOKUP(B427,Sheet3!$B$2:$E$311,2,FALSE)</f>
        <v>#N/A</v>
      </c>
      <c r="D427" s="6" t="str">
        <f>VLOOKUP(B427,Sheet3!$B$2:$E$311,3,)</f>
        <v>#N/A</v>
      </c>
      <c r="E427" s="6" t="str">
        <f>VLOOKUP(B427,Sheet3!$B$2:$E$311,4,)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VLOOKUP(B428,Sheet3!$B$2:$E$311,2,FALSE)</f>
        <v>#N/A</v>
      </c>
      <c r="D428" s="6" t="str">
        <f>VLOOKUP(B428,Sheet3!$B$2:$E$311,3,)</f>
        <v>#N/A</v>
      </c>
      <c r="E428" s="6" t="str">
        <f>VLOOKUP(B428,Sheet3!$B$2:$E$311,4,)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VLOOKUP(B429,Sheet3!$B$2:$E$311,2,FALSE)</f>
        <v>#N/A</v>
      </c>
      <c r="D429" s="6" t="str">
        <f>VLOOKUP(B429,Sheet3!$B$2:$E$311,3,)</f>
        <v>#N/A</v>
      </c>
      <c r="E429" s="6" t="str">
        <f>VLOOKUP(B429,Sheet3!$B$2:$E$311,4,)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VLOOKUP(B430,Sheet3!$B$2:$E$311,2,FALSE)</f>
        <v>#N/A</v>
      </c>
      <c r="D430" s="6" t="str">
        <f>VLOOKUP(B430,Sheet3!$B$2:$E$311,3,)</f>
        <v>#N/A</v>
      </c>
      <c r="E430" s="6" t="str">
        <f>VLOOKUP(B430,Sheet3!$B$2:$E$311,4,)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VLOOKUP(B431,Sheet3!$B$2:$E$311,2,FALSE)</f>
        <v>#N/A</v>
      </c>
      <c r="D431" s="6" t="str">
        <f>VLOOKUP(B431,Sheet3!$B$2:$E$311,3,)</f>
        <v>#N/A</v>
      </c>
      <c r="E431" s="6" t="str">
        <f>VLOOKUP(B431,Sheet3!$B$2:$E$311,4,)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VLOOKUP(B432,Sheet3!$B$2:$E$311,2,FALSE)</f>
        <v>#N/A</v>
      </c>
      <c r="D432" s="6" t="str">
        <f>VLOOKUP(B432,Sheet3!$B$2:$E$311,3,)</f>
        <v>#N/A</v>
      </c>
      <c r="E432" s="6" t="str">
        <f>VLOOKUP(B432,Sheet3!$B$2:$E$311,4,)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VLOOKUP(B433,Sheet3!$B$2:$E$311,2,FALSE)</f>
        <v>#N/A</v>
      </c>
      <c r="D433" s="6" t="str">
        <f>VLOOKUP(B433,Sheet3!$B$2:$E$311,3,)</f>
        <v>#N/A</v>
      </c>
      <c r="E433" s="6" t="str">
        <f>VLOOKUP(B433,Sheet3!$B$2:$E$311,4,)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VLOOKUP(B434,Sheet3!$B$2:$E$311,2,FALSE)</f>
        <v>#N/A</v>
      </c>
      <c r="D434" s="6" t="str">
        <f>VLOOKUP(B434,Sheet3!$B$2:$E$311,3,)</f>
        <v>#N/A</v>
      </c>
      <c r="E434" s="6" t="str">
        <f>VLOOKUP(B434,Sheet3!$B$2:$E$311,4,)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VLOOKUP(B435,Sheet3!$B$2:$E$311,2,FALSE)</f>
        <v>#N/A</v>
      </c>
      <c r="D435" s="6" t="str">
        <f>VLOOKUP(B435,Sheet3!$B$2:$E$311,3,)</f>
        <v>#N/A</v>
      </c>
      <c r="E435" s="6" t="str">
        <f>VLOOKUP(B435,Sheet3!$B$2:$E$311,4,)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VLOOKUP(B436,Sheet3!$B$2:$E$311,2,FALSE)</f>
        <v>#N/A</v>
      </c>
      <c r="D436" s="6" t="str">
        <f>VLOOKUP(B436,Sheet3!$B$2:$E$311,3,)</f>
        <v>#N/A</v>
      </c>
      <c r="E436" s="6" t="str">
        <f>VLOOKUP(B436,Sheet3!$B$2:$E$311,4,)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VLOOKUP(B437,Sheet3!$B$2:$E$311,2,FALSE)</f>
        <v>#N/A</v>
      </c>
      <c r="D437" s="6" t="str">
        <f>VLOOKUP(B437,Sheet3!$B$2:$E$311,3,)</f>
        <v>#N/A</v>
      </c>
      <c r="E437" s="6" t="str">
        <f>VLOOKUP(B437,Sheet3!$B$2:$E$311,4,)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VLOOKUP(B438,Sheet3!$B$2:$E$311,2,FALSE)</f>
        <v>#N/A</v>
      </c>
      <c r="D438" s="6" t="str">
        <f>VLOOKUP(B438,Sheet3!$B$2:$E$311,3,)</f>
        <v>#N/A</v>
      </c>
      <c r="E438" s="6" t="str">
        <f>VLOOKUP(B438,Sheet3!$B$2:$E$311,4,)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VLOOKUP(B439,Sheet3!$B$2:$E$311,2,FALSE)</f>
        <v>#N/A</v>
      </c>
      <c r="D439" s="6" t="str">
        <f>VLOOKUP(B439,Sheet3!$B$2:$E$311,3,)</f>
        <v>#N/A</v>
      </c>
      <c r="E439" s="6" t="str">
        <f>VLOOKUP(B439,Sheet3!$B$2:$E$311,4,)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VLOOKUP(B440,Sheet3!$B$2:$E$311,2,FALSE)</f>
        <v>#N/A</v>
      </c>
      <c r="D440" s="6" t="str">
        <f>VLOOKUP(B440,Sheet3!$B$2:$E$311,3,)</f>
        <v>#N/A</v>
      </c>
      <c r="E440" s="6" t="str">
        <f>VLOOKUP(B440,Sheet3!$B$2:$E$311,4,)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VLOOKUP(B441,Sheet3!$B$2:$E$311,2,FALSE)</f>
        <v>#N/A</v>
      </c>
      <c r="D441" s="6" t="str">
        <f>VLOOKUP(B441,Sheet3!$B$2:$E$311,3,)</f>
        <v>#N/A</v>
      </c>
      <c r="E441" s="6" t="str">
        <f>VLOOKUP(B441,Sheet3!$B$2:$E$311,4,)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VLOOKUP(B442,Sheet3!$B$2:$E$311,2,FALSE)</f>
        <v>#N/A</v>
      </c>
      <c r="D442" s="6" t="str">
        <f>VLOOKUP(B442,Sheet3!$B$2:$E$311,3,)</f>
        <v>#N/A</v>
      </c>
      <c r="E442" s="6" t="str">
        <f>VLOOKUP(B442,Sheet3!$B$2:$E$311,4,)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VLOOKUP(B443,Sheet3!$B$2:$E$311,2,FALSE)</f>
        <v>#N/A</v>
      </c>
      <c r="D443" s="6" t="str">
        <f>VLOOKUP(B443,Sheet3!$B$2:$E$311,3,)</f>
        <v>#N/A</v>
      </c>
      <c r="E443" s="6" t="str">
        <f>VLOOKUP(B443,Sheet3!$B$2:$E$311,4,)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VLOOKUP(B444,Sheet3!$B$2:$E$311,2,FALSE)</f>
        <v>#N/A</v>
      </c>
      <c r="D444" s="6" t="str">
        <f>VLOOKUP(B444,Sheet3!$B$2:$E$311,3,)</f>
        <v>#N/A</v>
      </c>
      <c r="E444" s="6" t="str">
        <f>VLOOKUP(B444,Sheet3!$B$2:$E$311,4,)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VLOOKUP(B445,Sheet3!$B$2:$E$311,2,FALSE)</f>
        <v>#N/A</v>
      </c>
      <c r="D445" s="6" t="str">
        <f>VLOOKUP(B445,Sheet3!$B$2:$E$311,3,)</f>
        <v>#N/A</v>
      </c>
      <c r="E445" s="6" t="str">
        <f>VLOOKUP(B445,Sheet3!$B$2:$E$311,4,)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VLOOKUP(B446,Sheet3!$B$2:$E$311,2,FALSE)</f>
        <v>#N/A</v>
      </c>
      <c r="D446" s="6" t="str">
        <f>VLOOKUP(B446,Sheet3!$B$2:$E$311,3,)</f>
        <v>#N/A</v>
      </c>
      <c r="E446" s="6" t="str">
        <f>VLOOKUP(B446,Sheet3!$B$2:$E$311,4,)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VLOOKUP(B447,Sheet3!$B$2:$E$311,2,FALSE)</f>
        <v>#N/A</v>
      </c>
      <c r="D447" s="6" t="str">
        <f>VLOOKUP(B447,Sheet3!$B$2:$E$311,3,)</f>
        <v>#N/A</v>
      </c>
      <c r="E447" s="6" t="str">
        <f>VLOOKUP(B447,Sheet3!$B$2:$E$311,4,)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VLOOKUP(B448,Sheet3!$B$2:$E$311,2,FALSE)</f>
        <v>#N/A</v>
      </c>
      <c r="D448" s="6" t="str">
        <f>VLOOKUP(B448,Sheet3!$B$2:$E$311,3,)</f>
        <v>#N/A</v>
      </c>
      <c r="E448" s="6" t="str">
        <f>VLOOKUP(B448,Sheet3!$B$2:$E$311,4,)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VLOOKUP(B449,Sheet3!$B$2:$E$311,2,FALSE)</f>
        <v>#N/A</v>
      </c>
      <c r="D449" s="6" t="str">
        <f>VLOOKUP(B449,Sheet3!$B$2:$E$311,3,)</f>
        <v>#N/A</v>
      </c>
      <c r="E449" s="6" t="str">
        <f>VLOOKUP(B449,Sheet3!$B$2:$E$311,4,)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VLOOKUP(B450,Sheet3!$B$2:$E$311,2,FALSE)</f>
        <v>#N/A</v>
      </c>
      <c r="D450" s="6" t="str">
        <f>VLOOKUP(B450,Sheet3!$B$2:$E$311,3,)</f>
        <v>#N/A</v>
      </c>
      <c r="E450" s="6" t="str">
        <f>VLOOKUP(B450,Sheet3!$B$2:$E$311,4,)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VLOOKUP(B451,Sheet3!$B$2:$E$311,2,FALSE)</f>
        <v>#N/A</v>
      </c>
      <c r="D451" s="6" t="str">
        <f>VLOOKUP(B451,Sheet3!$B$2:$E$311,3,)</f>
        <v>#N/A</v>
      </c>
      <c r="E451" s="6" t="str">
        <f>VLOOKUP(B451,Sheet3!$B$2:$E$311,4,)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VLOOKUP(B452,Sheet3!$B$2:$E$311,2,FALSE)</f>
        <v>#N/A</v>
      </c>
      <c r="D452" s="6" t="str">
        <f>VLOOKUP(B452,Sheet3!$B$2:$E$311,3,)</f>
        <v>#N/A</v>
      </c>
      <c r="E452" s="6" t="str">
        <f>VLOOKUP(B452,Sheet3!$B$2:$E$311,4,)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VLOOKUP(B453,Sheet3!$B$2:$E$311,2,FALSE)</f>
        <v>#N/A</v>
      </c>
      <c r="D453" s="6" t="str">
        <f>VLOOKUP(B453,Sheet3!$B$2:$E$311,3,)</f>
        <v>#N/A</v>
      </c>
      <c r="E453" s="6" t="str">
        <f>VLOOKUP(B453,Sheet3!$B$2:$E$311,4,)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VLOOKUP(B454,Sheet3!$B$2:$E$311,2,FALSE)</f>
        <v>#N/A</v>
      </c>
      <c r="D454" s="6" t="str">
        <f>VLOOKUP(B454,Sheet3!$B$2:$E$311,3,)</f>
        <v>#N/A</v>
      </c>
      <c r="E454" s="6" t="str">
        <f>VLOOKUP(B454,Sheet3!$B$2:$E$311,4,)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VLOOKUP(B455,Sheet3!$B$2:$E$311,2,FALSE)</f>
        <v>#N/A</v>
      </c>
      <c r="D455" s="6" t="str">
        <f>VLOOKUP(B455,Sheet3!$B$2:$E$311,3,)</f>
        <v>#N/A</v>
      </c>
      <c r="E455" s="6" t="str">
        <f>VLOOKUP(B455,Sheet3!$B$2:$E$311,4,)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VLOOKUP(B456,Sheet3!$B$2:$E$311,2,FALSE)</f>
        <v>#N/A</v>
      </c>
      <c r="D456" s="6" t="str">
        <f>VLOOKUP(B456,Sheet3!$B$2:$E$311,3,)</f>
        <v>#N/A</v>
      </c>
      <c r="E456" s="6" t="str">
        <f>VLOOKUP(B456,Sheet3!$B$2:$E$311,4,)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VLOOKUP(B457,Sheet3!$B$2:$E$311,2,FALSE)</f>
        <v>#N/A</v>
      </c>
      <c r="D457" s="6" t="str">
        <f>VLOOKUP(B457,Sheet3!$B$2:$E$311,3,)</f>
        <v>#N/A</v>
      </c>
      <c r="E457" s="6" t="str">
        <f>VLOOKUP(B457,Sheet3!$B$2:$E$311,4,)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VLOOKUP(B458,Sheet3!$B$2:$E$311,2,FALSE)</f>
        <v>#N/A</v>
      </c>
      <c r="D458" s="6" t="str">
        <f>VLOOKUP(B458,Sheet3!$B$2:$E$311,3,)</f>
        <v>#N/A</v>
      </c>
      <c r="E458" s="6" t="str">
        <f>VLOOKUP(B458,Sheet3!$B$2:$E$311,4,)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VLOOKUP(B459,Sheet3!$B$2:$E$311,2,FALSE)</f>
        <v>#N/A</v>
      </c>
      <c r="D459" s="6" t="str">
        <f>VLOOKUP(B459,Sheet3!$B$2:$E$311,3,)</f>
        <v>#N/A</v>
      </c>
      <c r="E459" s="6" t="str">
        <f>VLOOKUP(B459,Sheet3!$B$2:$E$311,4,)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VLOOKUP(B460,Sheet3!$B$2:$E$311,2,FALSE)</f>
        <v>#N/A</v>
      </c>
      <c r="D460" s="6" t="str">
        <f>VLOOKUP(B460,Sheet3!$B$2:$E$311,3,)</f>
        <v>#N/A</v>
      </c>
      <c r="E460" s="6" t="str">
        <f>VLOOKUP(B460,Sheet3!$B$2:$E$311,4,)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VLOOKUP(B461,Sheet3!$B$2:$E$311,2,FALSE)</f>
        <v>#N/A</v>
      </c>
      <c r="D461" s="6" t="str">
        <f>VLOOKUP(B461,Sheet3!$B$2:$E$311,3,)</f>
        <v>#N/A</v>
      </c>
      <c r="E461" s="6" t="str">
        <f>VLOOKUP(B461,Sheet3!$B$2:$E$311,4,)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VLOOKUP(B462,Sheet3!$B$2:$E$311,2,FALSE)</f>
        <v>#N/A</v>
      </c>
      <c r="D462" s="6" t="str">
        <f>VLOOKUP(B462,Sheet3!$B$2:$E$311,3,)</f>
        <v>#N/A</v>
      </c>
      <c r="E462" s="6" t="str">
        <f>VLOOKUP(B462,Sheet3!$B$2:$E$311,4,)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VLOOKUP(B463,Sheet3!$B$2:$E$311,2,FALSE)</f>
        <v>#N/A</v>
      </c>
      <c r="D463" s="6" t="str">
        <f>VLOOKUP(B463,Sheet3!$B$2:$E$311,3,)</f>
        <v>#N/A</v>
      </c>
      <c r="E463" s="6" t="str">
        <f>VLOOKUP(B463,Sheet3!$B$2:$E$311,4,)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VLOOKUP(B464,Sheet3!$B$2:$E$311,2,FALSE)</f>
        <v>#N/A</v>
      </c>
      <c r="D464" s="6" t="str">
        <f>VLOOKUP(B464,Sheet3!$B$2:$E$311,3,)</f>
        <v>#N/A</v>
      </c>
      <c r="E464" s="6" t="str">
        <f>VLOOKUP(B464,Sheet3!$B$2:$E$311,4,)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VLOOKUP(B465,Sheet3!$B$2:$E$311,2,FALSE)</f>
        <v>#N/A</v>
      </c>
      <c r="D465" s="6" t="str">
        <f>VLOOKUP(B465,Sheet3!$B$2:$E$311,3,)</f>
        <v>#N/A</v>
      </c>
      <c r="E465" s="6" t="str">
        <f>VLOOKUP(B465,Sheet3!$B$2:$E$311,4,)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VLOOKUP(B466,Sheet3!$B$2:$E$311,2,FALSE)</f>
        <v>#N/A</v>
      </c>
      <c r="D466" s="6" t="str">
        <f>VLOOKUP(B466,Sheet3!$B$2:$E$311,3,)</f>
        <v>#N/A</v>
      </c>
      <c r="E466" s="6" t="str">
        <f>VLOOKUP(B466,Sheet3!$B$2:$E$311,4,)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VLOOKUP(B467,Sheet3!$B$2:$E$311,2,FALSE)</f>
        <v>#N/A</v>
      </c>
      <c r="D467" s="6" t="str">
        <f>VLOOKUP(B467,Sheet3!$B$2:$E$311,3,)</f>
        <v>#N/A</v>
      </c>
      <c r="E467" s="6" t="str">
        <f>VLOOKUP(B467,Sheet3!$B$2:$E$311,4,)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VLOOKUP(B468,Sheet3!$B$2:$E$311,2,FALSE)</f>
        <v>#N/A</v>
      </c>
      <c r="D468" s="6" t="str">
        <f>VLOOKUP(B468,Sheet3!$B$2:$E$311,3,)</f>
        <v>#N/A</v>
      </c>
      <c r="E468" s="6" t="str">
        <f>VLOOKUP(B468,Sheet3!$B$2:$E$311,4,)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VLOOKUP(B469,Sheet3!$B$2:$E$311,2,FALSE)</f>
        <v>#N/A</v>
      </c>
      <c r="D469" s="6" t="str">
        <f>VLOOKUP(B469,Sheet3!$B$2:$E$311,3,)</f>
        <v>#N/A</v>
      </c>
      <c r="E469" s="6" t="str">
        <f>VLOOKUP(B469,Sheet3!$B$2:$E$311,4,)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VLOOKUP(B470,Sheet3!$B$2:$E$311,2,FALSE)</f>
        <v>#N/A</v>
      </c>
      <c r="D470" s="6" t="str">
        <f>VLOOKUP(B470,Sheet3!$B$2:$E$311,3,)</f>
        <v>#N/A</v>
      </c>
      <c r="E470" s="6" t="str">
        <f>VLOOKUP(B470,Sheet3!$B$2:$E$311,4,)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VLOOKUP(B471,Sheet3!$B$2:$E$311,2,FALSE)</f>
        <v>#N/A</v>
      </c>
      <c r="D471" s="6" t="str">
        <f>VLOOKUP(B471,Sheet3!$B$2:$E$311,3,)</f>
        <v>#N/A</v>
      </c>
      <c r="E471" s="6" t="str">
        <f>VLOOKUP(B471,Sheet3!$B$2:$E$311,4,)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VLOOKUP(B472,Sheet3!$B$2:$E$311,2,FALSE)</f>
        <v>#N/A</v>
      </c>
      <c r="D472" s="6" t="str">
        <f>VLOOKUP(B472,Sheet3!$B$2:$E$311,3,)</f>
        <v>#N/A</v>
      </c>
      <c r="E472" s="6" t="str">
        <f>VLOOKUP(B472,Sheet3!$B$2:$E$311,4,)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VLOOKUP(B473,Sheet3!$B$2:$E$311,2,FALSE)</f>
        <v>#N/A</v>
      </c>
      <c r="D473" s="6" t="str">
        <f>VLOOKUP(B473,Sheet3!$B$2:$E$311,3,)</f>
        <v>#N/A</v>
      </c>
      <c r="E473" s="6" t="str">
        <f>VLOOKUP(B473,Sheet3!$B$2:$E$311,4,)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VLOOKUP(B474,Sheet3!$B$2:$E$311,2,FALSE)</f>
        <v>#N/A</v>
      </c>
      <c r="D474" s="6" t="str">
        <f>VLOOKUP(B474,Sheet3!$B$2:$E$311,3,)</f>
        <v>#N/A</v>
      </c>
      <c r="E474" s="6" t="str">
        <f>VLOOKUP(B474,Sheet3!$B$2:$E$311,4,)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VLOOKUP(B475,Sheet3!$B$2:$E$311,2,FALSE)</f>
        <v>#N/A</v>
      </c>
      <c r="D475" s="6" t="str">
        <f>VLOOKUP(B475,Sheet3!$B$2:$E$311,3,)</f>
        <v>#N/A</v>
      </c>
      <c r="E475" s="6" t="str">
        <f>VLOOKUP(B475,Sheet3!$B$2:$E$311,4,)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VLOOKUP(B476,Sheet3!$B$2:$E$311,2,FALSE)</f>
        <v>#N/A</v>
      </c>
      <c r="D476" s="6" t="str">
        <f>VLOOKUP(B476,Sheet3!$B$2:$E$311,3,)</f>
        <v>#N/A</v>
      </c>
      <c r="E476" s="6" t="str">
        <f>VLOOKUP(B476,Sheet3!$B$2:$E$311,4,)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VLOOKUP(B477,Sheet3!$B$2:$E$311,2,FALSE)</f>
        <v>#N/A</v>
      </c>
      <c r="D477" s="6" t="str">
        <f>VLOOKUP(B477,Sheet3!$B$2:$E$311,3,)</f>
        <v>#N/A</v>
      </c>
      <c r="E477" s="6" t="str">
        <f>VLOOKUP(B477,Sheet3!$B$2:$E$311,4,)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VLOOKUP(B478,Sheet3!$B$2:$E$311,2,FALSE)</f>
        <v>#N/A</v>
      </c>
      <c r="D478" s="6" t="str">
        <f>VLOOKUP(B478,Sheet3!$B$2:$E$311,3,)</f>
        <v>#N/A</v>
      </c>
      <c r="E478" s="6" t="str">
        <f>VLOOKUP(B478,Sheet3!$B$2:$E$311,4,)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VLOOKUP(B479,Sheet3!$B$2:$E$311,2,FALSE)</f>
        <v>#N/A</v>
      </c>
      <c r="D479" s="6" t="str">
        <f>VLOOKUP(B479,Sheet3!$B$2:$E$311,3,)</f>
        <v>#N/A</v>
      </c>
      <c r="E479" s="6" t="str">
        <f>VLOOKUP(B479,Sheet3!$B$2:$E$311,4,)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VLOOKUP(B480,Sheet3!$B$2:$E$311,2,FALSE)</f>
        <v>#N/A</v>
      </c>
      <c r="D480" s="6" t="str">
        <f>VLOOKUP(B480,Sheet3!$B$2:$E$311,3,)</f>
        <v>#N/A</v>
      </c>
      <c r="E480" s="6" t="str">
        <f>VLOOKUP(B480,Sheet3!$B$2:$E$311,4,)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VLOOKUP(B481,Sheet3!$B$2:$E$311,2,FALSE)</f>
        <v>#N/A</v>
      </c>
      <c r="D481" s="6" t="str">
        <f>VLOOKUP(B481,Sheet3!$B$2:$E$311,3,)</f>
        <v>#N/A</v>
      </c>
      <c r="E481" s="6" t="str">
        <f>VLOOKUP(B481,Sheet3!$B$2:$E$311,4,)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VLOOKUP(B482,Sheet3!$B$2:$E$311,2,FALSE)</f>
        <v>#N/A</v>
      </c>
      <c r="D482" s="6" t="str">
        <f>VLOOKUP(B482,Sheet3!$B$2:$E$311,3,)</f>
        <v>#N/A</v>
      </c>
      <c r="E482" s="6" t="str">
        <f>VLOOKUP(B482,Sheet3!$B$2:$E$311,4,)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VLOOKUP(B483,Sheet3!$B$2:$E$311,2,FALSE)</f>
        <v>#N/A</v>
      </c>
      <c r="D483" s="6" t="str">
        <f>VLOOKUP(B483,Sheet3!$B$2:$E$311,3,)</f>
        <v>#N/A</v>
      </c>
      <c r="E483" s="6" t="str">
        <f>VLOOKUP(B483,Sheet3!$B$2:$E$311,4,)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VLOOKUP(B484,Sheet3!$B$2:$E$311,2,FALSE)</f>
        <v>#N/A</v>
      </c>
      <c r="D484" s="6" t="str">
        <f>VLOOKUP(B484,Sheet3!$B$2:$E$311,3,)</f>
        <v>#N/A</v>
      </c>
      <c r="E484" s="6" t="str">
        <f>VLOOKUP(B484,Sheet3!$B$2:$E$311,4,)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VLOOKUP(B485,Sheet3!$B$2:$E$311,2,FALSE)</f>
        <v>#N/A</v>
      </c>
      <c r="D485" s="6" t="str">
        <f>VLOOKUP(B485,Sheet3!$B$2:$E$311,3,)</f>
        <v>#N/A</v>
      </c>
      <c r="E485" s="6" t="str">
        <f>VLOOKUP(B485,Sheet3!$B$2:$E$311,4,)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VLOOKUP(B486,Sheet3!$B$2:$E$311,2,FALSE)</f>
        <v>#N/A</v>
      </c>
      <c r="D486" s="6" t="str">
        <f>VLOOKUP(B486,Sheet3!$B$2:$E$311,3,)</f>
        <v>#N/A</v>
      </c>
      <c r="E486" s="6" t="str">
        <f>VLOOKUP(B486,Sheet3!$B$2:$E$311,4,)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VLOOKUP(B487,Sheet3!$B$2:$E$311,2,FALSE)</f>
        <v>#N/A</v>
      </c>
      <c r="D487" s="6" t="str">
        <f>VLOOKUP(B487,Sheet3!$B$2:$E$311,3,)</f>
        <v>#N/A</v>
      </c>
      <c r="E487" s="6" t="str">
        <f>VLOOKUP(B487,Sheet3!$B$2:$E$311,4,)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VLOOKUP(B488,Sheet3!$B$2:$E$311,2,FALSE)</f>
        <v>#N/A</v>
      </c>
      <c r="D488" s="6" t="str">
        <f>VLOOKUP(B488,Sheet3!$B$2:$E$311,3,)</f>
        <v>#N/A</v>
      </c>
      <c r="E488" s="6" t="str">
        <f>VLOOKUP(B488,Sheet3!$B$2:$E$311,4,)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VLOOKUP(B489,Sheet3!$B$2:$E$311,2,FALSE)</f>
        <v>#N/A</v>
      </c>
      <c r="D489" s="6" t="str">
        <f>VLOOKUP(B489,Sheet3!$B$2:$E$311,3,)</f>
        <v>#N/A</v>
      </c>
      <c r="E489" s="6" t="str">
        <f>VLOOKUP(B489,Sheet3!$B$2:$E$311,4,)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VLOOKUP(B490,Sheet3!$B$2:$E$311,2,FALSE)</f>
        <v>#N/A</v>
      </c>
      <c r="D490" s="6" t="str">
        <f>VLOOKUP(B490,Sheet3!$B$2:$E$311,3,)</f>
        <v>#N/A</v>
      </c>
      <c r="E490" s="6" t="str">
        <f>VLOOKUP(B490,Sheet3!$B$2:$E$311,4,)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VLOOKUP(B491,Sheet3!$B$2:$E$311,2,FALSE)</f>
        <v>#N/A</v>
      </c>
      <c r="D491" s="6" t="str">
        <f>VLOOKUP(B491,Sheet3!$B$2:$E$311,3,)</f>
        <v>#N/A</v>
      </c>
      <c r="E491" s="6" t="str">
        <f>VLOOKUP(B491,Sheet3!$B$2:$E$311,4,)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VLOOKUP(B492,Sheet3!$B$2:$E$311,2,FALSE)</f>
        <v>#N/A</v>
      </c>
      <c r="D492" s="6" t="str">
        <f>VLOOKUP(B492,Sheet3!$B$2:$E$311,3,)</f>
        <v>#N/A</v>
      </c>
      <c r="E492" s="6" t="str">
        <f>VLOOKUP(B492,Sheet3!$B$2:$E$311,4,)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VLOOKUP(B493,Sheet3!$B$2:$E$311,2,FALSE)</f>
        <v>#N/A</v>
      </c>
      <c r="D493" s="6" t="str">
        <f>VLOOKUP(B493,Sheet3!$B$2:$E$311,3,)</f>
        <v>#N/A</v>
      </c>
      <c r="E493" s="6" t="str">
        <f>VLOOKUP(B493,Sheet3!$B$2:$E$311,4,)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VLOOKUP(B494,Sheet3!$B$2:$E$311,2,FALSE)</f>
        <v>#N/A</v>
      </c>
      <c r="D494" s="6" t="str">
        <f>VLOOKUP(B494,Sheet3!$B$2:$E$311,3,)</f>
        <v>#N/A</v>
      </c>
      <c r="E494" s="6" t="str">
        <f>VLOOKUP(B494,Sheet3!$B$2:$E$311,4,)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VLOOKUP(B495,Sheet3!$B$2:$E$311,2,FALSE)</f>
        <v>#N/A</v>
      </c>
      <c r="D495" s="6" t="str">
        <f>VLOOKUP(B495,Sheet3!$B$2:$E$311,3,)</f>
        <v>#N/A</v>
      </c>
      <c r="E495" s="6" t="str">
        <f>VLOOKUP(B495,Sheet3!$B$2:$E$311,4,)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VLOOKUP(B496,Sheet3!$B$2:$E$311,2,FALSE)</f>
        <v>#N/A</v>
      </c>
      <c r="D496" s="6" t="str">
        <f>VLOOKUP(B496,Sheet3!$B$2:$E$311,3,)</f>
        <v>#N/A</v>
      </c>
      <c r="E496" s="6" t="str">
        <f>VLOOKUP(B496,Sheet3!$B$2:$E$311,4,)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VLOOKUP(B497,Sheet3!$B$2:$E$311,2,FALSE)</f>
        <v>#N/A</v>
      </c>
      <c r="D497" s="6" t="str">
        <f>VLOOKUP(B497,Sheet3!$B$2:$E$311,3,)</f>
        <v>#N/A</v>
      </c>
      <c r="E497" s="6" t="str">
        <f>VLOOKUP(B497,Sheet3!$B$2:$E$311,4,)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VLOOKUP(B498,Sheet3!$B$2:$E$311,2,FALSE)</f>
        <v>#N/A</v>
      </c>
      <c r="D498" s="6" t="str">
        <f>VLOOKUP(B498,Sheet3!$B$2:$E$311,3,)</f>
        <v>#N/A</v>
      </c>
      <c r="E498" s="6" t="str">
        <f>VLOOKUP(B498,Sheet3!$B$2:$E$311,4,)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VLOOKUP(B499,Sheet3!$B$2:$E$311,2,FALSE)</f>
        <v>#N/A</v>
      </c>
      <c r="D499" s="6" t="str">
        <f>VLOOKUP(B499,Sheet3!$B$2:$E$311,3,)</f>
        <v>#N/A</v>
      </c>
      <c r="E499" s="6" t="str">
        <f>VLOOKUP(B499,Sheet3!$B$2:$E$311,4,)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VLOOKUP(B500,Sheet3!$B$2:$E$311,2,FALSE)</f>
        <v>#N/A</v>
      </c>
      <c r="D500" s="6" t="str">
        <f>VLOOKUP(B500,Sheet3!$B$2:$E$311,3,)</f>
        <v>#N/A</v>
      </c>
      <c r="E500" s="6" t="str">
        <f>VLOOKUP(B500,Sheet3!$B$2:$E$311,4,)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VLOOKUP(B501,Sheet3!$B$2:$E$311,2,FALSE)</f>
        <v>#N/A</v>
      </c>
      <c r="D501" s="6" t="str">
        <f>VLOOKUP(B501,Sheet3!$B$2:$E$311,3,)</f>
        <v>#N/A</v>
      </c>
      <c r="E501" s="6" t="str">
        <f>VLOOKUP(B501,Sheet3!$B$2:$E$311,4,)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VLOOKUP(B502,Sheet3!$B$2:$E$311,2,FALSE)</f>
        <v>#N/A</v>
      </c>
      <c r="D502" s="6" t="str">
        <f>VLOOKUP(B502,Sheet3!$B$2:$E$311,3,)</f>
        <v>#N/A</v>
      </c>
      <c r="E502" s="6" t="str">
        <f>VLOOKUP(B502,Sheet3!$B$2:$E$311,4,)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VLOOKUP(B503,Sheet3!$B$2:$E$311,2,FALSE)</f>
        <v>#N/A</v>
      </c>
      <c r="D503" s="6" t="str">
        <f>VLOOKUP(B503,Sheet3!$B$2:$E$311,3,)</f>
        <v>#N/A</v>
      </c>
      <c r="E503" s="6" t="str">
        <f>VLOOKUP(B503,Sheet3!$B$2:$E$311,4,)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VLOOKUP(B504,Sheet3!$B$2:$E$311,2,FALSE)</f>
        <v>#N/A</v>
      </c>
      <c r="D504" s="6" t="str">
        <f>VLOOKUP(B504,Sheet3!$B$2:$E$311,3,)</f>
        <v>#N/A</v>
      </c>
      <c r="E504" s="6" t="str">
        <f>VLOOKUP(B504,Sheet3!$B$2:$E$311,4,)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VLOOKUP(B505,Sheet3!$B$2:$E$311,2,FALSE)</f>
        <v>#N/A</v>
      </c>
      <c r="D505" s="6" t="str">
        <f>VLOOKUP(B505,Sheet3!$B$2:$E$311,3,)</f>
        <v>#N/A</v>
      </c>
      <c r="E505" s="6" t="str">
        <f>VLOOKUP(B505,Sheet3!$B$2:$E$311,4,)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VLOOKUP(B506,Sheet3!$B$2:$E$311,2,FALSE)</f>
        <v>#N/A</v>
      </c>
      <c r="D506" s="6" t="str">
        <f>VLOOKUP(B506,Sheet3!$B$2:$E$311,3,)</f>
        <v>#N/A</v>
      </c>
      <c r="E506" s="6" t="str">
        <f>VLOOKUP(B506,Sheet3!$B$2:$E$311,4,)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VLOOKUP(B507,Sheet3!$B$2:$E$311,2,FALSE)</f>
        <v>#N/A</v>
      </c>
      <c r="D507" s="6" t="str">
        <f>VLOOKUP(B507,Sheet3!$B$2:$E$311,3,)</f>
        <v>#N/A</v>
      </c>
      <c r="E507" s="6" t="str">
        <f>VLOOKUP(B507,Sheet3!$B$2:$E$311,4,)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VLOOKUP(B508,Sheet3!$B$2:$E$311,2,FALSE)</f>
        <v>#N/A</v>
      </c>
      <c r="D508" s="6" t="str">
        <f>VLOOKUP(B508,Sheet3!$B$2:$E$311,3,)</f>
        <v>#N/A</v>
      </c>
      <c r="E508" s="6" t="str">
        <f>VLOOKUP(B508,Sheet3!$B$2:$E$311,4,)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VLOOKUP(B509,Sheet3!$B$2:$E$311,2,FALSE)</f>
        <v>#N/A</v>
      </c>
      <c r="D509" s="6" t="str">
        <f>VLOOKUP(B509,Sheet3!$B$2:$E$311,3,)</f>
        <v>#N/A</v>
      </c>
      <c r="E509" s="6" t="str">
        <f>VLOOKUP(B509,Sheet3!$B$2:$E$311,4,)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VLOOKUP(B510,Sheet3!$B$2:$E$311,2,FALSE)</f>
        <v>#N/A</v>
      </c>
      <c r="D510" s="6" t="str">
        <f>VLOOKUP(B510,Sheet3!$B$2:$E$311,3,)</f>
        <v>#N/A</v>
      </c>
      <c r="E510" s="6" t="str">
        <f>VLOOKUP(B510,Sheet3!$B$2:$E$311,4,)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VLOOKUP(B511,Sheet3!$B$2:$E$311,2,FALSE)</f>
        <v>#N/A</v>
      </c>
      <c r="D511" s="6" t="str">
        <f>VLOOKUP(B511,Sheet3!$B$2:$E$311,3,)</f>
        <v>#N/A</v>
      </c>
      <c r="E511" s="6" t="str">
        <f>VLOOKUP(B511,Sheet3!$B$2:$E$311,4,)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VLOOKUP(B512,Sheet3!$B$2:$E$311,2,FALSE)</f>
        <v>#N/A</v>
      </c>
      <c r="D512" s="6" t="str">
        <f>VLOOKUP(B512,Sheet3!$B$2:$E$311,3,)</f>
        <v>#N/A</v>
      </c>
      <c r="E512" s="6" t="str">
        <f>VLOOKUP(B512,Sheet3!$B$2:$E$311,4,)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VLOOKUP(B513,Sheet3!$B$2:$E$311,2,FALSE)</f>
        <v>#N/A</v>
      </c>
      <c r="D513" s="6" t="str">
        <f>VLOOKUP(B513,Sheet3!$B$2:$E$311,3,)</f>
        <v>#N/A</v>
      </c>
      <c r="E513" s="6" t="str">
        <f>VLOOKUP(B513,Sheet3!$B$2:$E$311,4,)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VLOOKUP(B514,Sheet3!$B$2:$E$311,2,FALSE)</f>
        <v>#N/A</v>
      </c>
      <c r="D514" s="6" t="str">
        <f>VLOOKUP(B514,Sheet3!$B$2:$E$311,3,)</f>
        <v>#N/A</v>
      </c>
      <c r="E514" s="6" t="str">
        <f>VLOOKUP(B514,Sheet3!$B$2:$E$311,4,)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VLOOKUP(B515,Sheet3!$B$2:$E$311,2,FALSE)</f>
        <v>#N/A</v>
      </c>
      <c r="D515" s="6" t="str">
        <f>VLOOKUP(B515,Sheet3!$B$2:$E$311,3,)</f>
        <v>#N/A</v>
      </c>
      <c r="E515" s="6" t="str">
        <f>VLOOKUP(B515,Sheet3!$B$2:$E$311,4,)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VLOOKUP(B516,Sheet3!$B$2:$E$311,2,FALSE)</f>
        <v>#N/A</v>
      </c>
      <c r="D516" s="6" t="str">
        <f>VLOOKUP(B516,Sheet3!$B$2:$E$311,3,)</f>
        <v>#N/A</v>
      </c>
      <c r="E516" s="6" t="str">
        <f>VLOOKUP(B516,Sheet3!$B$2:$E$311,4,)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VLOOKUP(B517,Sheet3!$B$2:$E$311,2,FALSE)</f>
        <v>#N/A</v>
      </c>
      <c r="D517" s="6" t="str">
        <f>VLOOKUP(B517,Sheet3!$B$2:$E$311,3,)</f>
        <v>#N/A</v>
      </c>
      <c r="E517" s="6" t="str">
        <f>VLOOKUP(B517,Sheet3!$B$2:$E$311,4,)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VLOOKUP(B518,Sheet3!$B$2:$E$311,2,FALSE)</f>
        <v>#N/A</v>
      </c>
      <c r="D518" s="6" t="str">
        <f>VLOOKUP(B518,Sheet3!$B$2:$E$311,3,)</f>
        <v>#N/A</v>
      </c>
      <c r="E518" s="6" t="str">
        <f>VLOOKUP(B518,Sheet3!$B$2:$E$311,4,)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VLOOKUP(B519,Sheet3!$B$2:$E$311,2,FALSE)</f>
        <v>#N/A</v>
      </c>
      <c r="D519" s="6" t="str">
        <f>VLOOKUP(B519,Sheet3!$B$2:$E$311,3,)</f>
        <v>#N/A</v>
      </c>
      <c r="E519" s="6" t="str">
        <f>VLOOKUP(B519,Sheet3!$B$2:$E$311,4,)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VLOOKUP(B520,Sheet3!$B$2:$E$311,2,FALSE)</f>
        <v>#N/A</v>
      </c>
      <c r="D520" s="6" t="str">
        <f>VLOOKUP(B520,Sheet3!$B$2:$E$311,3,)</f>
        <v>#N/A</v>
      </c>
      <c r="E520" s="6" t="str">
        <f>VLOOKUP(B520,Sheet3!$B$2:$E$311,4,)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VLOOKUP(B521,Sheet3!$B$2:$E$311,2,FALSE)</f>
        <v>#N/A</v>
      </c>
      <c r="D521" s="6" t="str">
        <f>VLOOKUP(B521,Sheet3!$B$2:$E$311,3,)</f>
        <v>#N/A</v>
      </c>
      <c r="E521" s="6" t="str">
        <f>VLOOKUP(B521,Sheet3!$B$2:$E$311,4,)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VLOOKUP(B522,Sheet3!$B$2:$E$311,2,FALSE)</f>
        <v>#N/A</v>
      </c>
      <c r="D522" s="6" t="str">
        <f>VLOOKUP(B522,Sheet3!$B$2:$E$311,3,)</f>
        <v>#N/A</v>
      </c>
      <c r="E522" s="6" t="str">
        <f>VLOOKUP(B522,Sheet3!$B$2:$E$311,4,)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VLOOKUP(B523,Sheet3!$B$2:$E$311,2,FALSE)</f>
        <v>#N/A</v>
      </c>
      <c r="D523" s="6" t="str">
        <f>VLOOKUP(B523,Sheet3!$B$2:$E$311,3,)</f>
        <v>#N/A</v>
      </c>
      <c r="E523" s="6" t="str">
        <f>VLOOKUP(B523,Sheet3!$B$2:$E$311,4,)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VLOOKUP(B524,Sheet3!$B$2:$E$311,2,FALSE)</f>
        <v>#N/A</v>
      </c>
      <c r="D524" s="6" t="str">
        <f>VLOOKUP(B524,Sheet3!$B$2:$E$311,3,)</f>
        <v>#N/A</v>
      </c>
      <c r="E524" s="6" t="str">
        <f>VLOOKUP(B524,Sheet3!$B$2:$E$311,4,)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VLOOKUP(B525,Sheet3!$B$2:$E$311,2,FALSE)</f>
        <v>#N/A</v>
      </c>
      <c r="D525" s="6" t="str">
        <f>VLOOKUP(B525,Sheet3!$B$2:$E$311,3,)</f>
        <v>#N/A</v>
      </c>
      <c r="E525" s="6" t="str">
        <f>VLOOKUP(B525,Sheet3!$B$2:$E$311,4,)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VLOOKUP(B526,Sheet3!$B$2:$E$311,2,FALSE)</f>
        <v>#N/A</v>
      </c>
      <c r="D526" s="6" t="str">
        <f>VLOOKUP(B526,Sheet3!$B$2:$E$311,3,)</f>
        <v>#N/A</v>
      </c>
      <c r="E526" s="6" t="str">
        <f>VLOOKUP(B526,Sheet3!$B$2:$E$311,4,)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VLOOKUP(B527,Sheet3!$B$2:$E$311,2,FALSE)</f>
        <v>#N/A</v>
      </c>
      <c r="D527" s="6" t="str">
        <f>VLOOKUP(B527,Sheet3!$B$2:$E$311,3,)</f>
        <v>#N/A</v>
      </c>
      <c r="E527" s="6" t="str">
        <f>VLOOKUP(B527,Sheet3!$B$2:$E$311,4,)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VLOOKUP(B528,Sheet3!$B$2:$E$311,2,FALSE)</f>
        <v>#N/A</v>
      </c>
      <c r="D528" s="6" t="str">
        <f>VLOOKUP(B528,Sheet3!$B$2:$E$311,3,)</f>
        <v>#N/A</v>
      </c>
      <c r="E528" s="6" t="str">
        <f>VLOOKUP(B528,Sheet3!$B$2:$E$311,4,)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VLOOKUP(B529,Sheet3!$B$2:$E$311,2,FALSE)</f>
        <v>#N/A</v>
      </c>
      <c r="D529" s="6" t="str">
        <f>VLOOKUP(B529,Sheet3!$B$2:$E$311,3,)</f>
        <v>#N/A</v>
      </c>
      <c r="E529" s="6" t="str">
        <f>VLOOKUP(B529,Sheet3!$B$2:$E$311,4,)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VLOOKUP(B530,Sheet3!$B$2:$E$311,2,FALSE)</f>
        <v>#N/A</v>
      </c>
      <c r="D530" s="6" t="str">
        <f>VLOOKUP(B530,Sheet3!$B$2:$E$311,3,)</f>
        <v>#N/A</v>
      </c>
      <c r="E530" s="6" t="str">
        <f>VLOOKUP(B530,Sheet3!$B$2:$E$311,4,)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VLOOKUP(B531,Sheet3!$B$2:$E$311,2,FALSE)</f>
        <v>#N/A</v>
      </c>
      <c r="D531" s="6" t="str">
        <f>VLOOKUP(B531,Sheet3!$B$2:$E$311,3,)</f>
        <v>#N/A</v>
      </c>
      <c r="E531" s="6" t="str">
        <f>VLOOKUP(B531,Sheet3!$B$2:$E$311,4,)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VLOOKUP(B532,Sheet3!$B$2:$E$311,2,FALSE)</f>
        <v>#N/A</v>
      </c>
      <c r="D532" s="6" t="str">
        <f>VLOOKUP(B532,Sheet3!$B$2:$E$311,3,)</f>
        <v>#N/A</v>
      </c>
      <c r="E532" s="6" t="str">
        <f>VLOOKUP(B532,Sheet3!$B$2:$E$311,4,)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VLOOKUP(B533,Sheet3!$B$2:$E$311,2,FALSE)</f>
        <v>#N/A</v>
      </c>
      <c r="D533" s="6" t="str">
        <f>VLOOKUP(B533,Sheet3!$B$2:$E$311,3,)</f>
        <v>#N/A</v>
      </c>
      <c r="E533" s="6" t="str">
        <f>VLOOKUP(B533,Sheet3!$B$2:$E$311,4,)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VLOOKUP(B534,Sheet3!$B$2:$E$311,2,FALSE)</f>
        <v>#N/A</v>
      </c>
      <c r="D534" s="6" t="str">
        <f>VLOOKUP(B534,Sheet3!$B$2:$E$311,3,)</f>
        <v>#N/A</v>
      </c>
      <c r="E534" s="6" t="str">
        <f>VLOOKUP(B534,Sheet3!$B$2:$E$311,4,)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VLOOKUP(B535,Sheet3!$B$2:$E$311,2,FALSE)</f>
        <v>#N/A</v>
      </c>
      <c r="D535" s="6" t="str">
        <f>VLOOKUP(B535,Sheet3!$B$2:$E$311,3,)</f>
        <v>#N/A</v>
      </c>
      <c r="E535" s="6" t="str">
        <f>VLOOKUP(B535,Sheet3!$B$2:$E$311,4,)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VLOOKUP(B536,Sheet3!$B$2:$E$311,2,FALSE)</f>
        <v>#N/A</v>
      </c>
      <c r="D536" s="6" t="str">
        <f>VLOOKUP(B536,Sheet3!$B$2:$E$311,3,)</f>
        <v>#N/A</v>
      </c>
      <c r="E536" s="6" t="str">
        <f>VLOOKUP(B536,Sheet3!$B$2:$E$311,4,)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VLOOKUP(B537,Sheet3!$B$2:$E$311,2,FALSE)</f>
        <v>#N/A</v>
      </c>
      <c r="D537" s="6" t="str">
        <f>VLOOKUP(B537,Sheet3!$B$2:$E$311,3,)</f>
        <v>#N/A</v>
      </c>
      <c r="E537" s="6" t="str">
        <f>VLOOKUP(B537,Sheet3!$B$2:$E$311,4,)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VLOOKUP(B538,Sheet3!$B$2:$E$311,2,FALSE)</f>
        <v>#N/A</v>
      </c>
      <c r="D538" s="6" t="str">
        <f>VLOOKUP(B538,Sheet3!$B$2:$E$311,3,)</f>
        <v>#N/A</v>
      </c>
      <c r="E538" s="6" t="str">
        <f>VLOOKUP(B538,Sheet3!$B$2:$E$311,4,)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VLOOKUP(B539,Sheet3!$B$2:$E$311,2,FALSE)</f>
        <v>#N/A</v>
      </c>
      <c r="D539" s="6" t="str">
        <f>VLOOKUP(B539,Sheet3!$B$2:$E$311,3,)</f>
        <v>#N/A</v>
      </c>
      <c r="E539" s="6" t="str">
        <f>VLOOKUP(B539,Sheet3!$B$2:$E$311,4,)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VLOOKUP(B540,Sheet3!$B$2:$E$311,2,FALSE)</f>
        <v>#N/A</v>
      </c>
      <c r="D540" s="6" t="str">
        <f>VLOOKUP(B540,Sheet3!$B$2:$E$311,3,)</f>
        <v>#N/A</v>
      </c>
      <c r="E540" s="6" t="str">
        <f>VLOOKUP(B540,Sheet3!$B$2:$E$311,4,)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VLOOKUP(B541,Sheet3!$B$2:$E$311,2,FALSE)</f>
        <v>#N/A</v>
      </c>
      <c r="D541" s="6" t="str">
        <f>VLOOKUP(B541,Sheet3!$B$2:$E$311,3,)</f>
        <v>#N/A</v>
      </c>
      <c r="E541" s="6" t="str">
        <f>VLOOKUP(B541,Sheet3!$B$2:$E$311,4,)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VLOOKUP(B542,Sheet3!$B$2:$E$311,2,FALSE)</f>
        <v>#N/A</v>
      </c>
      <c r="D542" s="6" t="str">
        <f>VLOOKUP(B542,Sheet3!$B$2:$E$311,3,)</f>
        <v>#N/A</v>
      </c>
      <c r="E542" s="6" t="str">
        <f>VLOOKUP(B542,Sheet3!$B$2:$E$311,4,)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VLOOKUP(B543,Sheet3!$B$2:$E$311,2,FALSE)</f>
        <v>#N/A</v>
      </c>
      <c r="D543" s="6" t="str">
        <f>VLOOKUP(B543,Sheet3!$B$2:$E$311,3,)</f>
        <v>#N/A</v>
      </c>
      <c r="E543" s="6" t="str">
        <f>VLOOKUP(B543,Sheet3!$B$2:$E$311,4,)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VLOOKUP(B544,Sheet3!$B$2:$E$311,2,FALSE)</f>
        <v>#N/A</v>
      </c>
      <c r="D544" s="6" t="str">
        <f>VLOOKUP(B544,Sheet3!$B$2:$E$311,3,)</f>
        <v>#N/A</v>
      </c>
      <c r="E544" s="6" t="str">
        <f>VLOOKUP(B544,Sheet3!$B$2:$E$311,4,)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VLOOKUP(B545,Sheet3!$B$2:$E$311,2,FALSE)</f>
        <v>#N/A</v>
      </c>
      <c r="D545" s="6" t="str">
        <f>VLOOKUP(B545,Sheet3!$B$2:$E$311,3,)</f>
        <v>#N/A</v>
      </c>
      <c r="E545" s="6" t="str">
        <f>VLOOKUP(B545,Sheet3!$B$2:$E$311,4,)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VLOOKUP(B546,Sheet3!$B$2:$E$311,2,FALSE)</f>
        <v>#N/A</v>
      </c>
      <c r="D546" s="6" t="str">
        <f>VLOOKUP(B546,Sheet3!$B$2:$E$311,3,)</f>
        <v>#N/A</v>
      </c>
      <c r="E546" s="6" t="str">
        <f>VLOOKUP(B546,Sheet3!$B$2:$E$311,4,)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VLOOKUP(B547,Sheet3!$B$2:$E$311,2,FALSE)</f>
        <v>#N/A</v>
      </c>
      <c r="D547" s="6" t="str">
        <f>VLOOKUP(B547,Sheet3!$B$2:$E$311,3,)</f>
        <v>#N/A</v>
      </c>
      <c r="E547" s="6" t="str">
        <f>VLOOKUP(B547,Sheet3!$B$2:$E$311,4,)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VLOOKUP(B548,Sheet3!$B$2:$E$311,2,FALSE)</f>
        <v>#N/A</v>
      </c>
      <c r="D548" s="6" t="str">
        <f>VLOOKUP(B548,Sheet3!$B$2:$E$311,3,)</f>
        <v>#N/A</v>
      </c>
      <c r="E548" s="6" t="str">
        <f>VLOOKUP(B548,Sheet3!$B$2:$E$311,4,)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VLOOKUP(B549,Sheet3!$B$2:$E$311,2,FALSE)</f>
        <v>#N/A</v>
      </c>
      <c r="D549" s="6" t="str">
        <f>VLOOKUP(B549,Sheet3!$B$2:$E$311,3,)</f>
        <v>#N/A</v>
      </c>
      <c r="E549" s="6" t="str">
        <f>VLOOKUP(B549,Sheet3!$B$2:$E$311,4,)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VLOOKUP(B550,Sheet3!$B$2:$E$311,2,FALSE)</f>
        <v>#N/A</v>
      </c>
      <c r="D550" s="6" t="str">
        <f>VLOOKUP(B550,Sheet3!$B$2:$E$311,3,)</f>
        <v>#N/A</v>
      </c>
      <c r="E550" s="6" t="str">
        <f>VLOOKUP(B550,Sheet3!$B$2:$E$311,4,)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VLOOKUP(B551,Sheet3!$B$2:$E$311,2,FALSE)</f>
        <v>#N/A</v>
      </c>
      <c r="D551" s="6" t="str">
        <f>VLOOKUP(B551,Sheet3!$B$2:$E$311,3,)</f>
        <v>#N/A</v>
      </c>
      <c r="E551" s="6" t="str">
        <f>VLOOKUP(B551,Sheet3!$B$2:$E$311,4,)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VLOOKUP(B552,Sheet3!$B$2:$E$311,2,FALSE)</f>
        <v>#N/A</v>
      </c>
      <c r="D552" s="6" t="str">
        <f>VLOOKUP(B552,Sheet3!$B$2:$E$311,3,)</f>
        <v>#N/A</v>
      </c>
      <c r="E552" s="6" t="str">
        <f>VLOOKUP(B552,Sheet3!$B$2:$E$311,4,)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VLOOKUP(B553,Sheet3!$B$2:$E$311,2,FALSE)</f>
        <v>#N/A</v>
      </c>
      <c r="D553" s="6" t="str">
        <f>VLOOKUP(B553,Sheet3!$B$2:$E$311,3,)</f>
        <v>#N/A</v>
      </c>
      <c r="E553" s="6" t="str">
        <f>VLOOKUP(B553,Sheet3!$B$2:$E$311,4,)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VLOOKUP(B554,Sheet3!$B$2:$E$311,2,FALSE)</f>
        <v>#N/A</v>
      </c>
      <c r="D554" s="6" t="str">
        <f>VLOOKUP(B554,Sheet3!$B$2:$E$311,3,)</f>
        <v>#N/A</v>
      </c>
      <c r="E554" s="6" t="str">
        <f>VLOOKUP(B554,Sheet3!$B$2:$E$311,4,)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VLOOKUP(B555,Sheet3!$B$2:$E$311,2,FALSE)</f>
        <v>#N/A</v>
      </c>
      <c r="D555" s="6" t="str">
        <f>VLOOKUP(B555,Sheet3!$B$2:$E$311,3,)</f>
        <v>#N/A</v>
      </c>
      <c r="E555" s="6" t="str">
        <f>VLOOKUP(B555,Sheet3!$B$2:$E$311,4,)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VLOOKUP(B556,Sheet3!$B$2:$E$311,2,FALSE)</f>
        <v>#N/A</v>
      </c>
      <c r="D556" s="6" t="str">
        <f>VLOOKUP(B556,Sheet3!$B$2:$E$311,3,)</f>
        <v>#N/A</v>
      </c>
      <c r="E556" s="6" t="str">
        <f>VLOOKUP(B556,Sheet3!$B$2:$E$311,4,)</f>
        <v>#N/A</v>
      </c>
      <c r="F556" s="6"/>
      <c r="G556" s="6"/>
      <c r="H556" s="6"/>
    </row>
    <row r="557" ht="15.75" customHeight="1">
      <c r="A557" s="6"/>
      <c r="B557" s="6"/>
      <c r="C557" s="6" t="str">
        <f>VLOOKUP(B557,Sheet3!$B$2:$E$311,2,FALSE)</f>
        <v>#N/A</v>
      </c>
      <c r="D557" s="6" t="str">
        <f>VLOOKUP(B557,Sheet3!$B$2:$E$311,3,)</f>
        <v>#N/A</v>
      </c>
      <c r="E557" s="6" t="str">
        <f>VLOOKUP(B557,Sheet3!$B$2:$E$311,4,)</f>
        <v>#N/A</v>
      </c>
      <c r="F557" s="6"/>
      <c r="G557" s="6"/>
      <c r="H557" s="6"/>
    </row>
    <row r="558" ht="15.75" customHeight="1">
      <c r="A558" s="6"/>
      <c r="B558" s="6"/>
      <c r="C558" s="6" t="str">
        <f>VLOOKUP(B558,Sheet3!$B$2:$E$311,2,FALSE)</f>
        <v>#N/A</v>
      </c>
      <c r="D558" s="6" t="str">
        <f>VLOOKUP(B558,Sheet3!$B$2:$E$311,3,)</f>
        <v>#N/A</v>
      </c>
      <c r="E558" s="6" t="str">
        <f>VLOOKUP(B558,Sheet3!$B$2:$E$311,4,)</f>
        <v>#N/A</v>
      </c>
      <c r="F558" s="6"/>
      <c r="G558" s="6"/>
      <c r="H558" s="6"/>
    </row>
    <row r="559" ht="15.75" customHeight="1">
      <c r="A559" s="6"/>
      <c r="B559" s="6"/>
      <c r="C559" s="6" t="str">
        <f>VLOOKUP(B559,Sheet3!$B$2:$E$311,2,FALSE)</f>
        <v>#N/A</v>
      </c>
      <c r="D559" s="6" t="str">
        <f>VLOOKUP(B559,Sheet3!$B$2:$E$311,3,)</f>
        <v>#N/A</v>
      </c>
      <c r="E559" s="6" t="str">
        <f>VLOOKUP(B559,Sheet3!$B$2:$E$311,4,)</f>
        <v>#N/A</v>
      </c>
      <c r="F559" s="6"/>
      <c r="G559" s="6"/>
      <c r="H559" s="6"/>
    </row>
    <row r="560" ht="15.75" customHeight="1">
      <c r="B560" s="21"/>
      <c r="C560" s="21" t="str">
        <f>VLOOKUP(B560,Sheet3!$B$2:$E$311,2,FALSE)</f>
        <v>#N/A</v>
      </c>
      <c r="D560" s="21" t="str">
        <f>VLOOKUP(B560,Sheet3!$B$2:$E$311,3,)</f>
        <v>#N/A</v>
      </c>
      <c r="E560" s="21" t="str">
        <f>VLOOKUP(B560,Sheet3!$B$2:$E$311,4,)</f>
        <v>#N/A</v>
      </c>
    </row>
    <row r="561" ht="15.75" customHeight="1">
      <c r="B561" s="21"/>
      <c r="C561" s="21" t="str">
        <f>VLOOKUP(B561,Sheet3!$B$2:$E$311,2,FALSE)</f>
        <v>#N/A</v>
      </c>
      <c r="D561" s="21" t="str">
        <f>VLOOKUP(B561,Sheet3!$B$2:$E$311,3,)</f>
        <v>#N/A</v>
      </c>
      <c r="E561" s="21" t="str">
        <f>VLOOKUP(B561,Sheet3!$B$2:$E$311,4,)</f>
        <v>#N/A</v>
      </c>
    </row>
    <row r="562" ht="15.75" customHeight="1">
      <c r="B562" s="21"/>
      <c r="C562" s="21" t="str">
        <f>VLOOKUP(B562,Sheet3!$B$2:$E$311,2,FALSE)</f>
        <v>#N/A</v>
      </c>
      <c r="D562" s="21" t="str">
        <f>VLOOKUP(B562,Sheet3!$B$2:$E$311,3,)</f>
        <v>#N/A</v>
      </c>
      <c r="E562" s="21" t="str">
        <f>VLOOKUP(B562,Sheet3!$B$2:$E$311,4,)</f>
        <v>#N/A</v>
      </c>
    </row>
    <row r="563" ht="15.75" customHeight="1">
      <c r="B563" s="21"/>
      <c r="C563" s="21" t="str">
        <f>VLOOKUP(B563,Sheet3!$B$2:$E$311,2,FALSE)</f>
        <v>#N/A</v>
      </c>
      <c r="D563" s="21" t="str">
        <f>VLOOKUP(B563,Sheet3!$B$2:$E$311,3,)</f>
        <v>#N/A</v>
      </c>
      <c r="E563" s="21" t="str">
        <f>VLOOKUP(B563,Sheet3!$B$2:$E$311,4,)</f>
        <v>#N/A</v>
      </c>
    </row>
    <row r="564" ht="15.75" customHeight="1">
      <c r="B564" s="21"/>
      <c r="C564" s="21" t="str">
        <f>VLOOKUP(B564,Sheet3!$B$2:$E$311,2,FALSE)</f>
        <v>#N/A</v>
      </c>
      <c r="D564" s="21" t="str">
        <f>VLOOKUP(B564,Sheet3!$B$2:$E$311,3,)</f>
        <v>#N/A</v>
      </c>
      <c r="E564" s="21" t="str">
        <f>VLOOKUP(B564,Sheet3!$B$2:$E$311,4,)</f>
        <v>#N/A</v>
      </c>
    </row>
    <row r="565" ht="15.75" customHeight="1">
      <c r="B565" s="21"/>
      <c r="C565" s="21" t="str">
        <f>VLOOKUP(B565,Sheet3!$B$2:$E$311,2,FALSE)</f>
        <v>#N/A</v>
      </c>
      <c r="D565" s="21" t="str">
        <f>VLOOKUP(B565,Sheet3!$B$2:$E$311,3,)</f>
        <v>#N/A</v>
      </c>
      <c r="E565" s="21" t="str">
        <f>VLOOKUP(B565,Sheet3!$B$2:$E$311,4,)</f>
        <v>#N/A</v>
      </c>
    </row>
    <row r="566" ht="15.75" customHeight="1">
      <c r="B566" s="21"/>
      <c r="C566" s="21" t="str">
        <f>VLOOKUP(B566,Sheet3!$B$2:$E$311,2,FALSE)</f>
        <v>#N/A</v>
      </c>
      <c r="D566" s="21" t="str">
        <f>VLOOKUP(B566,Sheet3!$B$2:$E$311,3,)</f>
        <v>#N/A</v>
      </c>
      <c r="E566" s="21" t="str">
        <f>VLOOKUP(B566,Sheet3!$B$2:$E$311,4,)</f>
        <v>#N/A</v>
      </c>
    </row>
    <row r="567" ht="15.75" customHeight="1">
      <c r="B567" s="21"/>
      <c r="C567" s="21" t="str">
        <f>VLOOKUP(B567,Sheet3!$B$2:$E$311,2,FALSE)</f>
        <v>#N/A</v>
      </c>
      <c r="D567" s="21" t="str">
        <f>VLOOKUP(B567,Sheet3!$B$2:$E$311,3,)</f>
        <v>#N/A</v>
      </c>
      <c r="E567" s="21" t="str">
        <f>VLOOKUP(B567,Sheet3!$B$2:$E$311,4,)</f>
        <v>#N/A</v>
      </c>
    </row>
    <row r="568" ht="15.75" customHeight="1">
      <c r="B568" s="21"/>
      <c r="C568" s="21" t="str">
        <f>VLOOKUP(B568,Sheet3!$B$2:$E$311,2,FALSE)</f>
        <v>#N/A</v>
      </c>
      <c r="D568" s="21" t="str">
        <f>VLOOKUP(B568,Sheet3!$B$2:$E$311,3,)</f>
        <v>#N/A</v>
      </c>
      <c r="E568" s="21" t="str">
        <f>VLOOKUP(B568,Sheet3!$B$2:$E$311,4,)</f>
        <v>#N/A</v>
      </c>
    </row>
    <row r="569" ht="15.75" customHeight="1">
      <c r="B569" s="21"/>
      <c r="C569" s="21" t="str">
        <f>VLOOKUP(B569,Sheet3!$B$2:$E$311,2,FALSE)</f>
        <v>#N/A</v>
      </c>
      <c r="D569" s="21" t="str">
        <f>VLOOKUP(B569,Sheet3!$B$2:$E$311,3,)</f>
        <v>#N/A</v>
      </c>
      <c r="E569" s="21" t="str">
        <f>VLOOKUP(B569,Sheet3!$B$2:$E$311,4,)</f>
        <v>#N/A</v>
      </c>
    </row>
    <row r="570" ht="15.75" customHeight="1">
      <c r="B570" s="21"/>
      <c r="C570" s="21" t="str">
        <f>VLOOKUP(B570,Sheet3!$B$2:$E$311,2,FALSE)</f>
        <v>#N/A</v>
      </c>
      <c r="D570" s="21" t="str">
        <f>VLOOKUP(B570,Sheet3!$B$2:$E$311,3,)</f>
        <v>#N/A</v>
      </c>
      <c r="E570" s="21" t="str">
        <f>VLOOKUP(B570,Sheet3!$B$2:$E$311,4,)</f>
        <v>#N/A</v>
      </c>
    </row>
    <row r="571" ht="15.75" customHeight="1">
      <c r="B571" s="21"/>
      <c r="C571" s="21" t="str">
        <f>VLOOKUP(B571,Sheet3!$B$2:$E$311,2,FALSE)</f>
        <v>#N/A</v>
      </c>
      <c r="D571" s="21" t="str">
        <f>VLOOKUP(B571,Sheet3!$B$2:$E$311,3,)</f>
        <v>#N/A</v>
      </c>
      <c r="E571" s="21" t="str">
        <f>VLOOKUP(B571,Sheet3!$B$2:$E$311,4,)</f>
        <v>#N/A</v>
      </c>
    </row>
    <row r="572" ht="15.75" customHeight="1">
      <c r="B572" s="21"/>
      <c r="C572" s="21" t="str">
        <f>VLOOKUP(B572,Sheet3!$B$2:$E$311,2,FALSE)</f>
        <v>#N/A</v>
      </c>
      <c r="D572" s="21" t="str">
        <f>VLOOKUP(B572,Sheet3!$B$2:$E$311,3,)</f>
        <v>#N/A</v>
      </c>
      <c r="E572" s="21" t="str">
        <f>VLOOKUP(B572,Sheet3!$B$2:$E$311,4,)</f>
        <v>#N/A</v>
      </c>
    </row>
    <row r="573" ht="15.75" customHeight="1">
      <c r="B573" s="21"/>
      <c r="C573" s="21" t="str">
        <f>VLOOKUP(B573,Sheet3!$B$2:$E$311,2,FALSE)</f>
        <v>#N/A</v>
      </c>
      <c r="D573" s="21" t="str">
        <f>VLOOKUP(B573,Sheet3!$B$2:$E$311,3,)</f>
        <v>#N/A</v>
      </c>
      <c r="E573" s="21" t="str">
        <f>VLOOKUP(B573,Sheet3!$B$2:$E$311,4,)</f>
        <v>#N/A</v>
      </c>
    </row>
    <row r="574" ht="15.75" customHeight="1">
      <c r="B574" s="21"/>
      <c r="C574" s="21" t="str">
        <f>VLOOKUP(B574,Sheet3!$B$2:$E$311,2,FALSE)</f>
        <v>#N/A</v>
      </c>
      <c r="D574" s="21" t="str">
        <f>VLOOKUP(B574,Sheet3!$B$2:$E$311,3,)</f>
        <v>#N/A</v>
      </c>
      <c r="E574" s="21" t="str">
        <f>VLOOKUP(B574,Sheet3!$B$2:$E$311,4,)</f>
        <v>#N/A</v>
      </c>
    </row>
    <row r="575" ht="15.75" customHeight="1">
      <c r="B575" s="21"/>
      <c r="C575" s="21" t="str">
        <f>VLOOKUP(B575,Sheet3!$B$2:$E$311,2,FALSE)</f>
        <v>#N/A</v>
      </c>
      <c r="D575" s="21" t="str">
        <f>VLOOKUP(B575,Sheet3!$B$2:$E$311,3,)</f>
        <v>#N/A</v>
      </c>
      <c r="E575" s="21" t="str">
        <f>VLOOKUP(B575,Sheet3!$B$2:$E$311,4,)</f>
        <v>#N/A</v>
      </c>
    </row>
    <row r="576" ht="15.75" customHeight="1">
      <c r="B576" s="21"/>
      <c r="C576" s="21" t="str">
        <f>VLOOKUP(B576,Sheet3!$B$2:$E$311,2,FALSE)</f>
        <v>#N/A</v>
      </c>
      <c r="D576" s="21" t="str">
        <f>VLOOKUP(B576,Sheet3!$B$2:$E$311,3,)</f>
        <v>#N/A</v>
      </c>
      <c r="E576" s="21" t="str">
        <f>VLOOKUP(B576,Sheet3!$B$2:$E$311,4,)</f>
        <v>#N/A</v>
      </c>
    </row>
    <row r="577" ht="15.75" customHeight="1">
      <c r="B577" s="21"/>
      <c r="C577" s="21" t="str">
        <f>VLOOKUP(B577,Sheet3!$B$2:$E$311,2,FALSE)</f>
        <v>#N/A</v>
      </c>
      <c r="D577" s="21" t="str">
        <f>VLOOKUP(B577,Sheet3!$B$2:$E$311,3,)</f>
        <v>#N/A</v>
      </c>
      <c r="E577" s="21" t="str">
        <f>VLOOKUP(B577,Sheet3!$B$2:$E$311,4,)</f>
        <v>#N/A</v>
      </c>
    </row>
    <row r="578" ht="15.75" customHeight="1">
      <c r="B578" s="21"/>
      <c r="C578" s="21" t="str">
        <f>VLOOKUP(B578,Sheet3!$B$2:$E$311,2,FALSE)</f>
        <v>#N/A</v>
      </c>
      <c r="D578" s="21" t="str">
        <f>VLOOKUP(B578,Sheet3!$B$2:$E$311,3,)</f>
        <v>#N/A</v>
      </c>
      <c r="E578" s="21" t="str">
        <f>VLOOKUP(B578,Sheet3!$B$2:$E$311,4,)</f>
        <v>#N/A</v>
      </c>
    </row>
    <row r="579" ht="15.75" customHeight="1">
      <c r="B579" s="21"/>
      <c r="C579" s="21" t="str">
        <f>VLOOKUP(B579,Sheet3!$B$2:$E$311,2,FALSE)</f>
        <v>#N/A</v>
      </c>
      <c r="D579" s="21" t="str">
        <f>VLOOKUP(B579,Sheet3!$B$2:$E$311,3,)</f>
        <v>#N/A</v>
      </c>
      <c r="E579" s="21" t="str">
        <f>VLOOKUP(B579,Sheet3!$B$2:$E$311,4,)</f>
        <v>#N/A</v>
      </c>
    </row>
    <row r="580" ht="15.75" customHeight="1">
      <c r="B580" s="21"/>
      <c r="C580" s="21" t="str">
        <f>VLOOKUP(B580,Sheet3!$B$2:$E$311,2,FALSE)</f>
        <v>#N/A</v>
      </c>
      <c r="D580" s="21" t="str">
        <f>VLOOKUP(B580,Sheet3!$B$2:$E$311,3,)</f>
        <v>#N/A</v>
      </c>
      <c r="E580" s="21" t="str">
        <f>VLOOKUP(B580,Sheet3!$B$2:$E$311,4,)</f>
        <v>#N/A</v>
      </c>
    </row>
    <row r="581" ht="15.75" customHeight="1">
      <c r="B581" s="21"/>
      <c r="C581" s="21" t="str">
        <f>VLOOKUP(B581,Sheet3!$B$2:$E$311,2,FALSE)</f>
        <v>#N/A</v>
      </c>
      <c r="D581" s="21" t="str">
        <f>VLOOKUP(B581,Sheet3!$B$2:$E$311,3,)</f>
        <v>#N/A</v>
      </c>
      <c r="E581" s="21" t="str">
        <f>VLOOKUP(B581,Sheet3!$B$2:$E$311,4,)</f>
        <v>#N/A</v>
      </c>
    </row>
    <row r="582" ht="15.75" customHeight="1">
      <c r="B582" s="21"/>
      <c r="C582" s="21" t="str">
        <f>VLOOKUP(B582,Sheet3!$B$2:$E$311,2,FALSE)</f>
        <v>#N/A</v>
      </c>
      <c r="D582" s="21" t="str">
        <f>VLOOKUP(B582,Sheet3!$B$2:$E$311,3,)</f>
        <v>#N/A</v>
      </c>
      <c r="E582" s="21" t="str">
        <f>VLOOKUP(B582,Sheet3!$B$2:$E$311,4,)</f>
        <v>#N/A</v>
      </c>
    </row>
    <row r="583" ht="15.75" customHeight="1">
      <c r="B583" s="21"/>
      <c r="C583" s="21" t="str">
        <f>VLOOKUP(B583,Sheet3!$B$2:$E$311,2,FALSE)</f>
        <v>#N/A</v>
      </c>
      <c r="D583" s="21" t="str">
        <f>VLOOKUP(B583,Sheet3!$B$2:$E$311,3,)</f>
        <v>#N/A</v>
      </c>
      <c r="E583" s="21" t="str">
        <f>VLOOKUP(B583,Sheet3!$B$2:$E$311,4,)</f>
        <v>#N/A</v>
      </c>
    </row>
    <row r="584" ht="15.75" customHeight="1">
      <c r="B584" s="21"/>
      <c r="C584" s="21" t="str">
        <f>VLOOKUP(B584,Sheet3!$B$2:$E$311,2,FALSE)</f>
        <v>#N/A</v>
      </c>
      <c r="D584" s="21" t="str">
        <f>VLOOKUP(B584,Sheet3!$B$2:$E$311,3,)</f>
        <v>#N/A</v>
      </c>
      <c r="E584" s="21" t="str">
        <f>VLOOKUP(B584,Sheet3!$B$2:$E$311,4,)</f>
        <v>#N/A</v>
      </c>
    </row>
    <row r="585" ht="15.75" customHeight="1">
      <c r="B585" s="21"/>
      <c r="C585" s="21" t="str">
        <f>VLOOKUP(B585,Sheet3!$B$2:$E$311,2,FALSE)</f>
        <v>#N/A</v>
      </c>
      <c r="D585" s="21" t="str">
        <f>VLOOKUP(B585,Sheet3!$B$2:$E$311,3,)</f>
        <v>#N/A</v>
      </c>
      <c r="E585" s="21" t="str">
        <f>VLOOKUP(B585,Sheet3!$B$2:$E$311,4,)</f>
        <v>#N/A</v>
      </c>
    </row>
    <row r="586" ht="15.75" customHeight="1">
      <c r="B586" s="21"/>
      <c r="C586" s="21" t="str">
        <f>VLOOKUP(B586,Sheet3!$B$2:$E$311,2,FALSE)</f>
        <v>#N/A</v>
      </c>
      <c r="D586" s="21" t="str">
        <f>VLOOKUP(B586,Sheet3!$B$2:$E$311,3,)</f>
        <v>#N/A</v>
      </c>
      <c r="E586" s="21" t="str">
        <f>VLOOKUP(B586,Sheet3!$B$2:$E$311,4,)</f>
        <v>#N/A</v>
      </c>
    </row>
    <row r="587" ht="15.75" customHeight="1">
      <c r="B587" s="21"/>
      <c r="C587" s="21" t="str">
        <f>VLOOKUP(B587,Sheet3!$B$2:$E$311,2,FALSE)</f>
        <v>#N/A</v>
      </c>
      <c r="D587" s="21" t="str">
        <f>VLOOKUP(B587,Sheet3!$B$2:$E$311,3,)</f>
        <v>#N/A</v>
      </c>
      <c r="E587" s="21" t="str">
        <f>VLOOKUP(B587,Sheet3!$B$2:$E$311,4,)</f>
        <v>#N/A</v>
      </c>
    </row>
    <row r="588" ht="15.75" customHeight="1">
      <c r="B588" s="21"/>
      <c r="C588" s="21" t="str">
        <f>VLOOKUP(B588,Sheet3!$B$2:$E$311,2,FALSE)</f>
        <v>#N/A</v>
      </c>
      <c r="D588" s="21" t="str">
        <f>VLOOKUP(B588,Sheet3!$B$2:$E$311,3,)</f>
        <v>#N/A</v>
      </c>
      <c r="E588" s="21" t="str">
        <f>VLOOKUP(B588,Sheet3!$B$2:$E$311,4,)</f>
        <v>#N/A</v>
      </c>
    </row>
    <row r="589" ht="15.75" customHeight="1">
      <c r="B589" s="21"/>
      <c r="C589" s="21" t="str">
        <f>VLOOKUP(B589,Sheet3!$B$2:$E$311,2,FALSE)</f>
        <v>#N/A</v>
      </c>
      <c r="D589" s="21" t="str">
        <f>VLOOKUP(B589,Sheet3!$B$2:$E$311,3,)</f>
        <v>#N/A</v>
      </c>
      <c r="E589" s="21" t="str">
        <f>VLOOKUP(B589,Sheet3!$B$2:$E$311,4,)</f>
        <v>#N/A</v>
      </c>
    </row>
    <row r="590" ht="15.75" customHeight="1">
      <c r="B590" s="21"/>
      <c r="C590" s="21" t="str">
        <f>VLOOKUP(B590,Sheet3!$B$2:$E$311,2,FALSE)</f>
        <v>#N/A</v>
      </c>
      <c r="D590" s="21" t="str">
        <f>VLOOKUP(B590,Sheet3!$B$2:$E$311,3,)</f>
        <v>#N/A</v>
      </c>
      <c r="E590" s="21" t="str">
        <f>VLOOKUP(B590,Sheet3!$B$2:$E$311,4,)</f>
        <v>#N/A</v>
      </c>
    </row>
    <row r="591" ht="15.75" customHeight="1">
      <c r="B591" s="21"/>
      <c r="C591" s="21" t="str">
        <f>VLOOKUP(B591,Sheet3!$B$2:$E$311,2,FALSE)</f>
        <v>#N/A</v>
      </c>
      <c r="D591" s="21" t="str">
        <f>VLOOKUP(B591,Sheet3!$B$2:$E$311,3,)</f>
        <v>#N/A</v>
      </c>
      <c r="E591" s="21" t="str">
        <f>VLOOKUP(B591,Sheet3!$B$2:$E$311,4,)</f>
        <v>#N/A</v>
      </c>
    </row>
    <row r="592" ht="15.75" customHeight="1">
      <c r="B592" s="21"/>
      <c r="C592" s="21" t="str">
        <f>VLOOKUP(B592,Sheet3!$B$2:$E$311,2,FALSE)</f>
        <v>#N/A</v>
      </c>
      <c r="D592" s="21" t="str">
        <f>VLOOKUP(B592,Sheet3!$B$2:$E$311,3,)</f>
        <v>#N/A</v>
      </c>
      <c r="E592" s="21" t="str">
        <f>VLOOKUP(B592,Sheet3!$B$2:$E$311,4,)</f>
        <v>#N/A</v>
      </c>
    </row>
    <row r="593" ht="15.75" customHeight="1">
      <c r="B593" s="21"/>
      <c r="C593" s="21" t="str">
        <f>VLOOKUP(B593,Sheet3!$B$2:$E$311,2,FALSE)</f>
        <v>#N/A</v>
      </c>
      <c r="D593" s="21" t="str">
        <f>VLOOKUP(B593,Sheet3!$B$2:$E$311,3,)</f>
        <v>#N/A</v>
      </c>
      <c r="E593" s="21" t="str">
        <f>VLOOKUP(B593,Sheet3!$B$2:$E$311,4,)</f>
        <v>#N/A</v>
      </c>
    </row>
    <row r="594" ht="15.75" customHeight="1">
      <c r="B594" s="21"/>
      <c r="C594" s="21" t="str">
        <f>VLOOKUP(B594,Sheet3!$B$2:$E$311,2,FALSE)</f>
        <v>#N/A</v>
      </c>
      <c r="D594" s="21" t="str">
        <f>VLOOKUP(B594,Sheet3!$B$2:$E$311,3,)</f>
        <v>#N/A</v>
      </c>
      <c r="E594" s="21" t="str">
        <f>VLOOKUP(B594,Sheet3!$B$2:$E$311,4,)</f>
        <v>#N/A</v>
      </c>
    </row>
    <row r="595" ht="15.75" customHeight="1">
      <c r="B595" s="21"/>
      <c r="C595" s="21" t="str">
        <f>VLOOKUP(B595,Sheet3!$B$2:$E$311,2,FALSE)</f>
        <v>#N/A</v>
      </c>
      <c r="D595" s="21" t="str">
        <f>VLOOKUP(B595,Sheet3!$B$2:$E$311,3,)</f>
        <v>#N/A</v>
      </c>
      <c r="E595" s="21" t="str">
        <f>VLOOKUP(B595,Sheet3!$B$2:$E$311,4,)</f>
        <v>#N/A</v>
      </c>
    </row>
    <row r="596" ht="15.75" customHeight="1">
      <c r="B596" s="21"/>
      <c r="C596" s="21" t="str">
        <f>VLOOKUP(B596,Sheet3!$B$2:$E$311,2,FALSE)</f>
        <v>#N/A</v>
      </c>
      <c r="D596" s="21" t="str">
        <f>VLOOKUP(B596,Sheet3!$B$2:$E$311,3,)</f>
        <v>#N/A</v>
      </c>
      <c r="E596" s="21" t="str">
        <f>VLOOKUP(B596,Sheet3!$B$2:$E$311,4,)</f>
        <v>#N/A</v>
      </c>
    </row>
    <row r="597" ht="15.75" customHeight="1">
      <c r="B597" s="21"/>
      <c r="C597" s="21" t="str">
        <f>VLOOKUP(B597,Sheet3!$B$2:$E$311,2,FALSE)</f>
        <v>#N/A</v>
      </c>
      <c r="D597" s="21" t="str">
        <f>VLOOKUP(B597,Sheet3!$B$2:$E$311,3,)</f>
        <v>#N/A</v>
      </c>
      <c r="E597" s="21" t="str">
        <f>VLOOKUP(B597,Sheet3!$B$2:$E$311,4,)</f>
        <v>#N/A</v>
      </c>
    </row>
    <row r="598" ht="15.75" customHeight="1">
      <c r="B598" s="21"/>
      <c r="C598" s="21" t="str">
        <f>VLOOKUP(B598,Sheet3!$B$2:$E$311,2,FALSE)</f>
        <v>#N/A</v>
      </c>
      <c r="D598" s="21" t="str">
        <f>VLOOKUP(B598,Sheet3!$B$2:$E$311,3,)</f>
        <v>#N/A</v>
      </c>
      <c r="E598" s="21" t="str">
        <f>VLOOKUP(B598,Sheet3!$B$2:$E$311,4,)</f>
        <v>#N/A</v>
      </c>
    </row>
    <row r="599" ht="15.75" customHeight="1">
      <c r="B599" s="21"/>
      <c r="C599" s="21" t="str">
        <f>VLOOKUP(B599,Sheet3!$B$2:$E$311,2,FALSE)</f>
        <v>#N/A</v>
      </c>
      <c r="D599" s="21" t="str">
        <f>VLOOKUP(B599,Sheet3!$B$2:$E$311,3,)</f>
        <v>#N/A</v>
      </c>
      <c r="E599" s="21" t="str">
        <f>VLOOKUP(B599,Sheet3!$B$2:$E$311,4,)</f>
        <v>#N/A</v>
      </c>
    </row>
    <row r="600" ht="15.75" customHeight="1">
      <c r="B600" s="21"/>
      <c r="C600" s="21" t="str">
        <f>VLOOKUP(B600,Sheet3!$B$2:$E$311,2,FALSE)</f>
        <v>#N/A</v>
      </c>
      <c r="D600" s="21" t="str">
        <f>VLOOKUP(B600,Sheet3!$B$2:$E$311,3,)</f>
        <v>#N/A</v>
      </c>
      <c r="E600" s="21" t="str">
        <f>VLOOKUP(B600,Sheet3!$B$2:$E$311,4,)</f>
        <v>#N/A</v>
      </c>
    </row>
    <row r="601" ht="15.75" customHeight="1">
      <c r="B601" s="21"/>
      <c r="C601" s="21" t="str">
        <f>VLOOKUP(B601,Sheet3!$B$2:$E$311,2,FALSE)</f>
        <v>#N/A</v>
      </c>
      <c r="D601" s="21" t="str">
        <f>VLOOKUP(B601,Sheet3!$B$2:$E$311,3,)</f>
        <v>#N/A</v>
      </c>
      <c r="E601" s="21" t="str">
        <f>VLOOKUP(B601,Sheet3!$B$2:$E$311,4,)</f>
        <v>#N/A</v>
      </c>
    </row>
    <row r="602" ht="15.75" customHeight="1">
      <c r="B602" s="21"/>
      <c r="C602" s="21" t="str">
        <f>VLOOKUP(B602,Sheet3!$B$2:$E$311,2,FALSE)</f>
        <v>#N/A</v>
      </c>
      <c r="D602" s="21" t="str">
        <f>VLOOKUP(B602,Sheet3!$B$2:$E$311,3,)</f>
        <v>#N/A</v>
      </c>
      <c r="E602" s="21" t="str">
        <f>VLOOKUP(B602,Sheet3!$B$2:$E$311,4,)</f>
        <v>#N/A</v>
      </c>
    </row>
    <row r="603" ht="15.75" customHeight="1">
      <c r="B603" s="21"/>
      <c r="C603" s="21" t="str">
        <f>VLOOKUP(B603,Sheet3!$B$2:$E$311,2,FALSE)</f>
        <v>#N/A</v>
      </c>
      <c r="D603" s="21" t="str">
        <f>VLOOKUP(B603,Sheet3!$B$2:$E$311,3,)</f>
        <v>#N/A</v>
      </c>
      <c r="E603" s="21" t="str">
        <f>VLOOKUP(B603,Sheet3!$B$2:$E$311,4,)</f>
        <v>#N/A</v>
      </c>
    </row>
    <row r="604" ht="15.75" customHeight="1">
      <c r="B604" s="21"/>
      <c r="C604" s="21" t="str">
        <f>VLOOKUP(B604,Sheet3!$B$2:$E$311,2,FALSE)</f>
        <v>#N/A</v>
      </c>
      <c r="D604" s="21" t="str">
        <f>VLOOKUP(B604,Sheet3!$B$2:$E$311,3,)</f>
        <v>#N/A</v>
      </c>
      <c r="E604" s="21" t="str">
        <f>VLOOKUP(B604,Sheet3!$B$2:$E$311,4,)</f>
        <v>#N/A</v>
      </c>
    </row>
    <row r="605" ht="15.75" customHeight="1">
      <c r="B605" s="21"/>
      <c r="C605" s="21" t="str">
        <f>VLOOKUP(B605,Sheet3!$B$2:$E$311,2,FALSE)</f>
        <v>#N/A</v>
      </c>
      <c r="D605" s="21" t="str">
        <f>VLOOKUP(B605,Sheet3!$B$2:$E$311,3,)</f>
        <v>#N/A</v>
      </c>
      <c r="E605" s="21" t="str">
        <f>VLOOKUP(B605,Sheet3!$B$2:$E$311,4,)</f>
        <v>#N/A</v>
      </c>
    </row>
    <row r="606" ht="15.75" customHeight="1">
      <c r="B606" s="21"/>
      <c r="C606" s="21" t="str">
        <f>VLOOKUP(B606,Sheet3!$B$2:$E$311,2,FALSE)</f>
        <v>#N/A</v>
      </c>
      <c r="D606" s="21" t="str">
        <f>VLOOKUP(B606,Sheet3!$B$2:$E$311,3,)</f>
        <v>#N/A</v>
      </c>
      <c r="E606" s="21" t="str">
        <f>VLOOKUP(B606,Sheet3!$B$2:$E$311,4,)</f>
        <v>#N/A</v>
      </c>
    </row>
    <row r="607" ht="15.75" customHeight="1">
      <c r="B607" s="21"/>
      <c r="C607" s="21" t="str">
        <f>VLOOKUP(B607,Sheet3!$B$2:$E$311,2,FALSE)</f>
        <v>#N/A</v>
      </c>
      <c r="D607" s="21" t="str">
        <f>VLOOKUP(B607,Sheet3!$B$2:$E$311,3,)</f>
        <v>#N/A</v>
      </c>
      <c r="E607" s="21" t="str">
        <f>VLOOKUP(B607,Sheet3!$B$2:$E$311,4,)</f>
        <v>#N/A</v>
      </c>
    </row>
    <row r="608" ht="15.75" customHeight="1">
      <c r="B608" s="21"/>
      <c r="C608" s="21" t="str">
        <f>VLOOKUP(B608,Sheet3!$B$2:$E$311,2,FALSE)</f>
        <v>#N/A</v>
      </c>
      <c r="D608" s="21" t="str">
        <f>VLOOKUP(B608,Sheet3!$B$2:$E$311,3,)</f>
        <v>#N/A</v>
      </c>
      <c r="E608" s="21" t="str">
        <f>VLOOKUP(B608,Sheet3!$B$2:$E$311,4,)</f>
        <v>#N/A</v>
      </c>
    </row>
    <row r="609" ht="15.75" customHeight="1">
      <c r="B609" s="21"/>
      <c r="C609" s="21" t="str">
        <f>VLOOKUP(B609,Sheet3!$B$2:$E$311,2,FALSE)</f>
        <v>#N/A</v>
      </c>
      <c r="D609" s="21" t="str">
        <f>VLOOKUP(B609,Sheet3!$B$2:$E$311,3,)</f>
        <v>#N/A</v>
      </c>
      <c r="E609" s="21" t="str">
        <f>VLOOKUP(B609,Sheet3!$B$2:$E$311,4,)</f>
        <v>#N/A</v>
      </c>
    </row>
    <row r="610" ht="15.75" customHeight="1">
      <c r="B610" s="21"/>
      <c r="C610" s="21" t="str">
        <f>VLOOKUP(B610,Sheet3!$B$2:$E$311,2,FALSE)</f>
        <v>#N/A</v>
      </c>
      <c r="D610" s="21" t="str">
        <f>VLOOKUP(B610,Sheet3!$B$2:$E$311,3,)</f>
        <v>#N/A</v>
      </c>
      <c r="E610" s="21" t="str">
        <f>VLOOKUP(B610,Sheet3!$B$2:$E$311,4,)</f>
        <v>#N/A</v>
      </c>
    </row>
    <row r="611" ht="15.75" customHeight="1">
      <c r="B611" s="21"/>
      <c r="C611" s="21" t="str">
        <f>VLOOKUP(B611,Sheet3!$B$2:$E$311,2,FALSE)</f>
        <v>#N/A</v>
      </c>
      <c r="D611" s="21" t="str">
        <f>VLOOKUP(B611,Sheet3!$B$2:$E$311,3,)</f>
        <v>#N/A</v>
      </c>
      <c r="E611" s="21" t="str">
        <f>VLOOKUP(B611,Sheet3!$B$2:$E$311,4,)</f>
        <v>#N/A</v>
      </c>
    </row>
    <row r="612" ht="15.75" customHeight="1">
      <c r="B612" s="21"/>
      <c r="C612" s="21" t="str">
        <f>VLOOKUP(B612,Sheet3!$B$2:$E$311,2,FALSE)</f>
        <v>#N/A</v>
      </c>
      <c r="D612" s="21" t="str">
        <f>VLOOKUP(B612,Sheet3!$B$2:$E$311,3,)</f>
        <v>#N/A</v>
      </c>
      <c r="E612" s="21" t="str">
        <f>VLOOKUP(B612,Sheet3!$B$2:$E$311,4,)</f>
        <v>#N/A</v>
      </c>
    </row>
    <row r="613" ht="15.75" customHeight="1">
      <c r="B613" s="21"/>
      <c r="C613" s="21" t="str">
        <f>VLOOKUP(B613,Sheet3!$B$2:$E$311,2,FALSE)</f>
        <v>#N/A</v>
      </c>
      <c r="D613" s="21" t="str">
        <f>VLOOKUP(B613,Sheet3!$B$2:$E$311,3,)</f>
        <v>#N/A</v>
      </c>
      <c r="E613" s="21" t="str">
        <f>VLOOKUP(B613,Sheet3!$B$2:$E$311,4,)</f>
        <v>#N/A</v>
      </c>
    </row>
    <row r="614" ht="15.75" customHeight="1">
      <c r="B614" s="21"/>
      <c r="C614" s="21" t="str">
        <f>VLOOKUP(B614,Sheet3!$B$2:$E$311,2,FALSE)</f>
        <v>#N/A</v>
      </c>
      <c r="D614" s="21" t="str">
        <f>VLOOKUP(B614,Sheet3!$B$2:$E$311,3,)</f>
        <v>#N/A</v>
      </c>
      <c r="E614" s="21" t="str">
        <f>VLOOKUP(B614,Sheet3!$B$2:$E$311,4,)</f>
        <v>#N/A</v>
      </c>
    </row>
    <row r="615" ht="15.75" customHeight="1">
      <c r="B615" s="21"/>
      <c r="C615" s="21" t="str">
        <f>VLOOKUP(B615,Sheet3!$B$2:$E$311,2,FALSE)</f>
        <v>#N/A</v>
      </c>
      <c r="D615" s="21" t="str">
        <f>VLOOKUP(B615,Sheet3!$B$2:$E$311,3,)</f>
        <v>#N/A</v>
      </c>
      <c r="E615" s="21" t="str">
        <f>VLOOKUP(B615,Sheet3!$B$2:$E$311,4,)</f>
        <v>#N/A</v>
      </c>
    </row>
    <row r="616" ht="15.75" customHeight="1">
      <c r="B616" s="21"/>
      <c r="C616" s="21" t="str">
        <f>VLOOKUP(B616,Sheet3!$B$2:$E$311,2,FALSE)</f>
        <v>#N/A</v>
      </c>
      <c r="D616" s="21" t="str">
        <f>VLOOKUP(B616,Sheet3!$B$2:$E$311,3,)</f>
        <v>#N/A</v>
      </c>
      <c r="E616" s="21" t="str">
        <f>VLOOKUP(B616,Sheet3!$B$2:$E$311,4,)</f>
        <v>#N/A</v>
      </c>
    </row>
    <row r="617" ht="15.75" customHeight="1">
      <c r="B617" s="21"/>
      <c r="C617" s="21" t="str">
        <f>VLOOKUP(B617,Sheet3!$B$2:$E$311,2,FALSE)</f>
        <v>#N/A</v>
      </c>
      <c r="D617" s="21" t="str">
        <f>VLOOKUP(B617,Sheet3!$B$2:$E$311,3,)</f>
        <v>#N/A</v>
      </c>
      <c r="E617" s="21" t="str">
        <f>VLOOKUP(B617,Sheet3!$B$2:$E$311,4,)</f>
        <v>#N/A</v>
      </c>
    </row>
    <row r="618" ht="15.75" customHeight="1">
      <c r="B618" s="21"/>
      <c r="C618" s="21" t="str">
        <f>VLOOKUP(B618,Sheet3!$B$2:$E$311,2,FALSE)</f>
        <v>#N/A</v>
      </c>
      <c r="D618" s="21" t="str">
        <f>VLOOKUP(B618,Sheet3!$B$2:$E$311,3,)</f>
        <v>#N/A</v>
      </c>
      <c r="E618" s="21" t="str">
        <f>VLOOKUP(B618,Sheet3!$B$2:$E$311,4,)</f>
        <v>#N/A</v>
      </c>
    </row>
    <row r="619" ht="15.75" customHeight="1">
      <c r="B619" s="21"/>
      <c r="C619" s="21" t="str">
        <f>VLOOKUP(B619,Sheet3!$B$2:$E$311,2,FALSE)</f>
        <v>#N/A</v>
      </c>
      <c r="D619" s="21" t="str">
        <f>VLOOKUP(B619,Sheet3!$B$2:$E$311,3,)</f>
        <v>#N/A</v>
      </c>
      <c r="E619" s="21" t="str">
        <f>VLOOKUP(B619,Sheet3!$B$2:$E$311,4,)</f>
        <v>#N/A</v>
      </c>
    </row>
    <row r="620" ht="15.75" customHeight="1">
      <c r="B620" s="21"/>
      <c r="C620" s="21" t="str">
        <f>VLOOKUP(B620,Sheet3!$B$2:$E$311,2,FALSE)</f>
        <v>#N/A</v>
      </c>
      <c r="D620" s="21" t="str">
        <f>VLOOKUP(B620,Sheet3!$B$2:$E$311,3,)</f>
        <v>#N/A</v>
      </c>
      <c r="E620" s="21" t="str">
        <f>VLOOKUP(B620,Sheet3!$B$2:$E$311,4,)</f>
        <v>#N/A</v>
      </c>
    </row>
    <row r="621" ht="15.75" customHeight="1">
      <c r="B621" s="21"/>
      <c r="C621" s="21" t="str">
        <f>VLOOKUP(B621,Sheet3!$B$2:$E$311,2,FALSE)</f>
        <v>#N/A</v>
      </c>
      <c r="D621" s="21" t="str">
        <f>VLOOKUP(B621,Sheet3!$B$2:$E$311,3,)</f>
        <v>#N/A</v>
      </c>
      <c r="E621" s="21" t="str">
        <f>VLOOKUP(B621,Sheet3!$B$2:$E$311,4,)</f>
        <v>#N/A</v>
      </c>
    </row>
    <row r="622" ht="15.75" customHeight="1">
      <c r="B622" s="21"/>
      <c r="C622" s="21" t="str">
        <f>VLOOKUP(B622,Sheet3!$B$2:$E$311,2,FALSE)</f>
        <v>#N/A</v>
      </c>
      <c r="D622" s="21" t="str">
        <f>VLOOKUP(B622,Sheet3!$B$2:$E$311,3,)</f>
        <v>#N/A</v>
      </c>
      <c r="E622" s="21" t="str">
        <f>VLOOKUP(B622,Sheet3!$B$2:$E$311,4,)</f>
        <v>#N/A</v>
      </c>
    </row>
    <row r="623" ht="15.75" customHeight="1">
      <c r="B623" s="21"/>
      <c r="C623" s="21" t="str">
        <f>VLOOKUP(B623,Sheet3!$B$2:$E$311,2,FALSE)</f>
        <v>#N/A</v>
      </c>
      <c r="D623" s="21" t="str">
        <f>VLOOKUP(B623,Sheet3!$B$2:$E$311,3,)</f>
        <v>#N/A</v>
      </c>
      <c r="E623" s="21" t="str">
        <f>VLOOKUP(B623,Sheet3!$B$2:$E$311,4,)</f>
        <v>#N/A</v>
      </c>
    </row>
    <row r="624" ht="15.75" customHeight="1">
      <c r="B624" s="21"/>
      <c r="C624" s="21" t="str">
        <f>VLOOKUP(B624,Sheet3!$B$2:$E$311,2,FALSE)</f>
        <v>#N/A</v>
      </c>
      <c r="D624" s="21" t="str">
        <f>VLOOKUP(B624,Sheet3!$B$2:$E$311,3,)</f>
        <v>#N/A</v>
      </c>
      <c r="E624" s="21" t="str">
        <f>VLOOKUP(B624,Sheet3!$B$2:$E$311,4,)</f>
        <v>#N/A</v>
      </c>
    </row>
    <row r="625" ht="15.75" customHeight="1">
      <c r="B625" s="21"/>
      <c r="C625" s="21" t="str">
        <f>VLOOKUP(B625,Sheet3!$B$2:$E$311,2,FALSE)</f>
        <v>#N/A</v>
      </c>
      <c r="D625" s="21" t="str">
        <f>VLOOKUP(B625,Sheet3!$B$2:$E$311,3,)</f>
        <v>#N/A</v>
      </c>
      <c r="E625" s="21" t="str">
        <f>VLOOKUP(B625,Sheet3!$B$2:$E$311,4,)</f>
        <v>#N/A</v>
      </c>
    </row>
    <row r="626" ht="15.75" customHeight="1">
      <c r="B626" s="21"/>
      <c r="C626" s="21" t="str">
        <f>VLOOKUP(B626,Sheet3!$B$2:$E$311,2,FALSE)</f>
        <v>#N/A</v>
      </c>
      <c r="D626" s="21" t="str">
        <f>VLOOKUP(B626,Sheet3!$B$2:$E$311,3,)</f>
        <v>#N/A</v>
      </c>
      <c r="E626" s="21" t="str">
        <f>VLOOKUP(B626,Sheet3!$B$2:$E$311,4,)</f>
        <v>#N/A</v>
      </c>
    </row>
    <row r="627" ht="15.75" customHeight="1">
      <c r="B627" s="21"/>
      <c r="C627" s="21" t="str">
        <f>VLOOKUP(B627,Sheet3!$B$2:$E$311,2,FALSE)</f>
        <v>#N/A</v>
      </c>
      <c r="D627" s="21" t="str">
        <f>VLOOKUP(B627,Sheet3!$B$2:$E$311,3,)</f>
        <v>#N/A</v>
      </c>
      <c r="E627" s="21" t="str">
        <f>VLOOKUP(B627,Sheet3!$B$2:$E$311,4,)</f>
        <v>#N/A</v>
      </c>
    </row>
    <row r="628" ht="15.75" customHeight="1">
      <c r="B628" s="21"/>
      <c r="C628" s="21" t="str">
        <f>VLOOKUP(B628,Sheet3!$B$2:$E$311,2,FALSE)</f>
        <v>#N/A</v>
      </c>
      <c r="D628" s="21" t="str">
        <f>VLOOKUP(B628,Sheet3!$B$2:$E$311,3,)</f>
        <v>#N/A</v>
      </c>
      <c r="E628" s="21" t="str">
        <f>VLOOKUP(B628,Sheet3!$B$2:$E$311,4,)</f>
        <v>#N/A</v>
      </c>
    </row>
    <row r="629" ht="15.75" customHeight="1">
      <c r="B629" s="21"/>
      <c r="C629" s="21" t="str">
        <f>VLOOKUP(B629,Sheet3!$B$2:$E$311,2,FALSE)</f>
        <v>#N/A</v>
      </c>
      <c r="D629" s="21" t="str">
        <f>VLOOKUP(B629,Sheet3!$B$2:$E$311,3,)</f>
        <v>#N/A</v>
      </c>
      <c r="E629" s="21" t="str">
        <f>VLOOKUP(B629,Sheet3!$B$2:$E$311,4,)</f>
        <v>#N/A</v>
      </c>
    </row>
    <row r="630" ht="15.75" customHeight="1">
      <c r="B630" s="21"/>
      <c r="C630" s="21" t="str">
        <f>VLOOKUP(B630,Sheet3!$B$2:$E$311,2,FALSE)</f>
        <v>#N/A</v>
      </c>
      <c r="D630" s="21" t="str">
        <f>VLOOKUP(B630,Sheet3!$B$2:$E$311,3,)</f>
        <v>#N/A</v>
      </c>
      <c r="E630" s="21" t="str">
        <f>VLOOKUP(B630,Sheet3!$B$2:$E$311,4,)</f>
        <v>#N/A</v>
      </c>
    </row>
    <row r="631" ht="15.75" customHeight="1">
      <c r="B631" s="21"/>
      <c r="C631" s="21" t="str">
        <f>VLOOKUP(B631,Sheet3!$B$2:$E$311,2,FALSE)</f>
        <v>#N/A</v>
      </c>
      <c r="D631" s="21" t="str">
        <f>VLOOKUP(B631,Sheet3!$B$2:$E$311,3,)</f>
        <v>#N/A</v>
      </c>
      <c r="E631" s="21" t="str">
        <f>VLOOKUP(B631,Sheet3!$B$2:$E$311,4,)</f>
        <v>#N/A</v>
      </c>
    </row>
    <row r="632" ht="15.75" customHeight="1">
      <c r="B632" s="21"/>
      <c r="C632" s="21" t="str">
        <f>VLOOKUP(B632,Sheet3!$B$2:$E$311,2,FALSE)</f>
        <v>#N/A</v>
      </c>
      <c r="D632" s="21" t="str">
        <f>VLOOKUP(B632,Sheet3!$B$2:$E$311,3,)</f>
        <v>#N/A</v>
      </c>
      <c r="E632" s="21" t="str">
        <f>VLOOKUP(B632,Sheet3!$B$2:$E$311,4,)</f>
        <v>#N/A</v>
      </c>
    </row>
    <row r="633" ht="15.75" customHeight="1">
      <c r="B633" s="21"/>
      <c r="C633" s="21" t="str">
        <f>VLOOKUP(B633,Sheet3!$B$2:$E$311,2,FALSE)</f>
        <v>#N/A</v>
      </c>
      <c r="D633" s="21" t="str">
        <f>VLOOKUP(B633,Sheet3!$B$2:$E$311,3,)</f>
        <v>#N/A</v>
      </c>
      <c r="E633" s="21" t="str">
        <f>VLOOKUP(B633,Sheet3!$B$2:$E$311,4,)</f>
        <v>#N/A</v>
      </c>
    </row>
    <row r="634" ht="15.75" customHeight="1">
      <c r="B634" s="21"/>
      <c r="C634" s="21" t="str">
        <f>VLOOKUP(B634,Sheet3!$B$2:$E$311,2,FALSE)</f>
        <v>#N/A</v>
      </c>
      <c r="D634" s="21" t="str">
        <f>VLOOKUP(B634,Sheet3!$B$2:$E$311,3,)</f>
        <v>#N/A</v>
      </c>
      <c r="E634" s="21" t="str">
        <f>VLOOKUP(B634,Sheet3!$B$2:$E$311,4,)</f>
        <v>#N/A</v>
      </c>
    </row>
    <row r="635" ht="15.75" customHeight="1">
      <c r="B635" s="21"/>
      <c r="C635" s="21" t="str">
        <f>VLOOKUP(B635,Sheet3!$B$2:$E$311,2,FALSE)</f>
        <v>#N/A</v>
      </c>
      <c r="D635" s="21" t="str">
        <f>VLOOKUP(B635,Sheet3!$B$2:$E$311,3,)</f>
        <v>#N/A</v>
      </c>
      <c r="E635" s="21" t="str">
        <f>VLOOKUP(B635,Sheet3!$B$2:$E$311,4,)</f>
        <v>#N/A</v>
      </c>
    </row>
    <row r="636" ht="15.75" customHeight="1">
      <c r="B636" s="21"/>
      <c r="C636" s="21" t="str">
        <f>VLOOKUP(B636,Sheet3!$B$2:$E$311,2,FALSE)</f>
        <v>#N/A</v>
      </c>
      <c r="D636" s="21" t="str">
        <f>VLOOKUP(B636,Sheet3!$B$2:$E$311,3,)</f>
        <v>#N/A</v>
      </c>
      <c r="E636" s="21" t="str">
        <f>VLOOKUP(B636,Sheet3!$B$2:$E$311,4,)</f>
        <v>#N/A</v>
      </c>
    </row>
    <row r="637" ht="15.75" customHeight="1">
      <c r="B637" s="21"/>
      <c r="C637" s="21" t="str">
        <f>VLOOKUP(B637,Sheet3!$B$2:$E$311,2,FALSE)</f>
        <v>#N/A</v>
      </c>
      <c r="D637" s="21" t="str">
        <f>VLOOKUP(B637,Sheet3!$B$2:$E$311,3,)</f>
        <v>#N/A</v>
      </c>
      <c r="E637" s="21" t="str">
        <f>VLOOKUP(B637,Sheet3!$B$2:$E$311,4,)</f>
        <v>#N/A</v>
      </c>
    </row>
    <row r="638" ht="15.75" customHeight="1">
      <c r="B638" s="21"/>
      <c r="C638" s="21" t="str">
        <f>VLOOKUP(B638,Sheet3!$B$2:$E$311,2,FALSE)</f>
        <v>#N/A</v>
      </c>
      <c r="D638" s="21" t="str">
        <f>VLOOKUP(B638,Sheet3!$B$2:$E$311,3,)</f>
        <v>#N/A</v>
      </c>
      <c r="E638" s="21" t="str">
        <f>VLOOKUP(B638,Sheet3!$B$2:$E$311,4,)</f>
        <v>#N/A</v>
      </c>
    </row>
    <row r="639" ht="15.75" customHeight="1">
      <c r="B639" s="21"/>
      <c r="C639" s="21" t="str">
        <f>VLOOKUP(B639,Sheet3!$B$2:$E$311,2,FALSE)</f>
        <v>#N/A</v>
      </c>
      <c r="D639" s="21" t="str">
        <f>VLOOKUP(B639,Sheet3!$B$2:$E$311,3,)</f>
        <v>#N/A</v>
      </c>
      <c r="E639" s="21" t="str">
        <f>VLOOKUP(B639,Sheet3!$B$2:$E$311,4,)</f>
        <v>#N/A</v>
      </c>
    </row>
    <row r="640" ht="15.75" customHeight="1">
      <c r="B640" s="21"/>
      <c r="C640" s="21" t="str">
        <f>VLOOKUP(B640,Sheet3!$B$2:$E$311,2,FALSE)</f>
        <v>#N/A</v>
      </c>
      <c r="D640" s="21" t="str">
        <f>VLOOKUP(B640,Sheet3!$B$2:$E$311,3,)</f>
        <v>#N/A</v>
      </c>
      <c r="E640" s="21" t="str">
        <f>VLOOKUP(B640,Sheet3!$B$2:$E$311,4,)</f>
        <v>#N/A</v>
      </c>
    </row>
    <row r="641" ht="15.75" customHeight="1">
      <c r="B641" s="21"/>
      <c r="C641" s="21" t="str">
        <f>VLOOKUP(B641,Sheet3!$B$2:$E$311,2,FALSE)</f>
        <v>#N/A</v>
      </c>
      <c r="D641" s="21" t="str">
        <f>VLOOKUP(B641,Sheet3!$B$2:$E$311,3,)</f>
        <v>#N/A</v>
      </c>
      <c r="E641" s="21" t="str">
        <f>VLOOKUP(B641,Sheet3!$B$2:$E$311,4,)</f>
        <v>#N/A</v>
      </c>
    </row>
    <row r="642" ht="15.75" customHeight="1">
      <c r="B642" s="21"/>
      <c r="C642" s="21" t="str">
        <f>VLOOKUP(B642,Sheet3!$B$2:$E$311,2,FALSE)</f>
        <v>#N/A</v>
      </c>
      <c r="D642" s="21" t="str">
        <f>VLOOKUP(B642,Sheet3!$B$2:$E$311,3,)</f>
        <v>#N/A</v>
      </c>
      <c r="E642" s="21" t="str">
        <f>VLOOKUP(B642,Sheet3!$B$2:$E$311,4,)</f>
        <v>#N/A</v>
      </c>
    </row>
    <row r="643" ht="15.75" customHeight="1">
      <c r="B643" s="21"/>
      <c r="C643" s="21" t="str">
        <f>VLOOKUP(B643,Sheet3!$B$2:$E$311,2,FALSE)</f>
        <v>#N/A</v>
      </c>
      <c r="D643" s="21" t="str">
        <f>VLOOKUP(B643,Sheet3!$B$2:$E$311,3,)</f>
        <v>#N/A</v>
      </c>
      <c r="E643" s="21" t="str">
        <f>VLOOKUP(B643,Sheet3!$B$2:$E$311,4,)</f>
        <v>#N/A</v>
      </c>
    </row>
    <row r="644" ht="15.75" customHeight="1">
      <c r="B644" s="21"/>
      <c r="C644" s="21" t="str">
        <f>VLOOKUP(B644,Sheet3!$B$2:$E$311,2,FALSE)</f>
        <v>#N/A</v>
      </c>
      <c r="D644" s="21" t="str">
        <f>VLOOKUP(B644,Sheet3!$B$2:$E$311,3,)</f>
        <v>#N/A</v>
      </c>
      <c r="E644" s="21" t="str">
        <f>VLOOKUP(B644,Sheet3!$B$2:$E$311,4,)</f>
        <v>#N/A</v>
      </c>
    </row>
    <row r="645" ht="15.75" customHeight="1">
      <c r="B645" s="21"/>
      <c r="C645" s="21" t="str">
        <f>VLOOKUP(B645,Sheet3!$B$2:$E$311,2,FALSE)</f>
        <v>#N/A</v>
      </c>
      <c r="D645" s="21" t="str">
        <f>VLOOKUP(B645,Sheet3!$B$2:$E$311,3,)</f>
        <v>#N/A</v>
      </c>
      <c r="E645" s="21" t="str">
        <f>VLOOKUP(B645,Sheet3!$B$2:$E$311,4,)</f>
        <v>#N/A</v>
      </c>
    </row>
    <row r="646" ht="15.75" customHeight="1">
      <c r="B646" s="21"/>
      <c r="C646" s="21" t="str">
        <f>VLOOKUP(B646,Sheet3!$B$2:$E$311,2,FALSE)</f>
        <v>#N/A</v>
      </c>
      <c r="D646" s="21" t="str">
        <f>VLOOKUP(B646,Sheet3!$B$2:$E$311,3,)</f>
        <v>#N/A</v>
      </c>
      <c r="E646" s="21" t="str">
        <f>VLOOKUP(B646,Sheet3!$B$2:$E$311,4,)</f>
        <v>#N/A</v>
      </c>
    </row>
    <row r="647" ht="15.75" customHeight="1">
      <c r="B647" s="21"/>
      <c r="C647" s="21" t="str">
        <f>VLOOKUP(B647,Sheet3!$B$2:$E$311,2,FALSE)</f>
        <v>#N/A</v>
      </c>
      <c r="D647" s="21" t="str">
        <f>VLOOKUP(B647,Sheet3!$B$2:$E$311,3,)</f>
        <v>#N/A</v>
      </c>
      <c r="E647" s="21" t="str">
        <f>VLOOKUP(B647,Sheet3!$B$2:$E$311,4,)</f>
        <v>#N/A</v>
      </c>
    </row>
    <row r="648" ht="15.75" customHeight="1">
      <c r="B648" s="21"/>
      <c r="C648" s="21" t="str">
        <f>VLOOKUP(B648,Sheet3!$B$2:$E$311,2,FALSE)</f>
        <v>#N/A</v>
      </c>
      <c r="D648" s="21" t="str">
        <f>VLOOKUP(B648,Sheet3!$B$2:$E$311,3,)</f>
        <v>#N/A</v>
      </c>
      <c r="E648" s="21" t="str">
        <f>VLOOKUP(B648,Sheet3!$B$2:$E$311,4,)</f>
        <v>#N/A</v>
      </c>
    </row>
    <row r="649" ht="15.75" customHeight="1">
      <c r="B649" s="21"/>
      <c r="C649" s="21" t="str">
        <f>VLOOKUP(B649,Sheet3!$B$2:$E$311,2,FALSE)</f>
        <v>#N/A</v>
      </c>
      <c r="D649" s="21" t="str">
        <f>VLOOKUP(B649,Sheet3!$B$2:$E$311,3,)</f>
        <v>#N/A</v>
      </c>
      <c r="E649" s="21" t="str">
        <f>VLOOKUP(B649,Sheet3!$B$2:$E$311,4,)</f>
        <v>#N/A</v>
      </c>
    </row>
    <row r="650" ht="15.75" customHeight="1">
      <c r="B650" s="21"/>
      <c r="C650" s="21" t="str">
        <f>VLOOKUP(B650,Sheet3!$B$2:$E$311,2,FALSE)</f>
        <v>#N/A</v>
      </c>
      <c r="D650" s="21" t="str">
        <f>VLOOKUP(B650,Sheet3!$B$2:$E$311,3,)</f>
        <v>#N/A</v>
      </c>
      <c r="E650" s="21" t="str">
        <f>VLOOKUP(B650,Sheet3!$B$2:$E$311,4,)</f>
        <v>#N/A</v>
      </c>
    </row>
    <row r="651" ht="15.75" customHeight="1">
      <c r="B651" s="21"/>
      <c r="C651" s="21" t="str">
        <f>VLOOKUP(B651,Sheet3!$B$2:$E$311,2,FALSE)</f>
        <v>#N/A</v>
      </c>
      <c r="D651" s="21" t="str">
        <f>VLOOKUP(B651,Sheet3!$B$2:$E$311,3,)</f>
        <v>#N/A</v>
      </c>
      <c r="E651" s="21" t="str">
        <f>VLOOKUP(B651,Sheet3!$B$2:$E$311,4,)</f>
        <v>#N/A</v>
      </c>
    </row>
    <row r="652" ht="15.75" customHeight="1">
      <c r="B652" s="21"/>
      <c r="C652" s="21" t="str">
        <f>VLOOKUP(B652,Sheet3!$B$2:$E$311,2,FALSE)</f>
        <v>#N/A</v>
      </c>
      <c r="D652" s="21" t="str">
        <f>VLOOKUP(B652,Sheet3!$B$2:$E$311,3,)</f>
        <v>#N/A</v>
      </c>
      <c r="E652" s="21" t="str">
        <f>VLOOKUP(B652,Sheet3!$B$2:$E$311,4,)</f>
        <v>#N/A</v>
      </c>
    </row>
    <row r="653" ht="15.75" customHeight="1">
      <c r="B653" s="21"/>
      <c r="C653" s="21" t="str">
        <f>VLOOKUP(B653,Sheet3!$B$2:$E$311,2,FALSE)</f>
        <v>#N/A</v>
      </c>
      <c r="D653" s="21" t="str">
        <f>VLOOKUP(B653,Sheet3!$B$2:$E$311,3,)</f>
        <v>#N/A</v>
      </c>
      <c r="E653" s="21" t="str">
        <f>VLOOKUP(B653,Sheet3!$B$2:$E$311,4,)</f>
        <v>#N/A</v>
      </c>
    </row>
    <row r="654" ht="15.75" customHeight="1">
      <c r="B654" s="21"/>
      <c r="C654" s="21" t="str">
        <f>VLOOKUP(B654,Sheet3!$B$2:$E$311,2,FALSE)</f>
        <v>#N/A</v>
      </c>
      <c r="D654" s="21" t="str">
        <f>VLOOKUP(B654,Sheet3!$B$2:$E$311,3,)</f>
        <v>#N/A</v>
      </c>
      <c r="E654" s="21" t="str">
        <f>VLOOKUP(B654,Sheet3!$B$2:$E$311,4,)</f>
        <v>#N/A</v>
      </c>
    </row>
    <row r="655" ht="15.75" customHeight="1">
      <c r="B655" s="21"/>
      <c r="C655" s="21" t="str">
        <f>VLOOKUP(B655,Sheet3!$B$2:$E$311,2,FALSE)</f>
        <v>#N/A</v>
      </c>
      <c r="D655" s="21" t="str">
        <f>VLOOKUP(B655,Sheet3!$B$2:$E$311,3,)</f>
        <v>#N/A</v>
      </c>
      <c r="E655" s="21" t="str">
        <f>VLOOKUP(B655,Sheet3!$B$2:$E$311,4,)</f>
        <v>#N/A</v>
      </c>
    </row>
    <row r="656" ht="15.75" customHeight="1">
      <c r="B656" s="21"/>
      <c r="C656" s="21" t="str">
        <f>VLOOKUP(B656,Sheet3!$B$2:$E$311,2,FALSE)</f>
        <v>#N/A</v>
      </c>
      <c r="D656" s="21" t="str">
        <f>VLOOKUP(B656,Sheet3!$B$2:$E$311,3,)</f>
        <v>#N/A</v>
      </c>
      <c r="E656" s="21" t="str">
        <f>VLOOKUP(B656,Sheet3!$B$2:$E$311,4,)</f>
        <v>#N/A</v>
      </c>
    </row>
    <row r="657" ht="15.75" customHeight="1">
      <c r="B657" s="21"/>
      <c r="C657" s="21" t="str">
        <f>VLOOKUP(B657,Sheet3!$B$2:$E$311,2,FALSE)</f>
        <v>#N/A</v>
      </c>
      <c r="D657" s="21" t="str">
        <f>VLOOKUP(B657,Sheet3!$B$2:$E$311,3,)</f>
        <v>#N/A</v>
      </c>
      <c r="E657" s="21" t="str">
        <f>VLOOKUP(B657,Sheet3!$B$2:$E$311,4,)</f>
        <v>#N/A</v>
      </c>
    </row>
    <row r="658" ht="15.75" customHeight="1">
      <c r="B658" s="21"/>
      <c r="C658" s="21" t="str">
        <f>VLOOKUP(B658,Sheet3!$B$2:$E$311,2,FALSE)</f>
        <v>#N/A</v>
      </c>
      <c r="D658" s="21" t="str">
        <f>VLOOKUP(B658,Sheet3!$B$2:$E$311,3,)</f>
        <v>#N/A</v>
      </c>
      <c r="E658" s="21" t="str">
        <f>VLOOKUP(B658,Sheet3!$B$2:$E$311,4,)</f>
        <v>#N/A</v>
      </c>
    </row>
    <row r="659" ht="15.75" customHeight="1">
      <c r="B659" s="21"/>
      <c r="C659" s="21" t="str">
        <f>VLOOKUP(B659,Sheet3!$B$2:$E$311,2,FALSE)</f>
        <v>#N/A</v>
      </c>
      <c r="D659" s="21" t="str">
        <f>VLOOKUP(B659,Sheet3!$B$2:$E$311,3,)</f>
        <v>#N/A</v>
      </c>
      <c r="E659" s="21" t="str">
        <f>VLOOKUP(B659,Sheet3!$B$2:$E$311,4,)</f>
        <v>#N/A</v>
      </c>
    </row>
    <row r="660" ht="15.75" customHeight="1">
      <c r="B660" s="21"/>
      <c r="C660" s="21" t="str">
        <f>VLOOKUP(B660,Sheet3!$B$2:$E$311,2,FALSE)</f>
        <v>#N/A</v>
      </c>
      <c r="D660" s="21" t="str">
        <f>VLOOKUP(B660,Sheet3!$B$2:$E$311,3,)</f>
        <v>#N/A</v>
      </c>
      <c r="E660" s="21" t="str">
        <f>VLOOKUP(B660,Sheet3!$B$2:$E$311,4,)</f>
        <v>#N/A</v>
      </c>
    </row>
    <row r="661" ht="15.75" customHeight="1">
      <c r="B661" s="21"/>
      <c r="C661" s="21" t="str">
        <f>VLOOKUP(B661,Sheet3!$B$2:$E$311,2,FALSE)</f>
        <v>#N/A</v>
      </c>
      <c r="D661" s="21" t="str">
        <f>VLOOKUP(B661,Sheet3!$B$2:$E$311,3,)</f>
        <v>#N/A</v>
      </c>
      <c r="E661" s="21" t="str">
        <f>VLOOKUP(B661,Sheet3!$B$2:$E$311,4,)</f>
        <v>#N/A</v>
      </c>
    </row>
    <row r="662" ht="15.75" customHeight="1">
      <c r="B662" s="21"/>
      <c r="C662" s="21" t="str">
        <f>VLOOKUP(B662,Sheet3!$B$2:$E$311,2,FALSE)</f>
        <v>#N/A</v>
      </c>
      <c r="D662" s="21" t="str">
        <f>VLOOKUP(B662,Sheet3!$B$2:$E$311,3,)</f>
        <v>#N/A</v>
      </c>
      <c r="E662" s="21" t="str">
        <f>VLOOKUP(B662,Sheet3!$B$2:$E$311,4,)</f>
        <v>#N/A</v>
      </c>
    </row>
    <row r="663" ht="15.75" customHeight="1">
      <c r="B663" s="21"/>
      <c r="C663" s="21" t="str">
        <f>VLOOKUP(B663,Sheet3!$B$2:$E$311,2,FALSE)</f>
        <v>#N/A</v>
      </c>
      <c r="D663" s="21" t="str">
        <f>VLOOKUP(B663,Sheet3!$B$2:$E$311,3,)</f>
        <v>#N/A</v>
      </c>
      <c r="E663" s="21" t="str">
        <f>VLOOKUP(B663,Sheet3!$B$2:$E$311,4,)</f>
        <v>#N/A</v>
      </c>
    </row>
    <row r="664" ht="15.75" customHeight="1">
      <c r="B664" s="21"/>
      <c r="C664" s="21" t="str">
        <f>VLOOKUP(B664,Sheet3!$B$2:$E$311,2,FALSE)</f>
        <v>#N/A</v>
      </c>
      <c r="D664" s="21" t="str">
        <f>VLOOKUP(B664,Sheet3!$B$2:$E$311,3,)</f>
        <v>#N/A</v>
      </c>
      <c r="E664" s="21" t="str">
        <f>VLOOKUP(B664,Sheet3!$B$2:$E$311,4,)</f>
        <v>#N/A</v>
      </c>
    </row>
    <row r="665" ht="15.75" customHeight="1">
      <c r="B665" s="21"/>
      <c r="C665" s="21" t="str">
        <f>VLOOKUP(B665,Sheet3!$B$2:$E$311,2,FALSE)</f>
        <v>#N/A</v>
      </c>
      <c r="D665" s="21" t="str">
        <f>VLOOKUP(B665,Sheet3!$B$2:$E$311,3,)</f>
        <v>#N/A</v>
      </c>
      <c r="E665" s="21" t="str">
        <f>VLOOKUP(B665,Sheet3!$B$2:$E$311,4,)</f>
        <v>#N/A</v>
      </c>
    </row>
    <row r="666" ht="15.75" customHeight="1">
      <c r="B666" s="21"/>
      <c r="C666" s="21" t="str">
        <f>VLOOKUP(B666,Sheet3!$B$2:$E$311,2,FALSE)</f>
        <v>#N/A</v>
      </c>
      <c r="D666" s="21" t="str">
        <f>VLOOKUP(B666,Sheet3!$B$2:$E$311,3,)</f>
        <v>#N/A</v>
      </c>
      <c r="E666" s="21" t="str">
        <f>VLOOKUP(B666,Sheet3!$B$2:$E$311,4,)</f>
        <v>#N/A</v>
      </c>
    </row>
    <row r="667" ht="15.75" customHeight="1">
      <c r="B667" s="21"/>
      <c r="C667" s="21" t="str">
        <f>VLOOKUP(B667,Sheet3!$B$2:$E$311,2,FALSE)</f>
        <v>#N/A</v>
      </c>
      <c r="D667" s="21" t="str">
        <f>VLOOKUP(B667,Sheet3!$B$2:$E$311,3,)</f>
        <v>#N/A</v>
      </c>
      <c r="E667" s="21" t="str">
        <f>VLOOKUP(B667,Sheet3!$B$2:$E$311,4,)</f>
        <v>#N/A</v>
      </c>
    </row>
    <row r="668" ht="15.75" customHeight="1">
      <c r="B668" s="21"/>
      <c r="C668" s="21" t="str">
        <f>VLOOKUP(B668,Sheet3!$B$2:$E$311,2,FALSE)</f>
        <v>#N/A</v>
      </c>
      <c r="D668" s="21" t="str">
        <f>VLOOKUP(B668,Sheet3!$B$2:$E$311,3,)</f>
        <v>#N/A</v>
      </c>
      <c r="E668" s="21" t="str">
        <f>VLOOKUP(B668,Sheet3!$B$2:$E$311,4,)</f>
        <v>#N/A</v>
      </c>
    </row>
    <row r="669" ht="15.75" customHeight="1">
      <c r="B669" s="21"/>
      <c r="C669" s="21" t="str">
        <f>VLOOKUP(B669,Sheet3!$B$2:$E$311,2,FALSE)</f>
        <v>#N/A</v>
      </c>
      <c r="D669" s="21" t="str">
        <f>VLOOKUP(B669,Sheet3!$B$2:$E$311,3,)</f>
        <v>#N/A</v>
      </c>
      <c r="E669" s="21" t="str">
        <f>VLOOKUP(B669,Sheet3!$B$2:$E$311,4,)</f>
        <v>#N/A</v>
      </c>
    </row>
    <row r="670" ht="15.75" customHeight="1">
      <c r="B670" s="21"/>
      <c r="C670" s="21" t="str">
        <f>VLOOKUP(B670,Sheet3!$B$2:$E$311,2,FALSE)</f>
        <v>#N/A</v>
      </c>
      <c r="D670" s="21" t="str">
        <f>VLOOKUP(B670,Sheet3!$B$2:$E$311,3,)</f>
        <v>#N/A</v>
      </c>
      <c r="E670" s="21" t="str">
        <f>VLOOKUP(B670,Sheet3!$B$2:$E$311,4,)</f>
        <v>#N/A</v>
      </c>
    </row>
    <row r="671" ht="15.75" customHeight="1">
      <c r="B671" s="21"/>
      <c r="C671" s="21" t="str">
        <f>VLOOKUP(B671,Sheet3!$B$2:$E$311,2,FALSE)</f>
        <v>#N/A</v>
      </c>
      <c r="D671" s="21" t="str">
        <f>VLOOKUP(B671,Sheet3!$B$2:$E$311,3,)</f>
        <v>#N/A</v>
      </c>
      <c r="E671" s="21" t="str">
        <f>VLOOKUP(B671,Sheet3!$B$2:$E$311,4,)</f>
        <v>#N/A</v>
      </c>
    </row>
    <row r="672" ht="15.75" customHeight="1">
      <c r="B672" s="21"/>
      <c r="C672" s="21" t="str">
        <f>VLOOKUP(B672,Sheet3!$B$2:$E$311,2,FALSE)</f>
        <v>#N/A</v>
      </c>
      <c r="D672" s="21" t="str">
        <f>VLOOKUP(B672,Sheet3!$B$2:$E$311,3,)</f>
        <v>#N/A</v>
      </c>
      <c r="E672" s="21" t="str">
        <f>VLOOKUP(B672,Sheet3!$B$2:$E$311,4,)</f>
        <v>#N/A</v>
      </c>
    </row>
    <row r="673" ht="15.75" customHeight="1">
      <c r="B673" s="21"/>
      <c r="C673" s="21" t="str">
        <f>VLOOKUP(B673,Sheet3!$B$2:$E$311,2,FALSE)</f>
        <v>#N/A</v>
      </c>
      <c r="D673" s="21" t="str">
        <f>VLOOKUP(B673,Sheet3!$B$2:$E$311,3,)</f>
        <v>#N/A</v>
      </c>
      <c r="E673" s="21" t="str">
        <f>VLOOKUP(B673,Sheet3!$B$2:$E$311,4,)</f>
        <v>#N/A</v>
      </c>
    </row>
    <row r="674" ht="15.75" customHeight="1">
      <c r="B674" s="21"/>
      <c r="C674" s="21" t="str">
        <f>VLOOKUP(B674,Sheet3!$B$2:$E$311,2,FALSE)</f>
        <v>#N/A</v>
      </c>
      <c r="D674" s="21" t="str">
        <f>VLOOKUP(B674,Sheet3!$B$2:$E$311,3,)</f>
        <v>#N/A</v>
      </c>
      <c r="E674" s="21" t="str">
        <f>VLOOKUP(B674,Sheet3!$B$2:$E$311,4,)</f>
        <v>#N/A</v>
      </c>
    </row>
    <row r="675" ht="15.75" customHeight="1">
      <c r="B675" s="21"/>
      <c r="C675" s="21" t="str">
        <f>VLOOKUP(B675,Sheet3!$B$2:$E$311,2,FALSE)</f>
        <v>#N/A</v>
      </c>
      <c r="D675" s="21" t="str">
        <f>VLOOKUP(B675,Sheet3!$B$2:$E$311,3,)</f>
        <v>#N/A</v>
      </c>
      <c r="E675" s="21" t="str">
        <f>VLOOKUP(B675,Sheet3!$B$2:$E$311,4,)</f>
        <v>#N/A</v>
      </c>
    </row>
    <row r="676" ht="15.75" customHeight="1">
      <c r="B676" s="21"/>
      <c r="C676" s="21" t="str">
        <f>VLOOKUP(B676,Sheet3!$B$2:$E$311,2,FALSE)</f>
        <v>#N/A</v>
      </c>
      <c r="D676" s="21" t="str">
        <f>VLOOKUP(B676,Sheet3!$B$2:$E$311,3,)</f>
        <v>#N/A</v>
      </c>
      <c r="E676" s="21" t="str">
        <f>VLOOKUP(B676,Sheet3!$B$2:$E$311,4,)</f>
        <v>#N/A</v>
      </c>
    </row>
    <row r="677" ht="15.75" customHeight="1">
      <c r="B677" s="21"/>
      <c r="C677" s="21" t="str">
        <f>VLOOKUP(B677,Sheet3!$B$2:$E$311,2,FALSE)</f>
        <v>#N/A</v>
      </c>
      <c r="D677" s="21" t="str">
        <f>VLOOKUP(B677,Sheet3!$B$2:$E$311,3,)</f>
        <v>#N/A</v>
      </c>
      <c r="E677" s="21" t="str">
        <f>VLOOKUP(B677,Sheet3!$B$2:$E$311,4,)</f>
        <v>#N/A</v>
      </c>
    </row>
    <row r="678" ht="15.75" customHeight="1">
      <c r="B678" s="21"/>
      <c r="C678" s="21" t="str">
        <f>VLOOKUP(B678,Sheet3!$B$2:$E$311,2,FALSE)</f>
        <v>#N/A</v>
      </c>
      <c r="D678" s="21" t="str">
        <f>VLOOKUP(B678,Sheet3!$B$2:$E$311,3,)</f>
        <v>#N/A</v>
      </c>
      <c r="E678" s="21" t="str">
        <f>VLOOKUP(B678,Sheet3!$B$2:$E$311,4,)</f>
        <v>#N/A</v>
      </c>
    </row>
    <row r="679" ht="15.75" customHeight="1">
      <c r="B679" s="21"/>
      <c r="C679" s="21" t="str">
        <f>VLOOKUP(B679,Sheet3!$B$2:$E$311,2,FALSE)</f>
        <v>#N/A</v>
      </c>
      <c r="D679" s="21" t="str">
        <f>VLOOKUP(B679,Sheet3!$B$2:$E$311,3,)</f>
        <v>#N/A</v>
      </c>
      <c r="E679" s="21" t="str">
        <f>VLOOKUP(B679,Sheet3!$B$2:$E$311,4,)</f>
        <v>#N/A</v>
      </c>
    </row>
    <row r="680" ht="15.75" customHeight="1">
      <c r="B680" s="21"/>
      <c r="C680" s="21" t="str">
        <f>VLOOKUP(B680,Sheet3!$B$2:$E$311,2,FALSE)</f>
        <v>#N/A</v>
      </c>
      <c r="D680" s="21" t="str">
        <f>VLOOKUP(B680,Sheet3!$B$2:$E$311,3,)</f>
        <v>#N/A</v>
      </c>
      <c r="E680" s="21" t="str">
        <f>VLOOKUP(B680,Sheet3!$B$2:$E$311,4,)</f>
        <v>#N/A</v>
      </c>
    </row>
    <row r="681" ht="15.75" customHeight="1">
      <c r="B681" s="21"/>
      <c r="C681" s="21" t="str">
        <f>VLOOKUP(B681,Sheet3!$B$2:$E$311,2,FALSE)</f>
        <v>#N/A</v>
      </c>
      <c r="D681" s="21" t="str">
        <f>VLOOKUP(B681,Sheet3!$B$2:$E$311,3,)</f>
        <v>#N/A</v>
      </c>
      <c r="E681" s="21" t="str">
        <f>VLOOKUP(B681,Sheet3!$B$2:$E$311,4,)</f>
        <v>#N/A</v>
      </c>
    </row>
    <row r="682" ht="15.75" customHeight="1">
      <c r="B682" s="21"/>
      <c r="C682" s="21" t="str">
        <f>VLOOKUP(B682,Sheet3!$B$2:$E$311,2,FALSE)</f>
        <v>#N/A</v>
      </c>
      <c r="D682" s="21" t="str">
        <f>VLOOKUP(B682,Sheet3!$B$2:$E$311,3,)</f>
        <v>#N/A</v>
      </c>
      <c r="E682" s="21" t="str">
        <f>VLOOKUP(B682,Sheet3!$B$2:$E$311,4,)</f>
        <v>#N/A</v>
      </c>
    </row>
    <row r="683" ht="15.75" customHeight="1">
      <c r="B683" s="21"/>
      <c r="C683" s="21" t="str">
        <f>VLOOKUP(B683,Sheet3!$B$2:$E$311,2,FALSE)</f>
        <v>#N/A</v>
      </c>
      <c r="D683" s="21" t="str">
        <f>VLOOKUP(B683,Sheet3!$B$2:$E$311,3,)</f>
        <v>#N/A</v>
      </c>
      <c r="E683" s="21" t="str">
        <f>VLOOKUP(B683,Sheet3!$B$2:$E$311,4,)</f>
        <v>#N/A</v>
      </c>
    </row>
    <row r="684" ht="15.75" customHeight="1">
      <c r="B684" s="21"/>
      <c r="C684" s="21" t="str">
        <f>VLOOKUP(B684,Sheet3!$B$2:$E$311,2,FALSE)</f>
        <v>#N/A</v>
      </c>
      <c r="D684" s="21" t="str">
        <f>VLOOKUP(B684,Sheet3!$B$2:$E$311,3,)</f>
        <v>#N/A</v>
      </c>
      <c r="E684" s="21" t="str">
        <f>VLOOKUP(B684,Sheet3!$B$2:$E$311,4,)</f>
        <v>#N/A</v>
      </c>
    </row>
    <row r="685" ht="15.75" customHeight="1">
      <c r="B685" s="21"/>
      <c r="C685" s="21" t="str">
        <f>VLOOKUP(B685,Sheet3!$B$2:$E$311,2,FALSE)</f>
        <v>#N/A</v>
      </c>
      <c r="D685" s="21" t="str">
        <f>VLOOKUP(B685,Sheet3!$B$2:$E$311,3,)</f>
        <v>#N/A</v>
      </c>
      <c r="E685" s="21" t="str">
        <f>VLOOKUP(B685,Sheet3!$B$2:$E$311,4,)</f>
        <v>#N/A</v>
      </c>
    </row>
    <row r="686" ht="15.75" customHeight="1">
      <c r="B686" s="21"/>
      <c r="C686" s="21" t="str">
        <f>VLOOKUP(B686,Sheet3!$B$2:$E$311,2,FALSE)</f>
        <v>#N/A</v>
      </c>
      <c r="D686" s="21" t="str">
        <f>VLOOKUP(B686,Sheet3!$B$2:$E$311,3,)</f>
        <v>#N/A</v>
      </c>
      <c r="E686" s="21" t="str">
        <f>VLOOKUP(B686,Sheet3!$B$2:$E$311,4,)</f>
        <v>#N/A</v>
      </c>
    </row>
    <row r="687" ht="15.75" customHeight="1">
      <c r="B687" s="21"/>
      <c r="C687" s="21" t="str">
        <f>VLOOKUP(B687,Sheet3!$B$2:$E$311,2,FALSE)</f>
        <v>#N/A</v>
      </c>
      <c r="D687" s="21" t="str">
        <f>VLOOKUP(B687,Sheet3!$B$2:$E$311,3,)</f>
        <v>#N/A</v>
      </c>
      <c r="E687" s="21" t="str">
        <f>VLOOKUP(B687,Sheet3!$B$2:$E$311,4,)</f>
        <v>#N/A</v>
      </c>
    </row>
    <row r="688" ht="15.75" customHeight="1">
      <c r="B688" s="21"/>
      <c r="C688" s="21" t="str">
        <f>VLOOKUP(B688,Sheet3!$B$2:$E$311,2,FALSE)</f>
        <v>#N/A</v>
      </c>
      <c r="D688" s="21" t="str">
        <f>VLOOKUP(B688,Sheet3!$B$2:$E$311,3,)</f>
        <v>#N/A</v>
      </c>
      <c r="E688" s="21" t="str">
        <f>VLOOKUP(B688,Sheet3!$B$2:$E$311,4,)</f>
        <v>#N/A</v>
      </c>
    </row>
    <row r="689" ht="15.75" customHeight="1">
      <c r="B689" s="21"/>
      <c r="C689" s="21" t="str">
        <f>VLOOKUP(B689,Sheet3!$B$2:$E$311,2,FALSE)</f>
        <v>#N/A</v>
      </c>
      <c r="D689" s="21" t="str">
        <f>VLOOKUP(B689,Sheet3!$B$2:$E$311,3,)</f>
        <v>#N/A</v>
      </c>
      <c r="E689" s="21" t="str">
        <f>VLOOKUP(B689,Sheet3!$B$2:$E$311,4,)</f>
        <v>#N/A</v>
      </c>
    </row>
    <row r="690" ht="15.75" customHeight="1">
      <c r="B690" s="21"/>
      <c r="C690" s="21" t="str">
        <f>VLOOKUP(B690,Sheet3!$B$2:$E$311,2,FALSE)</f>
        <v>#N/A</v>
      </c>
      <c r="D690" s="21" t="str">
        <f>VLOOKUP(B690,Sheet3!$B$2:$E$311,3,)</f>
        <v>#N/A</v>
      </c>
      <c r="E690" s="21" t="str">
        <f>VLOOKUP(B690,Sheet3!$B$2:$E$311,4,)</f>
        <v>#N/A</v>
      </c>
    </row>
    <row r="691" ht="15.75" customHeight="1">
      <c r="B691" s="21"/>
      <c r="C691" s="21" t="str">
        <f>VLOOKUP(B691,Sheet3!$B$2:$E$311,2,FALSE)</f>
        <v>#N/A</v>
      </c>
      <c r="D691" s="21" t="str">
        <f>VLOOKUP(B691,Sheet3!$B$2:$E$311,3,)</f>
        <v>#N/A</v>
      </c>
      <c r="E691" s="21" t="str">
        <f>VLOOKUP(B691,Sheet3!$B$2:$E$311,4,)</f>
        <v>#N/A</v>
      </c>
    </row>
    <row r="692" ht="15.75" customHeight="1">
      <c r="B692" s="21"/>
      <c r="C692" s="21" t="str">
        <f>VLOOKUP(B692,Sheet3!$B$2:$E$311,2,FALSE)</f>
        <v>#N/A</v>
      </c>
      <c r="D692" s="21" t="str">
        <f>VLOOKUP(B692,Sheet3!$B$2:$E$311,3,)</f>
        <v>#N/A</v>
      </c>
      <c r="E692" s="21" t="str">
        <f>VLOOKUP(B692,Sheet3!$B$2:$E$311,4,)</f>
        <v>#N/A</v>
      </c>
    </row>
    <row r="693" ht="15.75" customHeight="1">
      <c r="B693" s="21"/>
      <c r="C693" s="21" t="str">
        <f>VLOOKUP(B693,Sheet3!$B$2:$E$311,2,FALSE)</f>
        <v>#N/A</v>
      </c>
      <c r="D693" s="21" t="str">
        <f>VLOOKUP(B693,Sheet3!$B$2:$E$311,3,)</f>
        <v>#N/A</v>
      </c>
      <c r="E693" s="21" t="str">
        <f>VLOOKUP(B693,Sheet3!$B$2:$E$311,4,)</f>
        <v>#N/A</v>
      </c>
    </row>
    <row r="694" ht="15.75" customHeight="1">
      <c r="B694" s="21"/>
      <c r="C694" s="21" t="str">
        <f>VLOOKUP(B694,Sheet3!$B$2:$E$311,2,FALSE)</f>
        <v>#N/A</v>
      </c>
      <c r="D694" s="21" t="str">
        <f>VLOOKUP(B694,Sheet3!$B$2:$E$311,3,)</f>
        <v>#N/A</v>
      </c>
      <c r="E694" s="21" t="str">
        <f>VLOOKUP(B694,Sheet3!$B$2:$E$311,4,)</f>
        <v>#N/A</v>
      </c>
    </row>
    <row r="695" ht="15.75" customHeight="1">
      <c r="B695" s="21"/>
      <c r="C695" s="21" t="str">
        <f>VLOOKUP(B695,Sheet3!$B$2:$E$311,2,FALSE)</f>
        <v>#N/A</v>
      </c>
      <c r="D695" s="21" t="str">
        <f>VLOOKUP(B695,Sheet3!$B$2:$E$311,3,)</f>
        <v>#N/A</v>
      </c>
      <c r="E695" s="21" t="str">
        <f>VLOOKUP(B695,Sheet3!$B$2:$E$311,4,)</f>
        <v>#N/A</v>
      </c>
    </row>
    <row r="696" ht="15.75" customHeight="1">
      <c r="B696" s="21"/>
      <c r="C696" s="21" t="str">
        <f>VLOOKUP(B696,Sheet3!$B$2:$E$311,2,FALSE)</f>
        <v>#N/A</v>
      </c>
      <c r="D696" s="21" t="str">
        <f>VLOOKUP(B696,Sheet3!$B$2:$E$311,3,)</f>
        <v>#N/A</v>
      </c>
      <c r="E696" s="21" t="str">
        <f>VLOOKUP(B696,Sheet3!$B$2:$E$311,4,)</f>
        <v>#N/A</v>
      </c>
    </row>
    <row r="697" ht="15.75" customHeight="1">
      <c r="B697" s="21"/>
      <c r="C697" s="21" t="str">
        <f>VLOOKUP(B697,Sheet3!$B$2:$E$311,2,FALSE)</f>
        <v>#N/A</v>
      </c>
      <c r="D697" s="21" t="str">
        <f>VLOOKUP(B697,Sheet3!$B$2:$E$311,3,)</f>
        <v>#N/A</v>
      </c>
      <c r="E697" s="21" t="str">
        <f>VLOOKUP(B697,Sheet3!$B$2:$E$311,4,)</f>
        <v>#N/A</v>
      </c>
    </row>
    <row r="698" ht="15.75" customHeight="1">
      <c r="B698" s="21"/>
      <c r="C698" s="21" t="str">
        <f>VLOOKUP(B698,Sheet3!$B$2:$E$311,2,FALSE)</f>
        <v>#N/A</v>
      </c>
      <c r="D698" s="21" t="str">
        <f>VLOOKUP(B698,Sheet3!$B$2:$E$311,3,)</f>
        <v>#N/A</v>
      </c>
      <c r="E698" s="21" t="str">
        <f>VLOOKUP(B698,Sheet3!$B$2:$E$311,4,)</f>
        <v>#N/A</v>
      </c>
    </row>
    <row r="699" ht="15.75" customHeight="1">
      <c r="B699" s="21"/>
      <c r="C699" s="21" t="str">
        <f>VLOOKUP(B699,Sheet3!$B$2:$E$311,2,FALSE)</f>
        <v>#N/A</v>
      </c>
      <c r="D699" s="21" t="str">
        <f>VLOOKUP(B699,Sheet3!$B$2:$E$311,3,)</f>
        <v>#N/A</v>
      </c>
      <c r="E699" s="21" t="str">
        <f>VLOOKUP(B699,Sheet3!$B$2:$E$311,4,)</f>
        <v>#N/A</v>
      </c>
    </row>
    <row r="700" ht="15.75" customHeight="1">
      <c r="B700" s="21"/>
      <c r="C700" s="21" t="str">
        <f>VLOOKUP(B700,Sheet3!$B$2:$E$311,2,FALSE)</f>
        <v>#N/A</v>
      </c>
      <c r="D700" s="21" t="str">
        <f>VLOOKUP(B700,Sheet3!$B$2:$E$311,3,)</f>
        <v>#N/A</v>
      </c>
      <c r="E700" s="21" t="str">
        <f>VLOOKUP(B700,Sheet3!$B$2:$E$311,4,)</f>
        <v>#N/A</v>
      </c>
    </row>
    <row r="701" ht="15.75" customHeight="1">
      <c r="B701" s="21"/>
      <c r="C701" s="21" t="str">
        <f>VLOOKUP(B701,Sheet3!$B$2:$E$311,2,FALSE)</f>
        <v>#N/A</v>
      </c>
      <c r="D701" s="21" t="str">
        <f>VLOOKUP(B701,Sheet3!$B$2:$E$311,3,)</f>
        <v>#N/A</v>
      </c>
      <c r="E701" s="21" t="str">
        <f>VLOOKUP(B701,Sheet3!$B$2:$E$311,4,)</f>
        <v>#N/A</v>
      </c>
    </row>
    <row r="702" ht="15.75" customHeight="1">
      <c r="B702" s="21"/>
      <c r="C702" s="21" t="str">
        <f>VLOOKUP(B702,Sheet3!$B$2:$E$311,2,FALSE)</f>
        <v>#N/A</v>
      </c>
      <c r="D702" s="21" t="str">
        <f>VLOOKUP(B702,Sheet3!$B$2:$E$311,3,)</f>
        <v>#N/A</v>
      </c>
      <c r="E702" s="21" t="str">
        <f>VLOOKUP(B702,Sheet3!$B$2:$E$311,4,)</f>
        <v>#N/A</v>
      </c>
    </row>
    <row r="703" ht="15.75" customHeight="1">
      <c r="B703" s="21"/>
      <c r="C703" s="21" t="str">
        <f>VLOOKUP(B703,Sheet3!$B$2:$E$311,2,FALSE)</f>
        <v>#N/A</v>
      </c>
      <c r="D703" s="21" t="str">
        <f>VLOOKUP(B703,Sheet3!$B$2:$E$311,3,)</f>
        <v>#N/A</v>
      </c>
      <c r="E703" s="21" t="str">
        <f>VLOOKUP(B703,Sheet3!$B$2:$E$311,4,)</f>
        <v>#N/A</v>
      </c>
    </row>
    <row r="704" ht="15.75" customHeight="1">
      <c r="B704" s="21"/>
      <c r="C704" s="21" t="str">
        <f>VLOOKUP(B704,Sheet3!$B$2:$E$311,2,FALSE)</f>
        <v>#N/A</v>
      </c>
      <c r="D704" s="21" t="str">
        <f>VLOOKUP(B704,Sheet3!$B$2:$E$311,3,)</f>
        <v>#N/A</v>
      </c>
      <c r="E704" s="21" t="str">
        <f>VLOOKUP(B704,Sheet3!$B$2:$E$311,4,)</f>
        <v>#N/A</v>
      </c>
    </row>
    <row r="705" ht="15.75" customHeight="1">
      <c r="B705" s="21"/>
      <c r="C705" s="21" t="str">
        <f>VLOOKUP(B705,Sheet3!$B$2:$E$311,2,FALSE)</f>
        <v>#N/A</v>
      </c>
      <c r="D705" s="21" t="str">
        <f>VLOOKUP(B705,Sheet3!$B$2:$E$311,3,)</f>
        <v>#N/A</v>
      </c>
      <c r="E705" s="21" t="str">
        <f>VLOOKUP(B705,Sheet3!$B$2:$E$311,4,)</f>
        <v>#N/A</v>
      </c>
    </row>
    <row r="706" ht="15.75" customHeight="1">
      <c r="B706" s="21"/>
      <c r="C706" s="21" t="str">
        <f>VLOOKUP(B706,Sheet3!$B$2:$E$311,2,FALSE)</f>
        <v>#N/A</v>
      </c>
      <c r="D706" s="21" t="str">
        <f>VLOOKUP(B706,Sheet3!$B$2:$E$311,3,)</f>
        <v>#N/A</v>
      </c>
      <c r="E706" s="21" t="str">
        <f>VLOOKUP(B706,Sheet3!$B$2:$E$311,4,)</f>
        <v>#N/A</v>
      </c>
    </row>
    <row r="707" ht="15.75" customHeight="1">
      <c r="B707" s="21"/>
      <c r="C707" s="21" t="str">
        <f>VLOOKUP(B707,Sheet3!$B$2:$E$311,2,FALSE)</f>
        <v>#N/A</v>
      </c>
      <c r="D707" s="21" t="str">
        <f>VLOOKUP(B707,Sheet3!$B$2:$E$311,3,)</f>
        <v>#N/A</v>
      </c>
      <c r="E707" s="21" t="str">
        <f>VLOOKUP(B707,Sheet3!$B$2:$E$311,4,)</f>
        <v>#N/A</v>
      </c>
    </row>
    <row r="708" ht="15.75" customHeight="1">
      <c r="B708" s="21"/>
      <c r="C708" s="21" t="str">
        <f>VLOOKUP(B708,Sheet3!$B$2:$E$311,2,FALSE)</f>
        <v>#N/A</v>
      </c>
      <c r="D708" s="21" t="str">
        <f>VLOOKUP(B708,Sheet3!$B$2:$E$311,3,)</f>
        <v>#N/A</v>
      </c>
      <c r="E708" s="21" t="str">
        <f>VLOOKUP(B708,Sheet3!$B$2:$E$311,4,)</f>
        <v>#N/A</v>
      </c>
    </row>
    <row r="709" ht="15.75" customHeight="1">
      <c r="B709" s="21"/>
      <c r="C709" s="21" t="str">
        <f>VLOOKUP(B709,Sheet3!$B$2:$E$311,2,FALSE)</f>
        <v>#N/A</v>
      </c>
      <c r="D709" s="21" t="str">
        <f>VLOOKUP(B709,Sheet3!$B$2:$E$311,3,)</f>
        <v>#N/A</v>
      </c>
      <c r="E709" s="21" t="str">
        <f>VLOOKUP(B709,Sheet3!$B$2:$E$311,4,)</f>
        <v>#N/A</v>
      </c>
    </row>
    <row r="710" ht="15.75" customHeight="1">
      <c r="B710" s="21"/>
      <c r="C710" s="21" t="str">
        <f>VLOOKUP(B710,Sheet3!$B$2:$E$311,2,FALSE)</f>
        <v>#N/A</v>
      </c>
      <c r="D710" s="21" t="str">
        <f>VLOOKUP(B710,Sheet3!$B$2:$E$311,3,)</f>
        <v>#N/A</v>
      </c>
      <c r="E710" s="21" t="str">
        <f>VLOOKUP(B710,Sheet3!$B$2:$E$311,4,)</f>
        <v>#N/A</v>
      </c>
    </row>
    <row r="711" ht="15.75" customHeight="1">
      <c r="B711" s="21"/>
      <c r="C711" s="21" t="str">
        <f>VLOOKUP(B711,Sheet3!$B$2:$E$311,2,FALSE)</f>
        <v>#N/A</v>
      </c>
      <c r="D711" s="21" t="str">
        <f>VLOOKUP(B711,Sheet3!$B$2:$E$311,3,)</f>
        <v>#N/A</v>
      </c>
      <c r="E711" s="21" t="str">
        <f>VLOOKUP(B711,Sheet3!$B$2:$E$311,4,)</f>
        <v>#N/A</v>
      </c>
    </row>
    <row r="712" ht="15.75" customHeight="1">
      <c r="B712" s="21"/>
      <c r="C712" s="21" t="str">
        <f>VLOOKUP(B712,Sheet3!$B$2:$E$311,2,FALSE)</f>
        <v>#N/A</v>
      </c>
      <c r="D712" s="21" t="str">
        <f>VLOOKUP(B712,Sheet3!$B$2:$E$311,3,)</f>
        <v>#N/A</v>
      </c>
      <c r="E712" s="21" t="str">
        <f>VLOOKUP(B712,Sheet3!$B$2:$E$311,4,)</f>
        <v>#N/A</v>
      </c>
    </row>
    <row r="713" ht="15.75" customHeight="1">
      <c r="B713" s="21"/>
      <c r="C713" s="21" t="str">
        <f>VLOOKUP(B713,Sheet3!$B$2:$E$311,2,FALSE)</f>
        <v>#N/A</v>
      </c>
      <c r="D713" s="21" t="str">
        <f>VLOOKUP(B713,Sheet3!$B$2:$E$311,3,)</f>
        <v>#N/A</v>
      </c>
      <c r="E713" s="21" t="str">
        <f>VLOOKUP(B713,Sheet3!$B$2:$E$311,4,)</f>
        <v>#N/A</v>
      </c>
    </row>
    <row r="714" ht="15.75" customHeight="1">
      <c r="B714" s="21"/>
      <c r="C714" s="21" t="str">
        <f>VLOOKUP(B714,Sheet3!$B$2:$E$311,2,FALSE)</f>
        <v>#N/A</v>
      </c>
      <c r="D714" s="21" t="str">
        <f>VLOOKUP(B714,Sheet3!$B$2:$E$311,3,)</f>
        <v>#N/A</v>
      </c>
      <c r="E714" s="21" t="str">
        <f>VLOOKUP(B714,Sheet3!$B$2:$E$311,4,)</f>
        <v>#N/A</v>
      </c>
    </row>
    <row r="715" ht="15.75" customHeight="1">
      <c r="B715" s="21"/>
      <c r="C715" s="21" t="str">
        <f>VLOOKUP(B715,Sheet3!$B$2:$E$311,2,FALSE)</f>
        <v>#N/A</v>
      </c>
      <c r="D715" s="21" t="str">
        <f>VLOOKUP(B715,Sheet3!$B$2:$E$311,3,)</f>
        <v>#N/A</v>
      </c>
      <c r="E715" s="21" t="str">
        <f>VLOOKUP(B715,Sheet3!$B$2:$E$311,4,)</f>
        <v>#N/A</v>
      </c>
    </row>
    <row r="716" ht="15.75" customHeight="1">
      <c r="B716" s="21"/>
      <c r="C716" s="21" t="str">
        <f>VLOOKUP(B716,Sheet3!$B$2:$E$311,2,FALSE)</f>
        <v>#N/A</v>
      </c>
      <c r="D716" s="21" t="str">
        <f>VLOOKUP(B716,Sheet3!$B$2:$E$311,3,)</f>
        <v>#N/A</v>
      </c>
      <c r="E716" s="21" t="str">
        <f>VLOOKUP(B716,Sheet3!$B$2:$E$311,4,)</f>
        <v>#N/A</v>
      </c>
    </row>
    <row r="717" ht="15.75" customHeight="1">
      <c r="B717" s="21"/>
      <c r="C717" s="21" t="str">
        <f>VLOOKUP(B717,Sheet3!$B$2:$E$311,2,FALSE)</f>
        <v>#N/A</v>
      </c>
      <c r="D717" s="21" t="str">
        <f>VLOOKUP(B717,Sheet3!$B$2:$E$311,3,)</f>
        <v>#N/A</v>
      </c>
      <c r="E717" s="21" t="str">
        <f>VLOOKUP(B717,Sheet3!$B$2:$E$311,4,)</f>
        <v>#N/A</v>
      </c>
    </row>
    <row r="718" ht="15.75" customHeight="1">
      <c r="B718" s="21"/>
      <c r="C718" s="21" t="str">
        <f>VLOOKUP(B718,Sheet3!$B$2:$E$311,2,FALSE)</f>
        <v>#N/A</v>
      </c>
      <c r="D718" s="21" t="str">
        <f>VLOOKUP(B718,Sheet3!$B$2:$E$311,3,)</f>
        <v>#N/A</v>
      </c>
      <c r="E718" s="21" t="str">
        <f>VLOOKUP(B718,Sheet3!$B$2:$E$311,4,)</f>
        <v>#N/A</v>
      </c>
    </row>
    <row r="719" ht="15.75" customHeight="1">
      <c r="B719" s="21"/>
      <c r="C719" s="21" t="str">
        <f>VLOOKUP(B719,Sheet3!$B$2:$E$311,2,FALSE)</f>
        <v>#N/A</v>
      </c>
      <c r="D719" s="21" t="str">
        <f>VLOOKUP(B719,Sheet3!$B$2:$E$311,3,)</f>
        <v>#N/A</v>
      </c>
      <c r="E719" s="21" t="str">
        <f>VLOOKUP(B719,Sheet3!$B$2:$E$311,4,)</f>
        <v>#N/A</v>
      </c>
    </row>
    <row r="720" ht="15.75" customHeight="1">
      <c r="B720" s="21"/>
      <c r="C720" s="21" t="str">
        <f>VLOOKUP(B720,Sheet3!$B$2:$E$311,2,FALSE)</f>
        <v>#N/A</v>
      </c>
      <c r="D720" s="21" t="str">
        <f>VLOOKUP(B720,Sheet3!$B$2:$E$311,3,)</f>
        <v>#N/A</v>
      </c>
      <c r="E720" s="21" t="str">
        <f>VLOOKUP(B720,Sheet3!$B$2:$E$311,4,)</f>
        <v>#N/A</v>
      </c>
    </row>
    <row r="721" ht="15.75" customHeight="1">
      <c r="B721" s="21"/>
      <c r="C721" s="21" t="str">
        <f>VLOOKUP(B721,Sheet3!$B$2:$E$311,2,FALSE)</f>
        <v>#N/A</v>
      </c>
      <c r="D721" s="21" t="str">
        <f>VLOOKUP(B721,Sheet3!$B$2:$E$311,3,)</f>
        <v>#N/A</v>
      </c>
      <c r="E721" s="21" t="str">
        <f>VLOOKUP(B721,Sheet3!$B$2:$E$311,4,)</f>
        <v>#N/A</v>
      </c>
    </row>
    <row r="722" ht="15.75" customHeight="1">
      <c r="B722" s="21"/>
      <c r="C722" s="21" t="str">
        <f>VLOOKUP(B722,Sheet3!$B$2:$E$311,2,FALSE)</f>
        <v>#N/A</v>
      </c>
      <c r="D722" s="21" t="str">
        <f>VLOOKUP(B722,Sheet3!$B$2:$E$311,3,)</f>
        <v>#N/A</v>
      </c>
      <c r="E722" s="21" t="str">
        <f>VLOOKUP(B722,Sheet3!$B$2:$E$311,4,)</f>
        <v>#N/A</v>
      </c>
    </row>
    <row r="723" ht="15.75" customHeight="1">
      <c r="B723" s="21"/>
      <c r="C723" s="21" t="str">
        <f>VLOOKUP(B723,Sheet3!$B$2:$E$311,2,FALSE)</f>
        <v>#N/A</v>
      </c>
      <c r="D723" s="21" t="str">
        <f>VLOOKUP(B723,Sheet3!$B$2:$E$311,3,)</f>
        <v>#N/A</v>
      </c>
      <c r="E723" s="21" t="str">
        <f>VLOOKUP(B723,Sheet3!$B$2:$E$311,4,)</f>
        <v>#N/A</v>
      </c>
    </row>
    <row r="724" ht="15.75" customHeight="1">
      <c r="B724" s="21"/>
      <c r="C724" s="21" t="str">
        <f>VLOOKUP(B724,Sheet3!$B$2:$E$311,2,FALSE)</f>
        <v>#N/A</v>
      </c>
      <c r="D724" s="21" t="str">
        <f>VLOOKUP(B724,Sheet3!$B$2:$E$311,3,)</f>
        <v>#N/A</v>
      </c>
      <c r="E724" s="21" t="str">
        <f>VLOOKUP(B724,Sheet3!$B$2:$E$311,4,)</f>
        <v>#N/A</v>
      </c>
    </row>
    <row r="725" ht="15.75" customHeight="1">
      <c r="B725" s="21"/>
      <c r="C725" s="21" t="str">
        <f>VLOOKUP(B725,Sheet3!$B$2:$E$311,2,FALSE)</f>
        <v>#N/A</v>
      </c>
      <c r="D725" s="21" t="str">
        <f>VLOOKUP(B725,Sheet3!$B$2:$E$311,3,)</f>
        <v>#N/A</v>
      </c>
      <c r="E725" s="21" t="str">
        <f>VLOOKUP(B725,Sheet3!$B$2:$E$311,4,)</f>
        <v>#N/A</v>
      </c>
    </row>
    <row r="726" ht="15.75" customHeight="1">
      <c r="B726" s="21"/>
      <c r="C726" s="21" t="str">
        <f>VLOOKUP(B726,Sheet3!$B$2:$E$311,2,FALSE)</f>
        <v>#N/A</v>
      </c>
      <c r="D726" s="21" t="str">
        <f>VLOOKUP(B726,Sheet3!$B$2:$E$311,3,)</f>
        <v>#N/A</v>
      </c>
      <c r="E726" s="21" t="str">
        <f>VLOOKUP(B726,Sheet3!$B$2:$E$311,4,)</f>
        <v>#N/A</v>
      </c>
    </row>
    <row r="727" ht="15.75" customHeight="1">
      <c r="B727" s="21"/>
      <c r="C727" s="21" t="str">
        <f>VLOOKUP(B727,Sheet3!$B$2:$E$311,2,FALSE)</f>
        <v>#N/A</v>
      </c>
      <c r="D727" s="21" t="str">
        <f>VLOOKUP(B727,Sheet3!$B$2:$E$311,3,)</f>
        <v>#N/A</v>
      </c>
      <c r="E727" s="21" t="str">
        <f>VLOOKUP(B727,Sheet3!$B$2:$E$311,4,)</f>
        <v>#N/A</v>
      </c>
    </row>
    <row r="728" ht="15.75" customHeight="1">
      <c r="B728" s="21"/>
      <c r="C728" s="21" t="str">
        <f>VLOOKUP(B728,Sheet3!$B$2:$E$311,2,FALSE)</f>
        <v>#N/A</v>
      </c>
      <c r="D728" s="21" t="str">
        <f>VLOOKUP(B728,Sheet3!$B$2:$E$311,3,)</f>
        <v>#N/A</v>
      </c>
      <c r="E728" s="21" t="str">
        <f>VLOOKUP(B728,Sheet3!$B$2:$E$311,4,)</f>
        <v>#N/A</v>
      </c>
    </row>
    <row r="729" ht="15.75" customHeight="1">
      <c r="B729" s="21"/>
      <c r="C729" s="21" t="str">
        <f>VLOOKUP(B729,Sheet3!$B$2:$E$311,2,FALSE)</f>
        <v>#N/A</v>
      </c>
      <c r="D729" s="21" t="str">
        <f>VLOOKUP(B729,Sheet3!$B$2:$E$311,3,)</f>
        <v>#N/A</v>
      </c>
      <c r="E729" s="21" t="str">
        <f>VLOOKUP(B729,Sheet3!$B$2:$E$311,4,)</f>
        <v>#N/A</v>
      </c>
    </row>
    <row r="730" ht="15.75" customHeight="1">
      <c r="B730" s="21"/>
      <c r="C730" s="21" t="str">
        <f>VLOOKUP(B730,Sheet3!$B$2:$E$311,2,FALSE)</f>
        <v>#N/A</v>
      </c>
      <c r="D730" s="21" t="str">
        <f>VLOOKUP(B730,Sheet3!$B$2:$E$311,3,)</f>
        <v>#N/A</v>
      </c>
      <c r="E730" s="21" t="str">
        <f>VLOOKUP(B730,Sheet3!$B$2:$E$311,4,)</f>
        <v>#N/A</v>
      </c>
    </row>
    <row r="731" ht="15.75" customHeight="1">
      <c r="B731" s="21"/>
      <c r="C731" s="21" t="str">
        <f>VLOOKUP(B731,Sheet3!$B$2:$E$311,2,FALSE)</f>
        <v>#N/A</v>
      </c>
      <c r="D731" s="21" t="str">
        <f>VLOOKUP(B731,Sheet3!$B$2:$E$311,3,)</f>
        <v>#N/A</v>
      </c>
      <c r="E731" s="21" t="str">
        <f>VLOOKUP(B731,Sheet3!$B$2:$E$311,4,)</f>
        <v>#N/A</v>
      </c>
    </row>
    <row r="732" ht="15.75" customHeight="1">
      <c r="B732" s="21"/>
      <c r="C732" s="21" t="str">
        <f>VLOOKUP(B732,Sheet3!$B$2:$E$311,2,FALSE)</f>
        <v>#N/A</v>
      </c>
      <c r="D732" s="21" t="str">
        <f>VLOOKUP(B732,Sheet3!$B$2:$E$311,3,)</f>
        <v>#N/A</v>
      </c>
      <c r="E732" s="21" t="str">
        <f>VLOOKUP(B732,Sheet3!$B$2:$E$311,4,)</f>
        <v>#N/A</v>
      </c>
    </row>
    <row r="733" ht="15.75" customHeight="1">
      <c r="B733" s="21"/>
      <c r="C733" s="21" t="str">
        <f>VLOOKUP(B733,Sheet3!$B$2:$E$311,2,FALSE)</f>
        <v>#N/A</v>
      </c>
      <c r="D733" s="21" t="str">
        <f>VLOOKUP(B733,Sheet3!$B$2:$E$311,3,)</f>
        <v>#N/A</v>
      </c>
      <c r="E733" s="21" t="str">
        <f>VLOOKUP(B733,Sheet3!$B$2:$E$311,4,)</f>
        <v>#N/A</v>
      </c>
    </row>
    <row r="734" ht="15.75" customHeight="1">
      <c r="B734" s="21"/>
      <c r="C734" s="21" t="str">
        <f>VLOOKUP(B734,Sheet3!$B$2:$E$311,2,FALSE)</f>
        <v>#N/A</v>
      </c>
      <c r="D734" s="21" t="str">
        <f>VLOOKUP(B734,Sheet3!$B$2:$E$311,3,)</f>
        <v>#N/A</v>
      </c>
      <c r="E734" s="21" t="str">
        <f>VLOOKUP(B734,Sheet3!$B$2:$E$311,4,)</f>
        <v>#N/A</v>
      </c>
    </row>
    <row r="735" ht="15.75" customHeight="1">
      <c r="B735" s="21"/>
      <c r="C735" s="21" t="str">
        <f>VLOOKUP(B735,Sheet3!$B$2:$E$311,2,FALSE)</f>
        <v>#N/A</v>
      </c>
      <c r="D735" s="21" t="str">
        <f>VLOOKUP(B735,Sheet3!$B$2:$E$311,3,)</f>
        <v>#N/A</v>
      </c>
      <c r="E735" s="21" t="str">
        <f>VLOOKUP(B735,Sheet3!$B$2:$E$311,4,)</f>
        <v>#N/A</v>
      </c>
    </row>
    <row r="736" ht="15.75" customHeight="1">
      <c r="B736" s="21"/>
      <c r="C736" s="21" t="str">
        <f>VLOOKUP(B736,Sheet3!$B$2:$E$311,2,FALSE)</f>
        <v>#N/A</v>
      </c>
      <c r="D736" s="21" t="str">
        <f>VLOOKUP(B736,Sheet3!$B$2:$E$311,3,)</f>
        <v>#N/A</v>
      </c>
      <c r="E736" s="21" t="str">
        <f>VLOOKUP(B736,Sheet3!$B$2:$E$311,4,)</f>
        <v>#N/A</v>
      </c>
    </row>
    <row r="737" ht="15.75" customHeight="1">
      <c r="B737" s="21"/>
      <c r="C737" s="21" t="str">
        <f>VLOOKUP(B737,Sheet3!$B$2:$E$311,2,FALSE)</f>
        <v>#N/A</v>
      </c>
      <c r="D737" s="21" t="str">
        <f>VLOOKUP(B737,Sheet3!$B$2:$E$311,3,)</f>
        <v>#N/A</v>
      </c>
      <c r="E737" s="21" t="str">
        <f>VLOOKUP(B737,Sheet3!$B$2:$E$311,4,)</f>
        <v>#N/A</v>
      </c>
    </row>
    <row r="738" ht="15.75" customHeight="1">
      <c r="B738" s="21"/>
      <c r="C738" s="21" t="str">
        <f>VLOOKUP(B738,Sheet3!$B$2:$E$311,2,FALSE)</f>
        <v>#N/A</v>
      </c>
      <c r="D738" s="21" t="str">
        <f>VLOOKUP(B738,Sheet3!$B$2:$E$311,3,)</f>
        <v>#N/A</v>
      </c>
      <c r="E738" s="21" t="str">
        <f>VLOOKUP(B738,Sheet3!$B$2:$E$311,4,)</f>
        <v>#N/A</v>
      </c>
    </row>
    <row r="739" ht="15.75" customHeight="1">
      <c r="B739" s="21"/>
      <c r="C739" s="21" t="str">
        <f>VLOOKUP(B739,Sheet3!$B$2:$E$311,2,FALSE)</f>
        <v>#N/A</v>
      </c>
      <c r="D739" s="21" t="str">
        <f>VLOOKUP(B739,Sheet3!$B$2:$E$311,3,)</f>
        <v>#N/A</v>
      </c>
      <c r="E739" s="21" t="str">
        <f>VLOOKUP(B739,Sheet3!$B$2:$E$311,4,)</f>
        <v>#N/A</v>
      </c>
    </row>
    <row r="740" ht="15.75" customHeight="1">
      <c r="B740" s="21"/>
      <c r="C740" s="21" t="str">
        <f>VLOOKUP(B740,Sheet3!$B$2:$E$311,2,FALSE)</f>
        <v>#N/A</v>
      </c>
      <c r="D740" s="21" t="str">
        <f>VLOOKUP(B740,Sheet3!$B$2:$E$311,3,)</f>
        <v>#N/A</v>
      </c>
      <c r="E740" s="21" t="str">
        <f>VLOOKUP(B740,Sheet3!$B$2:$E$311,4,)</f>
        <v>#N/A</v>
      </c>
    </row>
    <row r="741" ht="15.75" customHeight="1">
      <c r="B741" s="21"/>
      <c r="C741" s="21" t="str">
        <f>VLOOKUP(B741,Sheet3!$B$2:$E$311,2,FALSE)</f>
        <v>#N/A</v>
      </c>
      <c r="D741" s="21" t="str">
        <f>VLOOKUP(B741,Sheet3!$B$2:$E$311,3,)</f>
        <v>#N/A</v>
      </c>
    </row>
    <row r="742" ht="15.75" customHeight="1">
      <c r="B742" s="21"/>
      <c r="C742" s="21" t="str">
        <f>VLOOKUP(B742,Sheet3!$B$2:$E$311,2,FALSE)</f>
        <v>#N/A</v>
      </c>
      <c r="D742" s="21" t="str">
        <f>VLOOKUP(B742,Sheet3!$B$2:$E$311,3,)</f>
        <v>#N/A</v>
      </c>
    </row>
    <row r="743" ht="15.75" customHeight="1">
      <c r="B743" s="21"/>
      <c r="C743" s="21" t="str">
        <f>VLOOKUP(B743,Sheet3!$B$2:$E$311,2,FALSE)</f>
        <v>#N/A</v>
      </c>
      <c r="D743" s="21" t="str">
        <f>VLOOKUP(B743,Sheet3!$B$2:$E$311,3,)</f>
        <v>#N/A</v>
      </c>
    </row>
    <row r="744" ht="15.75" customHeight="1">
      <c r="B744" s="21"/>
      <c r="C744" s="21" t="str">
        <f>VLOOKUP(B744,Sheet3!$B$2:$E$311,2,FALSE)</f>
        <v>#N/A</v>
      </c>
      <c r="D744" s="21" t="str">
        <f>VLOOKUP(B744,Sheet3!$B$2:$E$311,3,)</f>
        <v>#N/A</v>
      </c>
    </row>
    <row r="745" ht="15.75" customHeight="1">
      <c r="B745" s="21"/>
      <c r="C745" s="21" t="str">
        <f>VLOOKUP(B745,Sheet3!$B$2:$E$311,2,FALSE)</f>
        <v>#N/A</v>
      </c>
      <c r="D745" s="21" t="str">
        <f>VLOOKUP(B745,Sheet3!$B$2:$E$311,3,)</f>
        <v>#N/A</v>
      </c>
    </row>
    <row r="746" ht="15.75" customHeight="1">
      <c r="B746" s="21"/>
      <c r="C746" s="21" t="str">
        <f>VLOOKUP(B746,Sheet3!$B$2:$E$311,2,FALSE)</f>
        <v>#N/A</v>
      </c>
      <c r="D746" s="21" t="str">
        <f>VLOOKUP(B746,Sheet3!$B$2:$E$311,3,)</f>
        <v>#N/A</v>
      </c>
    </row>
    <row r="747" ht="15.75" customHeight="1">
      <c r="B747" s="21"/>
      <c r="C747" s="21" t="str">
        <f>VLOOKUP(B747,Sheet3!$B$2:$E$311,2,FALSE)</f>
        <v>#N/A</v>
      </c>
      <c r="D747" s="21" t="str">
        <f>VLOOKUP(B747,Sheet3!$B$2:$E$311,3,)</f>
        <v>#N/A</v>
      </c>
    </row>
    <row r="748" ht="15.75" customHeight="1">
      <c r="B748" s="21"/>
      <c r="C748" s="21" t="str">
        <f>VLOOKUP(B748,Sheet3!$B$2:$E$311,2,FALSE)</f>
        <v>#N/A</v>
      </c>
      <c r="D748" s="21" t="str">
        <f>VLOOKUP(B748,Sheet3!$B$2:$E$311,3,)</f>
        <v>#N/A</v>
      </c>
    </row>
    <row r="749" ht="15.75" customHeight="1">
      <c r="B749" s="21"/>
      <c r="C749" s="21" t="str">
        <f>VLOOKUP(B749,Sheet3!$B$2:$E$311,2,FALSE)</f>
        <v>#N/A</v>
      </c>
    </row>
    <row r="750" ht="15.75" customHeight="1">
      <c r="B750" s="21"/>
      <c r="C750" s="21" t="str">
        <f>VLOOKUP(B750,Sheet3!$B$2:$E$311,2,FALSE)</f>
        <v>#N/A</v>
      </c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>
      <c r="B754" s="21"/>
    </row>
    <row r="755" ht="15.75" customHeight="1">
      <c r="B755" s="21"/>
    </row>
    <row r="756" ht="15.75" customHeight="1">
      <c r="B756" s="21"/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howErrorMessage="1" sqref="B2 B4:B18 B20:B32 B35:B37 B39:B44 B46:B55 B57 B59:B90 B92:B97 B99 B101:B103 B105 B107:B116 B119:B122 B124:B125 B128:B130 B132:B135 B138:B148 B150:B151 B153:B158 B160:B164 B166:B177 B179 B181:B182 B184:B217 B219:B236 B238:B756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6" max="6" width="11.86"/>
    <col customWidth="1" min="7" max="7" width="17.29"/>
    <col customWidth="1" hidden="1" min="9" max="9" width="23.71"/>
  </cols>
  <sheetData>
    <row r="1">
      <c r="A1" s="3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 t="s">
        <v>6</v>
      </c>
      <c r="C6" s="16" t="s">
        <v>7</v>
      </c>
      <c r="D6" s="16" t="s">
        <v>8</v>
      </c>
      <c r="E6" s="16" t="s">
        <v>10</v>
      </c>
      <c r="F6" s="16" t="s">
        <v>9</v>
      </c>
      <c r="G6" s="16" t="s">
        <v>11</v>
      </c>
      <c r="H6" s="16" t="s">
        <v>12</v>
      </c>
      <c r="I6" s="16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3">
        <v>46028.0</v>
      </c>
      <c r="B7" s="18" t="s">
        <v>108</v>
      </c>
      <c r="C7" s="17" t="str">
        <f>IFERROR(VLOOKUP(B7,'MASTER DATA'!$A$1:$E$212,2,FALSE),"")</f>
        <v>BB-100500</v>
      </c>
      <c r="D7" s="17" t="str">
        <f>IFERROR(VLOOKUP(B7,'MASTER DATA'!$A$1:$E$212,5,FALSE),"")</f>
        <v>BAHAN BAKU LUUCA</v>
      </c>
      <c r="E7" s="28" t="s">
        <v>790</v>
      </c>
      <c r="F7" s="17" t="str">
        <f>IFERROR(VLOOKUP(B7,'MASTER DATA'!$A$1:$E$212,4,FALSE),"")</f>
        <v>GR</v>
      </c>
      <c r="G7" s="18" t="s">
        <v>791</v>
      </c>
      <c r="H7" s="18" t="s">
        <v>561</v>
      </c>
      <c r="I7" s="17"/>
      <c r="J7" s="18" t="b">
        <v>1</v>
      </c>
    </row>
    <row r="8">
      <c r="A8" s="43"/>
      <c r="B8" s="18" t="s">
        <v>53</v>
      </c>
      <c r="C8" s="17" t="str">
        <f>IFERROR(VLOOKUP(B8,'MASTER DATA'!$A$1:$E$212,2,FALSE),"")</f>
        <v>BB-100502</v>
      </c>
      <c r="D8" s="17" t="str">
        <f>IFERROR(VLOOKUP(B8,'MASTER DATA'!$A$1:$E$212,5,FALSE),"")</f>
        <v>BAHAN BAKU LUUCA</v>
      </c>
      <c r="E8" s="28">
        <v>98.0</v>
      </c>
      <c r="F8" s="17" t="str">
        <f>IFERROR(VLOOKUP(B8,'MASTER DATA'!$A$1:$E$212,4,FALSE),"")</f>
        <v>GR</v>
      </c>
      <c r="G8" s="18" t="s">
        <v>793</v>
      </c>
      <c r="H8" s="18" t="s">
        <v>561</v>
      </c>
      <c r="I8" s="17"/>
      <c r="J8" s="18" t="b">
        <v>1</v>
      </c>
    </row>
    <row r="9">
      <c r="A9" s="43"/>
      <c r="B9" s="18" t="s">
        <v>108</v>
      </c>
      <c r="C9" s="17" t="str">
        <f>IFERROR(VLOOKUP(B9,'MASTER DATA'!$A$1:$E$212,2,FALSE),"")</f>
        <v>BB-100500</v>
      </c>
      <c r="D9" s="17" t="str">
        <f>IFERROR(VLOOKUP(B9,'MASTER DATA'!$A$1:$E$212,5,FALSE),"")</f>
        <v>BAHAN BAKU LUUCA</v>
      </c>
      <c r="E9" s="28" t="s">
        <v>794</v>
      </c>
      <c r="F9" s="17" t="str">
        <f>IFERROR(VLOOKUP(B9,'MASTER DATA'!$A$1:$E$212,4,FALSE),"")</f>
        <v>GR</v>
      </c>
      <c r="G9" s="18" t="s">
        <v>792</v>
      </c>
      <c r="H9" s="18" t="s">
        <v>561</v>
      </c>
      <c r="I9" s="17"/>
      <c r="J9" s="18" t="b">
        <v>1</v>
      </c>
    </row>
    <row r="10">
      <c r="A10" s="44"/>
      <c r="B10" s="18" t="s">
        <v>33</v>
      </c>
      <c r="C10" s="17" t="str">
        <f>IFERROR(VLOOKUP(B10,'MASTER DATA'!$A$1:$E$212,2,FALSE),"")</f>
        <v>BB-100022</v>
      </c>
      <c r="D10" s="17" t="str">
        <f>IFERROR(VLOOKUP(B10,'MASTER DATA'!$A$1:$E$212,5,FALSE),"")</f>
        <v>BAHAN BAKU LUUCA</v>
      </c>
      <c r="E10" s="28">
        <v>448.0</v>
      </c>
      <c r="F10" s="17" t="str">
        <f>IFERROR(VLOOKUP(B10,'MASTER DATA'!$A$1:$E$212,4,FALSE),"")</f>
        <v>GR</v>
      </c>
      <c r="G10" s="18" t="s">
        <v>703</v>
      </c>
      <c r="H10" s="18" t="s">
        <v>561</v>
      </c>
      <c r="I10" s="17"/>
      <c r="J10" s="18" t="b">
        <v>1</v>
      </c>
    </row>
    <row r="11">
      <c r="A11" s="44"/>
      <c r="B11" s="18" t="s">
        <v>108</v>
      </c>
      <c r="C11" s="17" t="str">
        <f>IFERROR(VLOOKUP(B11,'MASTER DATA'!$A$1:$E$212,2,FALSE),"")</f>
        <v>BB-100500</v>
      </c>
      <c r="D11" s="17" t="str">
        <f>IFERROR(VLOOKUP(B11,'MASTER DATA'!$A$1:$E$212,5,FALSE),"")</f>
        <v>BAHAN BAKU LUUCA</v>
      </c>
      <c r="E11" s="28" t="s">
        <v>634</v>
      </c>
      <c r="F11" s="17" t="str">
        <f>IFERROR(VLOOKUP(B11,'MASTER DATA'!$A$1:$E$212,4,FALSE),"")</f>
        <v>GR</v>
      </c>
      <c r="G11" s="18" t="s">
        <v>792</v>
      </c>
      <c r="H11" s="18" t="s">
        <v>541</v>
      </c>
      <c r="I11" s="17"/>
      <c r="J11" s="18" t="b">
        <v>1</v>
      </c>
    </row>
    <row r="12">
      <c r="A12" s="44"/>
      <c r="B12" s="18" t="s">
        <v>53</v>
      </c>
      <c r="C12" s="17" t="str">
        <f>IFERROR(VLOOKUP(B12,'MASTER DATA'!$A$1:$E$212,2,FALSE),"")</f>
        <v>BB-100502</v>
      </c>
      <c r="D12" s="17" t="str">
        <f>IFERROR(VLOOKUP(B12,'MASTER DATA'!$A$1:$E$212,5,FALSE),"")</f>
        <v>BAHAN BAKU LUUCA</v>
      </c>
      <c r="E12" s="28" t="s">
        <v>795</v>
      </c>
      <c r="F12" s="17" t="str">
        <f>IFERROR(VLOOKUP(B12,'MASTER DATA'!$A$1:$E$212,4,FALSE),"")</f>
        <v>GR</v>
      </c>
      <c r="G12" s="18" t="s">
        <v>796</v>
      </c>
      <c r="H12" s="18" t="s">
        <v>541</v>
      </c>
      <c r="I12" s="17"/>
      <c r="J12" s="18" t="b">
        <v>1</v>
      </c>
    </row>
    <row r="13">
      <c r="A13" s="43">
        <v>46059.0</v>
      </c>
      <c r="B13" s="18" t="s">
        <v>108</v>
      </c>
      <c r="C13" s="17" t="str">
        <f>IFERROR(VLOOKUP(B13,'MASTER DATA'!$A$1:$E$212,2,FALSE),"")</f>
        <v>BB-100500</v>
      </c>
      <c r="D13" s="17" t="str">
        <f>IFERROR(VLOOKUP(B13,'MASTER DATA'!$A$1:$E$212,5,FALSE),"")</f>
        <v>BAHAN BAKU LUUCA</v>
      </c>
      <c r="E13" s="28" t="s">
        <v>642</v>
      </c>
      <c r="F13" s="17" t="str">
        <f>IFERROR(VLOOKUP(B13,'MASTER DATA'!$A$1:$E$212,4,FALSE),"")</f>
        <v>GR</v>
      </c>
      <c r="G13" s="18" t="s">
        <v>797</v>
      </c>
      <c r="H13" s="18" t="s">
        <v>522</v>
      </c>
      <c r="I13" s="17"/>
      <c r="J13" s="18" t="b">
        <v>1</v>
      </c>
    </row>
    <row r="14">
      <c r="A14" s="44"/>
      <c r="B14" s="18" t="s">
        <v>109</v>
      </c>
      <c r="C14" s="17" t="str">
        <f>IFERROR(VLOOKUP(B14,'MASTER DATA'!$A$1:$E$212,2,FALSE),"")</f>
        <v>BB-100501</v>
      </c>
      <c r="D14" s="17" t="str">
        <f>IFERROR(VLOOKUP(B14,'MASTER DATA'!$A$1:$E$212,5,FALSE),"")</f>
        <v>BAHAN BAKU LUUCA</v>
      </c>
      <c r="E14" s="28">
        <v>10.0</v>
      </c>
      <c r="F14" s="17" t="str">
        <f>IFERROR(VLOOKUP(B14,'MASTER DATA'!$A$1:$E$212,4,FALSE),"")</f>
        <v>GR</v>
      </c>
      <c r="G14" s="18" t="s">
        <v>588</v>
      </c>
      <c r="H14" s="18" t="s">
        <v>522</v>
      </c>
      <c r="I14" s="17"/>
      <c r="J14" s="18" t="b">
        <v>1</v>
      </c>
    </row>
    <row r="15">
      <c r="A15" s="44"/>
      <c r="B15" s="18" t="s">
        <v>108</v>
      </c>
      <c r="C15" s="17" t="str">
        <f>IFERROR(VLOOKUP(B15,'MASTER DATA'!$A$1:$E$212,2,FALSE),"")</f>
        <v>BB-100500</v>
      </c>
      <c r="D15" s="17" t="str">
        <f>IFERROR(VLOOKUP(B15,'MASTER DATA'!$A$1:$E$212,5,FALSE),"")</f>
        <v>BAHAN BAKU LUUCA</v>
      </c>
      <c r="E15" s="28" t="s">
        <v>798</v>
      </c>
      <c r="F15" s="17" t="str">
        <f>IFERROR(VLOOKUP(B15,'MASTER DATA'!$A$1:$E$212,4,FALSE),"")</f>
        <v>GR</v>
      </c>
      <c r="G15" s="18" t="s">
        <v>791</v>
      </c>
      <c r="H15" s="18" t="s">
        <v>522</v>
      </c>
      <c r="I15" s="17"/>
      <c r="J15" s="18" t="b">
        <v>1</v>
      </c>
    </row>
    <row r="16">
      <c r="A16" s="44"/>
      <c r="B16" s="18" t="s">
        <v>109</v>
      </c>
      <c r="C16" s="17" t="str">
        <f>IFERROR(VLOOKUP(B16,'MASTER DATA'!$A$1:$E$212,2,FALSE),"")</f>
        <v>BB-100501</v>
      </c>
      <c r="D16" s="17" t="str">
        <f>IFERROR(VLOOKUP(B16,'MASTER DATA'!$A$1:$E$212,5,FALSE),"")</f>
        <v>BAHAN BAKU LUUCA</v>
      </c>
      <c r="E16" s="28" t="s">
        <v>799</v>
      </c>
      <c r="F16" s="17" t="str">
        <f>IFERROR(VLOOKUP(B16,'MASTER DATA'!$A$1:$E$212,4,FALSE),"")</f>
        <v>GR</v>
      </c>
      <c r="G16" s="18" t="s">
        <v>791</v>
      </c>
      <c r="H16" s="18" t="s">
        <v>522</v>
      </c>
      <c r="I16" s="17"/>
      <c r="J16" s="18" t="b">
        <v>1</v>
      </c>
    </row>
    <row r="17">
      <c r="A17" s="43"/>
      <c r="B17" s="18" t="s">
        <v>33</v>
      </c>
      <c r="C17" s="17" t="str">
        <f>IFERROR(VLOOKUP(B17,'MASTER DATA'!$A$1:$E$212,2,FALSE),"")</f>
        <v>BB-100022</v>
      </c>
      <c r="D17" s="17" t="str">
        <f>IFERROR(VLOOKUP(B17,'MASTER DATA'!$A$1:$E$212,5,FALSE),"")</f>
        <v>BAHAN BAKU LUUCA</v>
      </c>
      <c r="E17" s="28">
        <v>647.0</v>
      </c>
      <c r="F17" s="17" t="str">
        <f>IFERROR(VLOOKUP(B17,'MASTER DATA'!$A$1:$E$212,4,FALSE),"")</f>
        <v>GR</v>
      </c>
      <c r="G17" s="18" t="s">
        <v>703</v>
      </c>
      <c r="H17" s="18" t="s">
        <v>522</v>
      </c>
      <c r="I17" s="17"/>
      <c r="J17" s="18" t="b">
        <v>1</v>
      </c>
    </row>
    <row r="18">
      <c r="A18" s="43"/>
      <c r="B18" s="18" t="s">
        <v>179</v>
      </c>
      <c r="C18" s="17" t="str">
        <f>IFERROR(VLOOKUP(B18,'MASTER DATA'!$A$1:$E$212,2,FALSE),"")</f>
        <v>P006-003</v>
      </c>
      <c r="D18" s="17" t="str">
        <f>IFERROR(VLOOKUP(B18,'MASTER DATA'!$A$1:$E$212,5,FALSE),"")</f>
        <v>PRODUKSI STOK LUUCA</v>
      </c>
      <c r="E18" s="28">
        <v>150.0</v>
      </c>
      <c r="F18" s="17" t="str">
        <f>IFERROR(VLOOKUP(B18,'MASTER DATA'!$A$1:$E$212,4,FALSE),"")</f>
        <v>GR</v>
      </c>
      <c r="G18" s="18" t="s">
        <v>532</v>
      </c>
      <c r="H18" s="18" t="s">
        <v>541</v>
      </c>
      <c r="I18" s="17"/>
      <c r="J18" s="18" t="b">
        <v>1</v>
      </c>
    </row>
    <row r="19">
      <c r="A19" s="43"/>
      <c r="B19" s="18" t="s">
        <v>104</v>
      </c>
      <c r="C19" s="17" t="str">
        <f>IFERROR(VLOOKUP(B19,'MASTER DATA'!$A$1:$E$212,2,FALSE),"")</f>
        <v>BB-100345</v>
      </c>
      <c r="D19" s="17" t="str">
        <f>IFERROR(VLOOKUP(B19,'MASTER DATA'!$A$1:$E$212,5,FALSE),"")</f>
        <v>PRODUKSI STOK LUUCA</v>
      </c>
      <c r="E19" s="28" t="s">
        <v>802</v>
      </c>
      <c r="F19" s="17" t="str">
        <f>IFERROR(VLOOKUP(B19,'MASTER DATA'!$A$1:$E$212,4,FALSE),"")</f>
        <v>GR</v>
      </c>
      <c r="G19" s="18" t="s">
        <v>532</v>
      </c>
      <c r="H19" s="18" t="s">
        <v>541</v>
      </c>
      <c r="I19" s="17"/>
      <c r="J19" s="18" t="b">
        <v>1</v>
      </c>
    </row>
    <row r="20">
      <c r="A20" s="43">
        <v>46087.0</v>
      </c>
      <c r="B20" s="18" t="s">
        <v>179</v>
      </c>
      <c r="C20" s="17" t="str">
        <f>IFERROR(VLOOKUP(B20,'MASTER DATA'!$A$1:$E$212,2,FALSE),"")</f>
        <v>P006-003</v>
      </c>
      <c r="D20" s="17" t="str">
        <f>IFERROR(VLOOKUP(B20,'MASTER DATA'!$A$1:$E$212,5,FALSE),"")</f>
        <v>PRODUKSI STOK LUUCA</v>
      </c>
      <c r="E20" s="28">
        <v>2129.0</v>
      </c>
      <c r="F20" s="17" t="str">
        <f>IFERROR(VLOOKUP(B20,'MASTER DATA'!$A$1:$E$212,4,FALSE),"")</f>
        <v>GR</v>
      </c>
      <c r="G20" s="18" t="s">
        <v>370</v>
      </c>
      <c r="H20" s="18" t="s">
        <v>522</v>
      </c>
      <c r="I20" s="17"/>
      <c r="J20" s="18" t="b">
        <v>1</v>
      </c>
    </row>
    <row r="21">
      <c r="A21" s="43"/>
      <c r="B21" s="18" t="s">
        <v>34</v>
      </c>
      <c r="C21" s="17" t="str">
        <f>IFERROR(VLOOKUP(B21,'MASTER DATA'!$A$1:$E$212,2,FALSE),"")</f>
        <v>BB-100023</v>
      </c>
      <c r="D21" s="17" t="str">
        <f>IFERROR(VLOOKUP(B21,'MASTER DATA'!$A$1:$E$212,5,FALSE),"")</f>
        <v>BAHAN BAKU LUUCA</v>
      </c>
      <c r="E21" s="28">
        <v>230.0</v>
      </c>
      <c r="F21" s="17" t="str">
        <f>IFERROR(VLOOKUP(B21,'MASTER DATA'!$A$1:$E$212,4,FALSE),"")</f>
        <v>GR</v>
      </c>
      <c r="G21" s="18" t="s">
        <v>703</v>
      </c>
      <c r="H21" s="18" t="s">
        <v>522</v>
      </c>
      <c r="I21" s="17"/>
      <c r="J21" s="18" t="b">
        <v>1</v>
      </c>
    </row>
    <row r="22">
      <c r="A22" s="47"/>
      <c r="B22" s="18" t="s">
        <v>53</v>
      </c>
      <c r="C22" s="17" t="str">
        <f>IFERROR(VLOOKUP(B22,'MASTER DATA'!$A$1:$E$212,2,FALSE),"")</f>
        <v>BB-100502</v>
      </c>
      <c r="D22" s="17" t="str">
        <f>IFERROR(VLOOKUP(B22,'MASTER DATA'!$A$1:$E$212,5,FALSE),"")</f>
        <v>BAHAN BAKU LUUCA</v>
      </c>
      <c r="E22" s="28" t="s">
        <v>806</v>
      </c>
      <c r="F22" s="17" t="str">
        <f>IFERROR(VLOOKUP(B22,'MASTER DATA'!$A$1:$E$212,4,FALSE),"")</f>
        <v>GR</v>
      </c>
      <c r="G22" s="18" t="s">
        <v>793</v>
      </c>
      <c r="H22" s="18" t="s">
        <v>522</v>
      </c>
      <c r="I22" s="17"/>
      <c r="J22" s="18" t="b">
        <v>1</v>
      </c>
    </row>
    <row r="23">
      <c r="A23" s="43"/>
      <c r="B23" s="18" t="s">
        <v>107</v>
      </c>
      <c r="C23" s="17" t="str">
        <f>IFERROR(VLOOKUP(B23,'MASTER DATA'!$A$1:$E$212,2,FALSE),"")</f>
        <v>BB-100400</v>
      </c>
      <c r="D23" s="17" t="str">
        <f>IFERROR(VLOOKUP(B23,'MASTER DATA'!$A$1:$E$212,5,FALSE),"")</f>
        <v>BAHAN BAKU LUUCA</v>
      </c>
      <c r="E23" s="28">
        <v>18.0</v>
      </c>
      <c r="F23" s="17" t="str">
        <f>IFERROR(VLOOKUP(B23,'MASTER DATA'!$A$1:$E$212,4,FALSE),"")</f>
        <v>GR</v>
      </c>
      <c r="G23" s="18" t="s">
        <v>559</v>
      </c>
      <c r="H23" s="18" t="s">
        <v>522</v>
      </c>
      <c r="I23" s="17"/>
      <c r="J23" s="18" t="b">
        <v>1</v>
      </c>
    </row>
    <row r="24">
      <c r="A24" s="43">
        <v>46118.0</v>
      </c>
      <c r="B24" s="18" t="s">
        <v>34</v>
      </c>
      <c r="C24" s="17" t="str">
        <f>IFERROR(VLOOKUP(B24,'MASTER DATA'!$A$1:$E$212,2,FALSE),"")</f>
        <v>BB-100023</v>
      </c>
      <c r="D24" s="17" t="str">
        <f>IFERROR(VLOOKUP(B24,'MASTER DATA'!$A$1:$E$212,5,FALSE),"")</f>
        <v>BAHAN BAKU LUUCA</v>
      </c>
      <c r="E24" s="28">
        <v>555.0</v>
      </c>
      <c r="F24" s="17" t="str">
        <f>IFERROR(VLOOKUP(B24,'MASTER DATA'!$A$1:$E$212,4,FALSE),"")</f>
        <v>GR</v>
      </c>
      <c r="G24" s="18" t="s">
        <v>703</v>
      </c>
      <c r="H24" s="18" t="s">
        <v>553</v>
      </c>
      <c r="I24" s="17"/>
      <c r="J24" s="18" t="b">
        <v>1</v>
      </c>
    </row>
    <row r="25">
      <c r="A25" s="43">
        <v>46148.0</v>
      </c>
      <c r="B25" s="18" t="s">
        <v>36</v>
      </c>
      <c r="C25" s="17" t="str">
        <f>IFERROR(VLOOKUP(B25,'MASTER DATA'!$A$1:$E$212,2,FALSE),"")</f>
        <v>BB-100024</v>
      </c>
      <c r="D25" s="17" t="str">
        <f>IFERROR(VLOOKUP(B25,'MASTER DATA'!$A$1:$E$212,5,FALSE),"")</f>
        <v>PRODUKSI STOK LUUCA</v>
      </c>
      <c r="E25" s="28">
        <v>1.0</v>
      </c>
      <c r="F25" s="17" t="str">
        <f>IFERROR(VLOOKUP(B25,'MASTER DATA'!$A$1:$E$212,4,FALSE),"")</f>
        <v>PCS</v>
      </c>
      <c r="G25" s="18" t="s">
        <v>813</v>
      </c>
      <c r="H25" s="18" t="s">
        <v>522</v>
      </c>
      <c r="I25" s="17"/>
      <c r="J25" s="18" t="b">
        <v>1</v>
      </c>
    </row>
    <row r="26">
      <c r="A26" s="43"/>
      <c r="B26" s="18" t="s">
        <v>32</v>
      </c>
      <c r="C26" s="17" t="str">
        <f>IFERROR(VLOOKUP(B26,'MASTER DATA'!$A$1:$E$212,2,FALSE),"")</f>
        <v>BB-100021</v>
      </c>
      <c r="D26" s="17" t="str">
        <f>IFERROR(VLOOKUP(B26,'MASTER DATA'!$A$1:$E$212,5,FALSE),"")</f>
        <v>BAHAN BAKU LUUCA</v>
      </c>
      <c r="E26" s="28">
        <v>12.0</v>
      </c>
      <c r="F26" s="17" t="str">
        <f>IFERROR(VLOOKUP(B26,'MASTER DATA'!$A$1:$E$212,4,FALSE),"")</f>
        <v>GR</v>
      </c>
      <c r="G26" s="18" t="s">
        <v>813</v>
      </c>
      <c r="H26" s="18" t="s">
        <v>522</v>
      </c>
      <c r="I26" s="17"/>
      <c r="J26" s="18" t="b">
        <v>1</v>
      </c>
    </row>
    <row r="27">
      <c r="A27" s="43"/>
      <c r="B27" s="18" t="s">
        <v>108</v>
      </c>
      <c r="C27" s="17" t="str">
        <f>IFERROR(VLOOKUP(B27,'MASTER DATA'!$A$1:$E$212,2,FALSE),"")</f>
        <v>BB-100500</v>
      </c>
      <c r="D27" s="17" t="str">
        <f>IFERROR(VLOOKUP(B27,'MASTER DATA'!$A$1:$E$212,5,FALSE),"")</f>
        <v>BAHAN BAKU LUUCA</v>
      </c>
      <c r="E27" s="28" t="s">
        <v>818</v>
      </c>
      <c r="F27" s="17" t="str">
        <f>IFERROR(VLOOKUP(B27,'MASTER DATA'!$A$1:$E$212,4,FALSE),"")</f>
        <v>GR</v>
      </c>
      <c r="G27" s="18" t="s">
        <v>819</v>
      </c>
      <c r="H27" s="18" t="s">
        <v>522</v>
      </c>
      <c r="I27" s="17"/>
      <c r="J27" s="18" t="b">
        <v>1</v>
      </c>
    </row>
    <row r="28">
      <c r="A28" s="43"/>
      <c r="B28" s="18" t="s">
        <v>108</v>
      </c>
      <c r="C28" s="17" t="str">
        <f>IFERROR(VLOOKUP(B28,'MASTER DATA'!$A$1:$E$212,2,FALSE),"")</f>
        <v>BB-100500</v>
      </c>
      <c r="D28" s="17" t="str">
        <f>IFERROR(VLOOKUP(B28,'MASTER DATA'!$A$1:$E$212,5,FALSE),"")</f>
        <v>BAHAN BAKU LUUCA</v>
      </c>
      <c r="E28" s="46">
        <v>3.0</v>
      </c>
      <c r="F28" s="17" t="str">
        <f>IFERROR(VLOOKUP(B28,'MASTER DATA'!$A$1:$E$212,4,FALSE),"")</f>
        <v>GR</v>
      </c>
      <c r="G28" s="18" t="s">
        <v>792</v>
      </c>
      <c r="H28" s="18" t="s">
        <v>553</v>
      </c>
      <c r="I28" s="17"/>
      <c r="J28" s="18" t="b">
        <v>1</v>
      </c>
    </row>
    <row r="29">
      <c r="A29" s="43"/>
      <c r="B29" s="8" t="s">
        <v>280</v>
      </c>
      <c r="C29" s="17" t="str">
        <f>IFERROR(VLOOKUP(B29,'MASTER DATA'!$A$1:$E$212,2,FALSE),"")</f>
        <v>L001-013</v>
      </c>
      <c r="D29" s="17" t="str">
        <f>IFERROR(VLOOKUP(B29,'MASTER DATA'!$A$1:$E$212,5,FALSE),"")</f>
        <v>BAHAN BAKU LUUCA</v>
      </c>
      <c r="E29" s="46">
        <v>1.0</v>
      </c>
      <c r="F29" s="17" t="str">
        <f>IFERROR(VLOOKUP(B29,'MASTER DATA'!$A$1:$E$212,4,FALSE),"")</f>
        <v>PRS</v>
      </c>
      <c r="G29" s="18" t="s">
        <v>825</v>
      </c>
      <c r="H29" s="18" t="s">
        <v>522</v>
      </c>
      <c r="I29" s="17"/>
      <c r="J29" s="18" t="b">
        <v>1</v>
      </c>
    </row>
    <row r="30">
      <c r="A30" s="38"/>
      <c r="B30" s="18" t="s">
        <v>109</v>
      </c>
      <c r="C30" s="17" t="str">
        <f>IFERROR(VLOOKUP(B30,'MASTER DATA'!$A$1:$E$212,2,FALSE),"")</f>
        <v>BB-100501</v>
      </c>
      <c r="D30" s="17" t="str">
        <f>IFERROR(VLOOKUP(B30,'MASTER DATA'!$A$1:$E$212,5,FALSE),"")</f>
        <v>BAHAN BAKU LUUCA</v>
      </c>
      <c r="E30" s="28">
        <v>37.5</v>
      </c>
      <c r="F30" s="17" t="str">
        <f>IFERROR(VLOOKUP(B30,'MASTER DATA'!$A$1:$E$212,4,FALSE),"")</f>
        <v>GR</v>
      </c>
      <c r="G30" s="18" t="s">
        <v>826</v>
      </c>
      <c r="H30" s="18" t="s">
        <v>522</v>
      </c>
      <c r="I30" s="17"/>
      <c r="J30" s="18" t="b">
        <v>1</v>
      </c>
    </row>
    <row r="31">
      <c r="A31" s="43">
        <v>46179.0</v>
      </c>
      <c r="B31" s="18" t="s">
        <v>53</v>
      </c>
      <c r="C31" s="17" t="str">
        <f>IFERROR(VLOOKUP(B31,'MASTER DATA'!$A$1:$E$212,2,FALSE),"")</f>
        <v>BB-100502</v>
      </c>
      <c r="D31" s="17" t="str">
        <f>IFERROR(VLOOKUP(B31,'MASTER DATA'!$A$1:$E$212,5,FALSE),"")</f>
        <v>BAHAN BAKU LUUCA</v>
      </c>
      <c r="E31" s="28">
        <v>73.2</v>
      </c>
      <c r="F31" s="17" t="str">
        <f>IFERROR(VLOOKUP(B31,'MASTER DATA'!$A$1:$E$212,4,FALSE),"")</f>
        <v>GR</v>
      </c>
      <c r="G31" s="18" t="s">
        <v>793</v>
      </c>
      <c r="H31" s="18" t="s">
        <v>828</v>
      </c>
      <c r="I31" s="17"/>
      <c r="J31" s="18" t="b">
        <v>1</v>
      </c>
    </row>
    <row r="32">
      <c r="A32" s="38"/>
      <c r="B32" s="18" t="s">
        <v>53</v>
      </c>
      <c r="C32" s="17" t="str">
        <f>IFERROR(VLOOKUP(B32,'MASTER DATA'!$A$1:$E$212,2,FALSE),"")</f>
        <v>BB-100502</v>
      </c>
      <c r="D32" s="17" t="str">
        <f>IFERROR(VLOOKUP(B32,'MASTER DATA'!$A$1:$E$212,5,FALSE),"")</f>
        <v>BAHAN BAKU LUUCA</v>
      </c>
      <c r="E32" s="28">
        <v>68.0</v>
      </c>
      <c r="F32" s="17" t="str">
        <f>IFERROR(VLOOKUP(B32,'MASTER DATA'!$A$1:$E$212,4,FALSE),"")</f>
        <v>GR</v>
      </c>
      <c r="G32" s="18" t="s">
        <v>496</v>
      </c>
      <c r="H32" s="18" t="s">
        <v>595</v>
      </c>
      <c r="I32" s="17"/>
      <c r="J32" s="18" t="b">
        <v>1</v>
      </c>
    </row>
    <row r="33">
      <c r="A33" s="43"/>
      <c r="B33" s="18" t="s">
        <v>108</v>
      </c>
      <c r="C33" s="17" t="str">
        <f>IFERROR(VLOOKUP(B33,'MASTER DATA'!$A$1:$E$212,2,FALSE),"")</f>
        <v>BB-100500</v>
      </c>
      <c r="D33" s="17" t="str">
        <f>IFERROR(VLOOKUP(B33,'MASTER DATA'!$A$1:$E$212,5,FALSE),"")</f>
        <v>BAHAN BAKU LUUCA</v>
      </c>
      <c r="E33" s="28">
        <v>12.9</v>
      </c>
      <c r="F33" s="17" t="str">
        <f>IFERROR(VLOOKUP(B33,'MASTER DATA'!$A$1:$E$212,4,FALSE),"")</f>
        <v>GR</v>
      </c>
      <c r="G33" s="18" t="s">
        <v>792</v>
      </c>
      <c r="H33" s="18" t="s">
        <v>553</v>
      </c>
      <c r="I33" s="17"/>
      <c r="J33" s="18" t="b">
        <v>1</v>
      </c>
    </row>
    <row r="34">
      <c r="A34" s="43"/>
      <c r="B34" s="18" t="s">
        <v>108</v>
      </c>
      <c r="C34" s="17" t="str">
        <f>IFERROR(VLOOKUP(B34,'MASTER DATA'!$A$1:$E$212,2,FALSE),"")</f>
        <v>BB-100500</v>
      </c>
      <c r="D34" s="17" t="str">
        <f>IFERROR(VLOOKUP(B34,'MASTER DATA'!$A$1:$E$212,5,FALSE),"")</f>
        <v>BAHAN BAKU LUUCA</v>
      </c>
      <c r="E34" s="28">
        <v>39.7</v>
      </c>
      <c r="F34" s="17" t="str">
        <f>IFERROR(VLOOKUP(B34,'MASTER DATA'!$A$1:$E$212,4,FALSE),"")</f>
        <v>GR</v>
      </c>
      <c r="G34" s="18" t="s">
        <v>792</v>
      </c>
      <c r="H34" s="18" t="s">
        <v>553</v>
      </c>
      <c r="I34" s="17"/>
      <c r="J34" s="18" t="b">
        <v>1</v>
      </c>
    </row>
    <row r="35">
      <c r="A35" s="43"/>
      <c r="B35" s="18" t="s">
        <v>33</v>
      </c>
      <c r="C35" s="17" t="str">
        <f>IFERROR(VLOOKUP(B35,'MASTER DATA'!$A$1:$E$212,2,FALSE),"")</f>
        <v>BB-100022</v>
      </c>
      <c r="D35" s="17" t="str">
        <f>IFERROR(VLOOKUP(B35,'MASTER DATA'!$A$1:$E$212,5,FALSE),"")</f>
        <v>BAHAN BAKU LUUCA</v>
      </c>
      <c r="E35" s="28">
        <v>1137.0</v>
      </c>
      <c r="F35" s="17" t="str">
        <f>IFERROR(VLOOKUP(B35,'MASTER DATA'!$A$1:$E$212,4,FALSE),"")</f>
        <v>GR</v>
      </c>
      <c r="G35" s="18" t="s">
        <v>703</v>
      </c>
      <c r="H35" s="18" t="s">
        <v>522</v>
      </c>
      <c r="I35" s="17"/>
      <c r="J35" s="18" t="b">
        <v>1</v>
      </c>
    </row>
    <row r="36">
      <c r="A36" s="43"/>
      <c r="B36" s="18" t="s">
        <v>34</v>
      </c>
      <c r="C36" s="17" t="str">
        <f>IFERROR(VLOOKUP(B36,'MASTER DATA'!$A$1:$E$212,2,FALSE),"")</f>
        <v>BB-100023</v>
      </c>
      <c r="D36" s="17" t="str">
        <f>IFERROR(VLOOKUP(B36,'MASTER DATA'!$A$1:$E$212,5,FALSE),"")</f>
        <v>BAHAN BAKU LUUCA</v>
      </c>
      <c r="E36" s="28">
        <v>1294.0</v>
      </c>
      <c r="F36" s="17" t="str">
        <f>IFERROR(VLOOKUP(B36,'MASTER DATA'!$A$1:$E$212,4,FALSE),"")</f>
        <v>GR</v>
      </c>
      <c r="G36" s="18" t="s">
        <v>703</v>
      </c>
      <c r="H36" s="18" t="s">
        <v>553</v>
      </c>
      <c r="I36" s="17"/>
      <c r="J36" s="18" t="b">
        <v>1</v>
      </c>
    </row>
    <row r="37">
      <c r="A37" s="43">
        <v>46209.0</v>
      </c>
      <c r="B37" s="18" t="s">
        <v>53</v>
      </c>
      <c r="C37" s="17" t="str">
        <f>IFERROR(VLOOKUP(B37,'MASTER DATA'!$A$1:$E$212,2,FALSE),"")</f>
        <v>BB-100502</v>
      </c>
      <c r="D37" s="17" t="str">
        <f>IFERROR(VLOOKUP(B37,'MASTER DATA'!$A$1:$E$212,5,FALSE),"")</f>
        <v>BAHAN BAKU LUUCA</v>
      </c>
      <c r="E37" s="28">
        <v>78.9</v>
      </c>
      <c r="F37" s="17" t="str">
        <f>IFERROR(VLOOKUP(B37,'MASTER DATA'!$A$1:$E$212,4,FALSE),"")</f>
        <v>GR</v>
      </c>
      <c r="G37" s="18" t="s">
        <v>793</v>
      </c>
      <c r="H37" s="18" t="s">
        <v>595</v>
      </c>
      <c r="I37" s="17"/>
      <c r="J37" s="18" t="b">
        <v>1</v>
      </c>
    </row>
    <row r="38">
      <c r="A38" s="43"/>
      <c r="B38" s="18" t="s">
        <v>108</v>
      </c>
      <c r="C38" s="17" t="str">
        <f>IFERROR(VLOOKUP(B38,'MASTER DATA'!$A$1:$E$212,2,FALSE),"")</f>
        <v>BB-100500</v>
      </c>
      <c r="D38" s="17" t="str">
        <f>IFERROR(VLOOKUP(B38,'MASTER DATA'!$A$1:$E$212,5,FALSE),"")</f>
        <v>BAHAN BAKU LUUCA</v>
      </c>
      <c r="E38" s="28">
        <v>15.2</v>
      </c>
      <c r="F38" s="17" t="str">
        <f>IFERROR(VLOOKUP(B38,'MASTER DATA'!$A$1:$E$212,4,FALSE),"")</f>
        <v>GR</v>
      </c>
      <c r="G38" s="18" t="s">
        <v>792</v>
      </c>
      <c r="H38" s="18" t="s">
        <v>553</v>
      </c>
      <c r="I38" s="17"/>
      <c r="J38" s="18" t="b">
        <v>1</v>
      </c>
    </row>
    <row r="39">
      <c r="A39" s="43"/>
      <c r="B39" s="18" t="s">
        <v>33</v>
      </c>
      <c r="C39" s="17" t="str">
        <f>IFERROR(VLOOKUP(B39,'MASTER DATA'!$A$1:$E$212,2,FALSE),"")</f>
        <v>BB-100022</v>
      </c>
      <c r="D39" s="17" t="str">
        <f>IFERROR(VLOOKUP(B39,'MASTER DATA'!$A$1:$E$212,5,FALSE),"")</f>
        <v>BAHAN BAKU LUUCA</v>
      </c>
      <c r="E39" s="28">
        <v>404.7</v>
      </c>
      <c r="F39" s="17" t="str">
        <f>IFERROR(VLOOKUP(B39,'MASTER DATA'!$A$1:$E$212,4,FALSE),"")</f>
        <v>GR</v>
      </c>
      <c r="G39" s="18" t="s">
        <v>703</v>
      </c>
      <c r="H39" s="18" t="s">
        <v>522</v>
      </c>
      <c r="I39" s="17"/>
      <c r="J39" s="18" t="b">
        <v>1</v>
      </c>
    </row>
    <row r="40">
      <c r="A40" s="43">
        <v>46240.0</v>
      </c>
      <c r="B40" s="18" t="s">
        <v>108</v>
      </c>
      <c r="C40" s="17" t="str">
        <f>IFERROR(VLOOKUP(B40,'MASTER DATA'!$A$1:$E$212,2,FALSE),"")</f>
        <v>BB-100500</v>
      </c>
      <c r="D40" s="17" t="str">
        <f>IFERROR(VLOOKUP(B40,'MASTER DATA'!$A$1:$E$212,5,FALSE),"")</f>
        <v>BAHAN BAKU LUUCA</v>
      </c>
      <c r="E40" s="28">
        <v>5.7</v>
      </c>
      <c r="F40" s="17" t="str">
        <f>IFERROR(VLOOKUP(B40,'MASTER DATA'!$A$1:$E$212,4,FALSE),"")</f>
        <v>GR</v>
      </c>
      <c r="G40" s="18" t="s">
        <v>792</v>
      </c>
      <c r="H40" s="18" t="s">
        <v>595</v>
      </c>
      <c r="I40" s="17"/>
      <c r="J40" s="18" t="b">
        <v>1</v>
      </c>
    </row>
    <row r="41">
      <c r="A41" s="43"/>
      <c r="B41" s="18" t="s">
        <v>53</v>
      </c>
      <c r="C41" s="17" t="str">
        <f>IFERROR(VLOOKUP(B41,'MASTER DATA'!$A$1:$E$212,2,FALSE),"")</f>
        <v>BB-100502</v>
      </c>
      <c r="D41" s="17" t="str">
        <f>IFERROR(VLOOKUP(B41,'MASTER DATA'!$A$1:$E$212,5,FALSE),"")</f>
        <v>BAHAN BAKU LUUCA</v>
      </c>
      <c r="E41" s="28" t="s">
        <v>841</v>
      </c>
      <c r="F41" s="17" t="str">
        <f>IFERROR(VLOOKUP(B41,'MASTER DATA'!$A$1:$E$212,4,FALSE),"")</f>
        <v>GR</v>
      </c>
      <c r="G41" s="18" t="s">
        <v>793</v>
      </c>
      <c r="H41" s="18" t="s">
        <v>541</v>
      </c>
      <c r="I41" s="17"/>
      <c r="J41" s="18" t="b">
        <v>1</v>
      </c>
    </row>
    <row r="42">
      <c r="A42" s="43"/>
      <c r="B42" s="18" t="s">
        <v>33</v>
      </c>
      <c r="C42" s="17" t="str">
        <f>IFERROR(VLOOKUP(B42,'MASTER DATA'!$A$1:$E$212,2,FALSE),"")</f>
        <v>BB-100022</v>
      </c>
      <c r="D42" s="17" t="str">
        <f>IFERROR(VLOOKUP(B42,'MASTER DATA'!$A$1:$E$212,5,FALSE),"")</f>
        <v>BAHAN BAKU LUUCA</v>
      </c>
      <c r="E42" s="28">
        <v>1072.0</v>
      </c>
      <c r="F42" s="17" t="str">
        <f>IFERROR(VLOOKUP(B42,'MASTER DATA'!$A$1:$E$212,4,FALSE),"")</f>
        <v>GR</v>
      </c>
      <c r="G42" s="18" t="s">
        <v>703</v>
      </c>
      <c r="H42" s="18" t="s">
        <v>522</v>
      </c>
      <c r="I42" s="17"/>
      <c r="J42" s="18" t="b">
        <v>1</v>
      </c>
    </row>
    <row r="43">
      <c r="A43" s="43">
        <v>46271.0</v>
      </c>
      <c r="B43" s="18" t="s">
        <v>53</v>
      </c>
      <c r="C43" s="17" t="str">
        <f>IFERROR(VLOOKUP(B43,'MASTER DATA'!$A$1:$E$212,2,FALSE),"")</f>
        <v>BB-100502</v>
      </c>
      <c r="D43" s="17" t="str">
        <f>IFERROR(VLOOKUP(B43,'MASTER DATA'!$A$1:$E$212,5,FALSE),"")</f>
        <v>BAHAN BAKU LUUCA</v>
      </c>
      <c r="E43" s="28" t="s">
        <v>846</v>
      </c>
      <c r="F43" s="17" t="str">
        <f>IFERROR(VLOOKUP(B43,'MASTER DATA'!$A$1:$E$212,4,FALSE),"")</f>
        <v>GR</v>
      </c>
      <c r="G43" s="18" t="s">
        <v>793</v>
      </c>
      <c r="H43" s="18" t="s">
        <v>522</v>
      </c>
      <c r="I43" s="17"/>
      <c r="J43" s="18" t="b">
        <v>1</v>
      </c>
    </row>
    <row r="44">
      <c r="A44" s="43"/>
      <c r="B44" s="18" t="s">
        <v>53</v>
      </c>
      <c r="C44" s="17" t="str">
        <f>IFERROR(VLOOKUP(B44,'MASTER DATA'!$A$1:$E$212,2,FALSE),"")</f>
        <v>BB-100502</v>
      </c>
      <c r="D44" s="17" t="str">
        <f>IFERROR(VLOOKUP(B44,'MASTER DATA'!$A$1:$E$212,5,FALSE),"")</f>
        <v>BAHAN BAKU LUUCA</v>
      </c>
      <c r="E44" s="28" t="s">
        <v>851</v>
      </c>
      <c r="F44" s="17" t="str">
        <f>IFERROR(VLOOKUP(B44,'MASTER DATA'!$A$1:$E$212,4,FALSE),"")</f>
        <v>GR</v>
      </c>
      <c r="G44" s="18" t="s">
        <v>793</v>
      </c>
      <c r="H44" s="18" t="s">
        <v>522</v>
      </c>
      <c r="I44" s="17"/>
      <c r="J44" s="18" t="b">
        <v>1</v>
      </c>
    </row>
    <row r="45">
      <c r="A45" s="43"/>
      <c r="B45" s="18" t="s">
        <v>53</v>
      </c>
      <c r="C45" s="17" t="str">
        <f>IFERROR(VLOOKUP(B45,'MASTER DATA'!$A$1:$E$212,2,FALSE),"")</f>
        <v>BB-100502</v>
      </c>
      <c r="D45" s="17" t="str">
        <f>IFERROR(VLOOKUP(B45,'MASTER DATA'!$A$1:$E$212,5,FALSE),"")</f>
        <v>BAHAN BAKU LUUCA</v>
      </c>
      <c r="E45" s="28">
        <v>32.0</v>
      </c>
      <c r="F45" s="17" t="str">
        <f>IFERROR(VLOOKUP(B45,'MASTER DATA'!$A$1:$E$212,4,FALSE),"")</f>
        <v>GR</v>
      </c>
      <c r="G45" s="18" t="s">
        <v>793</v>
      </c>
      <c r="H45" s="18" t="s">
        <v>522</v>
      </c>
      <c r="I45" s="17"/>
      <c r="J45" s="18" t="b">
        <v>1</v>
      </c>
    </row>
    <row r="46">
      <c r="A46" s="43">
        <v>46332.0</v>
      </c>
      <c r="B46" s="18" t="s">
        <v>34</v>
      </c>
      <c r="C46" s="17" t="str">
        <f>IFERROR(VLOOKUP(B46,'MASTER DATA'!$A$1:$E$212,2,FALSE),"")</f>
        <v>BB-100023</v>
      </c>
      <c r="D46" s="17" t="str">
        <f>IFERROR(VLOOKUP(B46,'MASTER DATA'!$A$1:$E$212,5,FALSE),"")</f>
        <v>BAHAN BAKU LUUCA</v>
      </c>
      <c r="E46" s="28">
        <v>343.0</v>
      </c>
      <c r="F46" s="17" t="str">
        <f>IFERROR(VLOOKUP(B46,'MASTER DATA'!$A$1:$E$212,4,FALSE),"")</f>
        <v>GR</v>
      </c>
      <c r="G46" s="18" t="s">
        <v>703</v>
      </c>
      <c r="H46" s="18" t="s">
        <v>561</v>
      </c>
      <c r="I46" s="17"/>
      <c r="J46" s="18" t="b">
        <v>1</v>
      </c>
    </row>
    <row r="47">
      <c r="A47" s="38"/>
      <c r="B47" s="18" t="s">
        <v>108</v>
      </c>
      <c r="C47" s="17" t="str">
        <f>IFERROR(VLOOKUP(B47,'MASTER DATA'!$A$1:$E$212,2,FALSE),"")</f>
        <v>BB-100500</v>
      </c>
      <c r="D47" s="17" t="str">
        <f>IFERROR(VLOOKUP(B47,'MASTER DATA'!$A$1:$E$212,5,FALSE),"")</f>
        <v>BAHAN BAKU LUUCA</v>
      </c>
      <c r="E47" s="28" t="s">
        <v>857</v>
      </c>
      <c r="F47" s="17" t="str">
        <f>IFERROR(VLOOKUP(B47,'MASTER DATA'!$A$1:$E$212,4,FALSE),"")</f>
        <v>GR</v>
      </c>
      <c r="G47" s="18" t="s">
        <v>792</v>
      </c>
      <c r="H47" s="18" t="s">
        <v>553</v>
      </c>
      <c r="I47" s="17"/>
      <c r="J47" s="18" t="b">
        <v>1</v>
      </c>
    </row>
    <row r="48">
      <c r="A48" s="43"/>
      <c r="B48" s="18" t="s">
        <v>53</v>
      </c>
      <c r="C48" s="17" t="str">
        <f>IFERROR(VLOOKUP(B48,'MASTER DATA'!$A$1:$E$212,2,FALSE),"")</f>
        <v>BB-100502</v>
      </c>
      <c r="D48" s="17" t="str">
        <f>IFERROR(VLOOKUP(B48,'MASTER DATA'!$A$1:$E$212,5,FALSE),"")</f>
        <v>BAHAN BAKU LUUCA</v>
      </c>
      <c r="E48" s="28" t="s">
        <v>860</v>
      </c>
      <c r="F48" s="17" t="str">
        <f>IFERROR(VLOOKUP(B48,'MASTER DATA'!$A$1:$E$212,4,FALSE),"")</f>
        <v>GR</v>
      </c>
      <c r="G48" s="18" t="s">
        <v>862</v>
      </c>
      <c r="H48" s="18" t="s">
        <v>541</v>
      </c>
      <c r="I48" s="17"/>
      <c r="J48" s="18" t="b">
        <v>1</v>
      </c>
    </row>
    <row r="49">
      <c r="A49" s="43"/>
      <c r="B49" s="18" t="s">
        <v>108</v>
      </c>
      <c r="C49" s="17" t="str">
        <f>IFERROR(VLOOKUP(B49,'MASTER DATA'!$A$1:$E$212,2,FALSE),"")</f>
        <v>BB-100500</v>
      </c>
      <c r="D49" s="17" t="str">
        <f>IFERROR(VLOOKUP(B49,'MASTER DATA'!$A$1:$E$212,5,FALSE),"")</f>
        <v>BAHAN BAKU LUUCA</v>
      </c>
      <c r="E49" s="28" t="s">
        <v>847</v>
      </c>
      <c r="F49" s="17" t="str">
        <f>IFERROR(VLOOKUP(B49,'MASTER DATA'!$A$1:$E$212,4,FALSE),"")</f>
        <v>GR</v>
      </c>
      <c r="G49" s="18" t="s">
        <v>496</v>
      </c>
      <c r="H49" s="18" t="s">
        <v>864</v>
      </c>
      <c r="I49" s="17"/>
      <c r="J49" s="18" t="b">
        <v>1</v>
      </c>
    </row>
    <row r="50">
      <c r="A50" s="43">
        <v>46362.0</v>
      </c>
      <c r="B50" s="18" t="s">
        <v>108</v>
      </c>
      <c r="C50" s="17" t="str">
        <f>IFERROR(VLOOKUP(B50,'MASTER DATA'!$A$1:$E$212,2,FALSE),"")</f>
        <v>BB-100500</v>
      </c>
      <c r="D50" s="17" t="str">
        <f>IFERROR(VLOOKUP(B50,'MASTER DATA'!$A$1:$E$212,5,FALSE),"")</f>
        <v>BAHAN BAKU LUUCA</v>
      </c>
      <c r="E50" s="28">
        <v>85.0</v>
      </c>
      <c r="F50" s="17" t="str">
        <f>IFERROR(VLOOKUP(B50,'MASTER DATA'!$A$1:$E$212,4,FALSE),"")</f>
        <v>GR</v>
      </c>
      <c r="G50" s="18" t="s">
        <v>496</v>
      </c>
      <c r="H50" s="18" t="s">
        <v>615</v>
      </c>
      <c r="I50" s="17"/>
      <c r="J50" s="18" t="b">
        <v>1</v>
      </c>
    </row>
    <row r="51">
      <c r="A51" s="43"/>
      <c r="B51" s="18" t="s">
        <v>108</v>
      </c>
      <c r="C51" s="17" t="str">
        <f>IFERROR(VLOOKUP(B51,'MASTER DATA'!$A$1:$E$212,2,FALSE),"")</f>
        <v>BB-100500</v>
      </c>
      <c r="D51" s="17" t="str">
        <f>IFERROR(VLOOKUP(B51,'MASTER DATA'!$A$1:$E$212,5,FALSE),"")</f>
        <v>BAHAN BAKU LUUCA</v>
      </c>
      <c r="E51" s="28" t="s">
        <v>868</v>
      </c>
      <c r="F51" s="17" t="str">
        <f>IFERROR(VLOOKUP(B51,'MASTER DATA'!$A$1:$E$212,4,FALSE),"")</f>
        <v>GR</v>
      </c>
      <c r="G51" s="18" t="s">
        <v>496</v>
      </c>
      <c r="H51" s="18" t="s">
        <v>615</v>
      </c>
      <c r="I51" s="17"/>
      <c r="J51" s="18" t="b">
        <v>1</v>
      </c>
    </row>
    <row r="52">
      <c r="A52" s="43"/>
      <c r="B52" s="18" t="s">
        <v>34</v>
      </c>
      <c r="C52" s="17" t="str">
        <f>IFERROR(VLOOKUP(B52,'MASTER DATA'!$A$1:$E$212,2,FALSE),"")</f>
        <v>BB-100023</v>
      </c>
      <c r="D52" s="17" t="str">
        <f>IFERROR(VLOOKUP(B52,'MASTER DATA'!$A$1:$E$212,5,FALSE),"")</f>
        <v>BAHAN BAKU LUUCA</v>
      </c>
      <c r="E52" s="28">
        <v>756.0</v>
      </c>
      <c r="F52" s="17" t="str">
        <f>IFERROR(VLOOKUP(B52,'MASTER DATA'!$A$1:$E$212,4,FALSE),"")</f>
        <v>GR</v>
      </c>
      <c r="G52" s="18" t="s">
        <v>703</v>
      </c>
      <c r="H52" s="18" t="s">
        <v>615</v>
      </c>
      <c r="I52" s="17"/>
      <c r="J52" s="18" t="b">
        <v>1</v>
      </c>
    </row>
    <row r="53">
      <c r="A53" s="43"/>
      <c r="B53" s="18" t="s">
        <v>108</v>
      </c>
      <c r="C53" s="17" t="str">
        <f>IFERROR(VLOOKUP(B53,'MASTER DATA'!$A$1:$E$212,2,FALSE),"")</f>
        <v>BB-100500</v>
      </c>
      <c r="D53" s="17" t="str">
        <f>IFERROR(VLOOKUP(B53,'MASTER DATA'!$A$1:$E$212,5,FALSE),"")</f>
        <v>BAHAN BAKU LUUCA</v>
      </c>
      <c r="E53" s="28" t="s">
        <v>872</v>
      </c>
      <c r="F53" s="17" t="str">
        <f>IFERROR(VLOOKUP(B53,'MASTER DATA'!$A$1:$E$212,4,FALSE),"")</f>
        <v>GR</v>
      </c>
      <c r="G53" s="18" t="s">
        <v>496</v>
      </c>
      <c r="H53" s="18" t="s">
        <v>561</v>
      </c>
      <c r="I53" s="17"/>
      <c r="J53" s="18" t="b">
        <v>1</v>
      </c>
    </row>
    <row r="54">
      <c r="A54" s="43"/>
      <c r="B54" s="18" t="s">
        <v>108</v>
      </c>
      <c r="C54" s="17" t="str">
        <f>IFERROR(VLOOKUP(B54,'MASTER DATA'!$A$1:$E$212,2,FALSE),"")</f>
        <v>BB-100500</v>
      </c>
      <c r="D54" s="17" t="str">
        <f>IFERROR(VLOOKUP(B54,'MASTER DATA'!$A$1:$E$212,5,FALSE),"")</f>
        <v>BAHAN BAKU LUUCA</v>
      </c>
      <c r="E54" s="28">
        <v>12.0</v>
      </c>
      <c r="F54" s="17" t="str">
        <f>IFERROR(VLOOKUP(B54,'MASTER DATA'!$A$1:$E$212,4,FALSE),"")</f>
        <v>GR</v>
      </c>
      <c r="G54" s="18" t="s">
        <v>792</v>
      </c>
      <c r="H54" s="18" t="s">
        <v>561</v>
      </c>
      <c r="I54" s="17"/>
      <c r="J54" s="18" t="b">
        <v>1</v>
      </c>
    </row>
    <row r="55">
      <c r="A55" s="43"/>
      <c r="B55" s="18" t="s">
        <v>33</v>
      </c>
      <c r="C55" s="17" t="str">
        <f>IFERROR(VLOOKUP(B55,'MASTER DATA'!$A$1:$E$212,2,FALSE),"")</f>
        <v>BB-100022</v>
      </c>
      <c r="D55" s="17" t="str">
        <f>IFERROR(VLOOKUP(B55,'MASTER DATA'!$A$1:$E$212,5,FALSE),"")</f>
        <v>BAHAN BAKU LUUCA</v>
      </c>
      <c r="E55" s="28" t="s">
        <v>876</v>
      </c>
      <c r="F55" s="17" t="str">
        <f>IFERROR(VLOOKUP(B55,'MASTER DATA'!$A$1:$E$212,4,FALSE),"")</f>
        <v>GR</v>
      </c>
      <c r="G55" s="18" t="s">
        <v>703</v>
      </c>
      <c r="H55" s="18" t="s">
        <v>561</v>
      </c>
      <c r="I55" s="17"/>
      <c r="J55" s="18" t="b">
        <v>1</v>
      </c>
    </row>
    <row r="56">
      <c r="A56" s="43"/>
      <c r="B56" s="18" t="s">
        <v>34</v>
      </c>
      <c r="C56" s="17" t="str">
        <f>IFERROR(VLOOKUP(B56,'MASTER DATA'!$A$1:$E$212,2,FALSE),"")</f>
        <v>BB-100023</v>
      </c>
      <c r="D56" s="17" t="str">
        <f>IFERROR(VLOOKUP(B56,'MASTER DATA'!$A$1:$E$212,5,FALSE),"")</f>
        <v>BAHAN BAKU LUUCA</v>
      </c>
      <c r="E56" s="28">
        <v>670.0</v>
      </c>
      <c r="F56" s="17" t="str">
        <f>IFERROR(VLOOKUP(B56,'MASTER DATA'!$A$1:$E$212,4,FALSE),"")</f>
        <v>GR</v>
      </c>
      <c r="G56" s="18" t="s">
        <v>703</v>
      </c>
      <c r="H56" s="18" t="s">
        <v>615</v>
      </c>
      <c r="I56" s="17"/>
      <c r="J56" s="18" t="b">
        <v>1</v>
      </c>
    </row>
    <row r="57">
      <c r="A57" s="43"/>
      <c r="B57" s="18" t="s">
        <v>109</v>
      </c>
      <c r="C57" s="17" t="str">
        <f>IFERROR(VLOOKUP(B57,'MASTER DATA'!$A$1:$E$212,2,FALSE),"")</f>
        <v>BB-100501</v>
      </c>
      <c r="D57" s="17" t="str">
        <f>IFERROR(VLOOKUP(B57,'MASTER DATA'!$A$1:$E$212,5,FALSE),"")</f>
        <v>BAHAN BAKU LUUCA</v>
      </c>
      <c r="E57" s="46" t="s">
        <v>879</v>
      </c>
      <c r="F57" s="17" t="str">
        <f>IFERROR(VLOOKUP(B57,'MASTER DATA'!$A$1:$E$212,4,FALSE),"")</f>
        <v>GR</v>
      </c>
      <c r="G57" s="18" t="s">
        <v>496</v>
      </c>
      <c r="H57" s="18" t="s">
        <v>561</v>
      </c>
      <c r="I57" s="17"/>
      <c r="J57" s="18" t="b">
        <v>1</v>
      </c>
    </row>
    <row r="58">
      <c r="A58" s="43"/>
      <c r="B58" s="18" t="s">
        <v>30</v>
      </c>
      <c r="C58" s="17" t="str">
        <f>IFERROR(VLOOKUP(B58,'MASTER DATA'!$A$1:$E$212,2,FALSE),"")</f>
        <v/>
      </c>
      <c r="D58" s="17" t="str">
        <f>IFERROR(VLOOKUP(B58,'MASTER DATA'!$A$1:$E$212,5,FALSE),"")</f>
        <v/>
      </c>
      <c r="E58" s="28">
        <v>7.0</v>
      </c>
      <c r="F58" s="17" t="str">
        <f>IFERROR(VLOOKUP(B58,'MASTER DATA'!$A$1:$E$212,4,FALSE),"")</f>
        <v/>
      </c>
      <c r="G58" s="18" t="s">
        <v>528</v>
      </c>
      <c r="H58" s="18" t="s">
        <v>561</v>
      </c>
      <c r="I58" s="17"/>
      <c r="J58" s="18" t="b">
        <v>1</v>
      </c>
    </row>
    <row r="59">
      <c r="A59" s="43"/>
      <c r="B59" s="18" t="s">
        <v>65</v>
      </c>
      <c r="C59" s="17" t="str">
        <f>IFERROR(VLOOKUP(B59,'MASTER DATA'!$A$1:$E$212,2,FALSE),"")</f>
        <v>BB-100136</v>
      </c>
      <c r="D59" s="17" t="str">
        <f>IFERROR(VLOOKUP(B59,'MASTER DATA'!$A$1:$E$212,5,FALSE),"")</f>
        <v>BAHAN BAKU LUUCA</v>
      </c>
      <c r="E59" s="28">
        <v>3.0</v>
      </c>
      <c r="F59" s="17" t="str">
        <f>IFERROR(VLOOKUP(B59,'MASTER DATA'!$A$1:$E$212,4,FALSE),"")</f>
        <v>PCS</v>
      </c>
      <c r="G59" s="18" t="s">
        <v>882</v>
      </c>
      <c r="H59" s="18" t="s">
        <v>522</v>
      </c>
      <c r="I59" s="17"/>
      <c r="J59" s="18" t="b">
        <v>1</v>
      </c>
    </row>
    <row r="60">
      <c r="A60" s="43"/>
      <c r="B60" s="18" t="s">
        <v>100</v>
      </c>
      <c r="C60" s="17" t="str">
        <f>IFERROR(VLOOKUP(B60,'MASTER DATA'!$A$1:$E$212,2,FALSE),"")</f>
        <v>BB-100340</v>
      </c>
      <c r="D60" s="17" t="str">
        <f>IFERROR(VLOOKUP(B60,'MASTER DATA'!$A$1:$E$212,5,FALSE),"")</f>
        <v>PRODUKSI STOK LUUCA</v>
      </c>
      <c r="E60" s="28">
        <v>3.0</v>
      </c>
      <c r="F60" s="17" t="str">
        <f>IFERROR(VLOOKUP(B60,'MASTER DATA'!$A$1:$E$212,4,FALSE),"")</f>
        <v>PCS</v>
      </c>
      <c r="G60" s="18" t="s">
        <v>882</v>
      </c>
      <c r="H60" s="18" t="s">
        <v>522</v>
      </c>
      <c r="I60" s="17"/>
      <c r="J60" s="18" t="b">
        <v>1</v>
      </c>
    </row>
    <row r="61">
      <c r="A61" s="43"/>
      <c r="B61" s="18" t="s">
        <v>45</v>
      </c>
      <c r="C61" s="17" t="str">
        <f>IFERROR(VLOOKUP(B61,'MASTER DATA'!$A$1:$E$212,2,FALSE),"")</f>
        <v>BB-100030</v>
      </c>
      <c r="D61" s="17" t="str">
        <f>IFERROR(VLOOKUP(B61,'MASTER DATA'!$A$1:$E$212,5,FALSE),"")</f>
        <v>BAHAN BAKU LUUCA</v>
      </c>
      <c r="E61" s="28">
        <v>3.0</v>
      </c>
      <c r="F61" s="17" t="str">
        <f>IFERROR(VLOOKUP(B61,'MASTER DATA'!$A$1:$E$212,4,FALSE),"")</f>
        <v>PCS</v>
      </c>
      <c r="G61" s="18" t="s">
        <v>882</v>
      </c>
      <c r="H61" s="18" t="s">
        <v>522</v>
      </c>
      <c r="I61" s="17"/>
      <c r="J61" s="18" t="b">
        <v>1</v>
      </c>
    </row>
    <row r="62">
      <c r="A62" s="43">
        <v>46186.0</v>
      </c>
      <c r="B62" s="18" t="s">
        <v>108</v>
      </c>
      <c r="C62" s="17" t="str">
        <f>IFERROR(VLOOKUP(B62,'MASTER DATA'!$A$1:$E$212,2,FALSE),"")</f>
        <v>BB-100500</v>
      </c>
      <c r="D62" s="17" t="str">
        <f>IFERROR(VLOOKUP(B62,'MASTER DATA'!$A$1:$E$212,5,FALSE),"")</f>
        <v>BAHAN BAKU LUUCA</v>
      </c>
      <c r="E62" s="28">
        <v>20.0</v>
      </c>
      <c r="F62" s="17" t="str">
        <f>IFERROR(VLOOKUP(B62,'MASTER DATA'!$A$1:$E$212,4,FALSE),"")</f>
        <v>GR</v>
      </c>
      <c r="G62" s="18" t="s">
        <v>797</v>
      </c>
      <c r="H62" s="18" t="s">
        <v>541</v>
      </c>
      <c r="I62" s="17"/>
      <c r="J62" s="18" t="b">
        <v>1</v>
      </c>
    </row>
    <row r="63">
      <c r="A63" s="43"/>
      <c r="B63" s="18" t="s">
        <v>109</v>
      </c>
      <c r="C63" s="17" t="str">
        <f>IFERROR(VLOOKUP(B63,'MASTER DATA'!$A$1:$E$212,2,FALSE),"")</f>
        <v>BB-100501</v>
      </c>
      <c r="D63" s="17" t="str">
        <f>IFERROR(VLOOKUP(B63,'MASTER DATA'!$A$1:$E$212,5,FALSE),"")</f>
        <v>BAHAN BAKU LUUCA</v>
      </c>
      <c r="E63" s="28">
        <v>15.0</v>
      </c>
      <c r="F63" s="17" t="str">
        <f>IFERROR(VLOOKUP(B63,'MASTER DATA'!$A$1:$E$212,4,FALSE),"")</f>
        <v>GR</v>
      </c>
      <c r="G63" s="18" t="s">
        <v>588</v>
      </c>
      <c r="H63" s="18" t="s">
        <v>541</v>
      </c>
      <c r="I63" s="17"/>
      <c r="J63" s="18" t="b">
        <v>1</v>
      </c>
    </row>
    <row r="64">
      <c r="A64" s="43"/>
      <c r="B64" s="18" t="s">
        <v>109</v>
      </c>
      <c r="C64" s="17" t="str">
        <f>IFERROR(VLOOKUP(B64,'MASTER DATA'!$A$1:$E$212,2,FALSE),"")</f>
        <v>BB-100501</v>
      </c>
      <c r="D64" s="17" t="str">
        <f>IFERROR(VLOOKUP(B64,'MASTER DATA'!$A$1:$E$212,5,FALSE),"")</f>
        <v>BAHAN BAKU LUUCA</v>
      </c>
      <c r="E64" s="28" t="s">
        <v>890</v>
      </c>
      <c r="F64" s="17" t="str">
        <f>IFERROR(VLOOKUP(B64,'MASTER DATA'!$A$1:$E$212,4,FALSE),"")</f>
        <v>GR</v>
      </c>
      <c r="G64" s="18" t="s">
        <v>496</v>
      </c>
      <c r="H64" s="18" t="s">
        <v>541</v>
      </c>
      <c r="I64" s="17"/>
      <c r="J64" s="18" t="b">
        <v>1</v>
      </c>
    </row>
    <row r="65">
      <c r="A65" s="43"/>
      <c r="B65" s="18" t="s">
        <v>34</v>
      </c>
      <c r="C65" s="17" t="str">
        <f>IFERROR(VLOOKUP(B65,'MASTER DATA'!$A$1:$E$212,2,FALSE),"")</f>
        <v>BB-100023</v>
      </c>
      <c r="D65" s="17" t="str">
        <f>IFERROR(VLOOKUP(B65,'MASTER DATA'!$A$1:$E$212,5,FALSE),"")</f>
        <v>BAHAN BAKU LUUCA</v>
      </c>
      <c r="E65" s="28" t="s">
        <v>892</v>
      </c>
      <c r="F65" s="17" t="str">
        <f>IFERROR(VLOOKUP(B65,'MASTER DATA'!$A$1:$E$212,4,FALSE),"")</f>
        <v>GR</v>
      </c>
      <c r="G65" s="18" t="s">
        <v>703</v>
      </c>
      <c r="H65" s="18" t="s">
        <v>864</v>
      </c>
      <c r="I65" s="17"/>
      <c r="J65" s="18" t="b">
        <v>1</v>
      </c>
    </row>
    <row r="66">
      <c r="A66" s="43"/>
      <c r="B66" s="18" t="s">
        <v>175</v>
      </c>
      <c r="C66" s="17" t="str">
        <f>IFERROR(VLOOKUP(B66,'MASTER DATA'!$A$1:$E$212,2,FALSE),"")</f>
        <v>P006-001</v>
      </c>
      <c r="D66" s="17" t="str">
        <f>IFERROR(VLOOKUP(B66,'MASTER DATA'!$A$1:$E$212,5,FALSE),"")</f>
        <v>PRODUKSI STOK LUUCA</v>
      </c>
      <c r="E66" s="28" t="s">
        <v>895</v>
      </c>
      <c r="F66" s="17" t="str">
        <f>IFERROR(VLOOKUP(B66,'MASTER DATA'!$A$1:$E$212,4,FALSE),"")</f>
        <v>GR</v>
      </c>
      <c r="G66" s="18" t="s">
        <v>529</v>
      </c>
      <c r="H66" s="18" t="s">
        <v>561</v>
      </c>
      <c r="I66" s="17"/>
      <c r="J66" s="18" t="b">
        <v>1</v>
      </c>
    </row>
    <row r="67">
      <c r="A67" s="43"/>
      <c r="B67" s="18" t="s">
        <v>33</v>
      </c>
      <c r="C67" s="17" t="str">
        <f>IFERROR(VLOOKUP(B67,'MASTER DATA'!$A$1:$E$212,2,FALSE),"")</f>
        <v>BB-100022</v>
      </c>
      <c r="D67" s="17" t="str">
        <f>IFERROR(VLOOKUP(B67,'MASTER DATA'!$A$1:$E$212,5,FALSE),"")</f>
        <v>BAHAN BAKU LUUCA</v>
      </c>
      <c r="E67" s="28" t="s">
        <v>896</v>
      </c>
      <c r="F67" s="17" t="str">
        <f>IFERROR(VLOOKUP(B67,'MASTER DATA'!$A$1:$E$212,4,FALSE),"")</f>
        <v>GR</v>
      </c>
      <c r="G67" s="18" t="s">
        <v>703</v>
      </c>
      <c r="H67" s="18" t="s">
        <v>522</v>
      </c>
      <c r="I67" s="17"/>
      <c r="J67" s="18" t="b">
        <v>1</v>
      </c>
    </row>
    <row r="68">
      <c r="A68" s="43"/>
      <c r="B68" s="18" t="s">
        <v>53</v>
      </c>
      <c r="C68" s="17" t="str">
        <f>IFERROR(VLOOKUP(B68,'MASTER DATA'!$A$1:$E$212,2,FALSE),"")</f>
        <v>BB-100502</v>
      </c>
      <c r="D68" s="17" t="str">
        <f>IFERROR(VLOOKUP(B68,'MASTER DATA'!$A$1:$E$212,5,FALSE),"")</f>
        <v>BAHAN BAKU LUUCA</v>
      </c>
      <c r="E68" s="46" t="s">
        <v>898</v>
      </c>
      <c r="F68" s="17" t="str">
        <f>IFERROR(VLOOKUP(B68,'MASTER DATA'!$A$1:$E$212,4,FALSE),"")</f>
        <v>GR</v>
      </c>
      <c r="G68" s="18" t="s">
        <v>496</v>
      </c>
      <c r="H68" s="18" t="s">
        <v>522</v>
      </c>
      <c r="I68" s="17"/>
      <c r="J68" s="18" t="b">
        <v>1</v>
      </c>
    </row>
    <row r="69">
      <c r="A69" s="43"/>
      <c r="B69" s="18" t="s">
        <v>109</v>
      </c>
      <c r="C69" s="17" t="str">
        <f>IFERROR(VLOOKUP(B69,'MASTER DATA'!$A$1:$E$212,2,FALSE),"")</f>
        <v>BB-100501</v>
      </c>
      <c r="D69" s="17" t="str">
        <f>IFERROR(VLOOKUP(B69,'MASTER DATA'!$A$1:$E$212,5,FALSE),"")</f>
        <v>BAHAN BAKU LUUCA</v>
      </c>
      <c r="E69" s="28">
        <v>19.0</v>
      </c>
      <c r="F69" s="17" t="str">
        <f>IFERROR(VLOOKUP(B69,'MASTER DATA'!$A$1:$E$212,4,FALSE),"")</f>
        <v>GR</v>
      </c>
      <c r="G69" s="18" t="s">
        <v>496</v>
      </c>
      <c r="H69" s="18" t="s">
        <v>541</v>
      </c>
      <c r="I69" s="17"/>
      <c r="J69" s="18" t="b">
        <v>1</v>
      </c>
    </row>
    <row r="70">
      <c r="A70" s="43"/>
      <c r="B70" s="18" t="s">
        <v>53</v>
      </c>
      <c r="C70" s="17" t="str">
        <f>IFERROR(VLOOKUP(B70,'MASTER DATA'!$A$1:$E$212,2,FALSE),"")</f>
        <v>BB-100502</v>
      </c>
      <c r="D70" s="17" t="str">
        <f>IFERROR(VLOOKUP(B70,'MASTER DATA'!$A$1:$E$212,5,FALSE),"")</f>
        <v>BAHAN BAKU LUUCA</v>
      </c>
      <c r="E70" s="28" t="s">
        <v>901</v>
      </c>
      <c r="F70" s="17" t="str">
        <f>IFERROR(VLOOKUP(B70,'MASTER DATA'!$A$1:$E$212,4,FALSE),"")</f>
        <v>GR</v>
      </c>
      <c r="G70" s="18" t="s">
        <v>793</v>
      </c>
      <c r="H70" s="18" t="s">
        <v>541</v>
      </c>
      <c r="I70" s="17"/>
      <c r="J70" s="18" t="b">
        <v>1</v>
      </c>
    </row>
    <row r="71">
      <c r="A71" s="43"/>
      <c r="B71" s="18" t="s">
        <v>53</v>
      </c>
      <c r="C71" s="17" t="str">
        <f>IFERROR(VLOOKUP(B71,'MASTER DATA'!$A$1:$E$212,2,FALSE),"")</f>
        <v>BB-100502</v>
      </c>
      <c r="D71" s="17" t="str">
        <f>IFERROR(VLOOKUP(B71,'MASTER DATA'!$A$1:$E$212,5,FALSE),"")</f>
        <v>BAHAN BAKU LUUCA</v>
      </c>
      <c r="E71" s="28" t="s">
        <v>903</v>
      </c>
      <c r="F71" s="17" t="str">
        <f>IFERROR(VLOOKUP(B71,'MASTER DATA'!$A$1:$E$212,4,FALSE),"")</f>
        <v>GR</v>
      </c>
      <c r="G71" s="18" t="s">
        <v>496</v>
      </c>
      <c r="H71" s="18" t="s">
        <v>541</v>
      </c>
      <c r="I71" s="17"/>
      <c r="J71" s="18" t="b">
        <v>1</v>
      </c>
    </row>
    <row r="72">
      <c r="A72" s="43"/>
      <c r="B72" s="18" t="s">
        <v>53</v>
      </c>
      <c r="C72" s="17" t="str">
        <f>IFERROR(VLOOKUP(B72,'MASTER DATA'!$A$1:$E$212,2,FALSE),"")</f>
        <v>BB-100502</v>
      </c>
      <c r="D72" s="17" t="str">
        <f>IFERROR(VLOOKUP(B72,'MASTER DATA'!$A$1:$E$212,5,FALSE),"")</f>
        <v>BAHAN BAKU LUUCA</v>
      </c>
      <c r="E72" s="28" t="s">
        <v>904</v>
      </c>
      <c r="F72" s="17" t="str">
        <f>IFERROR(VLOOKUP(B72,'MASTER DATA'!$A$1:$E$212,4,FALSE),"")</f>
        <v>GR</v>
      </c>
      <c r="G72" s="18" t="s">
        <v>496</v>
      </c>
      <c r="H72" s="18" t="s">
        <v>541</v>
      </c>
      <c r="I72" s="17"/>
      <c r="J72" s="18" t="b">
        <v>1</v>
      </c>
    </row>
    <row r="73">
      <c r="A73" s="43"/>
      <c r="B73" s="18" t="s">
        <v>109</v>
      </c>
      <c r="C73" s="17" t="str">
        <f>IFERROR(VLOOKUP(B73,'MASTER DATA'!$A$1:$E$212,2,FALSE),"")</f>
        <v>BB-100501</v>
      </c>
      <c r="D73" s="17" t="str">
        <f>IFERROR(VLOOKUP(B73,'MASTER DATA'!$A$1:$E$212,5,FALSE),"")</f>
        <v>BAHAN BAKU LUUCA</v>
      </c>
      <c r="E73" s="28" t="s">
        <v>907</v>
      </c>
      <c r="F73" s="17" t="str">
        <f>IFERROR(VLOOKUP(B73,'MASTER DATA'!$A$1:$E$212,4,FALSE),"")</f>
        <v>GR</v>
      </c>
      <c r="G73" s="18" t="s">
        <v>826</v>
      </c>
      <c r="H73" s="18" t="s">
        <v>522</v>
      </c>
      <c r="I73" s="17"/>
      <c r="J73" s="18" t="b">
        <v>1</v>
      </c>
    </row>
    <row r="74">
      <c r="A74" s="43"/>
      <c r="B74" s="8" t="s">
        <v>236</v>
      </c>
      <c r="C74" s="17" t="str">
        <f>IFERROR(VLOOKUP(B74,'MASTER DATA'!$A$1:$E$212,2,FALSE),"")</f>
        <v>BB-100515</v>
      </c>
      <c r="D74" s="17" t="str">
        <f>IFERROR(VLOOKUP(B74,'MASTER DATA'!$A$1:$E$212,5,FALSE),"")</f>
        <v>PRODUKSI STOK LUUCA</v>
      </c>
      <c r="E74" s="28">
        <v>2.0</v>
      </c>
      <c r="F74" s="17" t="str">
        <f>IFERROR(VLOOKUP(B74,'MASTER DATA'!$A$1:$E$212,4,FALSE),"")</f>
        <v>PCS</v>
      </c>
      <c r="G74" s="18" t="s">
        <v>528</v>
      </c>
      <c r="H74" s="18" t="s">
        <v>522</v>
      </c>
      <c r="I74" s="17"/>
      <c r="J74" s="18" t="b">
        <v>1</v>
      </c>
    </row>
    <row r="75">
      <c r="A75" s="43"/>
      <c r="B75" s="18" t="s">
        <v>108</v>
      </c>
      <c r="C75" s="17" t="str">
        <f>IFERROR(VLOOKUP(B75,'MASTER DATA'!$A$1:$E$212,2,FALSE),"")</f>
        <v>BB-100500</v>
      </c>
      <c r="D75" s="17" t="str">
        <f>IFERROR(VLOOKUP(B75,'MASTER DATA'!$A$1:$E$212,5,FALSE),"")</f>
        <v>BAHAN BAKU LUUCA</v>
      </c>
      <c r="E75" s="28" t="s">
        <v>909</v>
      </c>
      <c r="F75" s="17" t="str">
        <f>IFERROR(VLOOKUP(B75,'MASTER DATA'!$A$1:$E$212,4,FALSE),"")</f>
        <v>GR</v>
      </c>
      <c r="G75" s="18" t="s">
        <v>496</v>
      </c>
      <c r="H75" s="18" t="s">
        <v>522</v>
      </c>
      <c r="I75" s="17"/>
      <c r="J75" s="18" t="b">
        <v>1</v>
      </c>
    </row>
    <row r="76">
      <c r="A76" s="43"/>
      <c r="B76" s="18" t="s">
        <v>34</v>
      </c>
      <c r="C76" s="17" t="str">
        <f>IFERROR(VLOOKUP(B76,'MASTER DATA'!$A$1:$E$212,2,FALSE),"")</f>
        <v>BB-100023</v>
      </c>
      <c r="D76" s="17" t="str">
        <f>IFERROR(VLOOKUP(B76,'MASTER DATA'!$A$1:$E$212,5,FALSE),"")</f>
        <v>BAHAN BAKU LUUCA</v>
      </c>
      <c r="E76" s="28" t="s">
        <v>910</v>
      </c>
      <c r="F76" s="17" t="str">
        <f>IFERROR(VLOOKUP(B76,'MASTER DATA'!$A$1:$E$212,4,FALSE),"")</f>
        <v>GR</v>
      </c>
      <c r="G76" s="18" t="s">
        <v>703</v>
      </c>
      <c r="H76" s="18" t="s">
        <v>522</v>
      </c>
      <c r="I76" s="17"/>
      <c r="J76" s="18" t="b">
        <v>1</v>
      </c>
    </row>
    <row r="77">
      <c r="A77" s="43"/>
      <c r="B77" s="18" t="s">
        <v>53</v>
      </c>
      <c r="C77" s="17" t="str">
        <f>IFERROR(VLOOKUP(B77,'MASTER DATA'!$A$1:$E$212,2,FALSE),"")</f>
        <v>BB-100502</v>
      </c>
      <c r="D77" s="17" t="str">
        <f>IFERROR(VLOOKUP(B77,'MASTER DATA'!$A$1:$E$212,5,FALSE),"")</f>
        <v>BAHAN BAKU LUUCA</v>
      </c>
      <c r="E77" s="28" t="s">
        <v>898</v>
      </c>
      <c r="F77" s="17" t="str">
        <f>IFERROR(VLOOKUP(B77,'MASTER DATA'!$A$1:$E$212,4,FALSE),"")</f>
        <v>GR</v>
      </c>
      <c r="G77" s="18" t="s">
        <v>496</v>
      </c>
      <c r="H77" s="18" t="s">
        <v>522</v>
      </c>
      <c r="I77" s="17"/>
      <c r="J77" s="18" t="b">
        <v>1</v>
      </c>
    </row>
    <row r="78">
      <c r="A78" s="43">
        <v>46187.0</v>
      </c>
      <c r="B78" s="18" t="s">
        <v>108</v>
      </c>
      <c r="C78" s="17" t="str">
        <f>IFERROR(VLOOKUP(B78,'MASTER DATA'!$A$1:$E$212,2,FALSE),"")</f>
        <v>BB-100500</v>
      </c>
      <c r="D78" s="17" t="str">
        <f>IFERROR(VLOOKUP(B78,'MASTER DATA'!$A$1:$E$212,5,FALSE),"")</f>
        <v>BAHAN BAKU LUUCA</v>
      </c>
      <c r="E78" s="28" t="s">
        <v>911</v>
      </c>
      <c r="F78" s="17" t="str">
        <f>IFERROR(VLOOKUP(B78,'MASTER DATA'!$A$1:$E$212,4,FALSE),"")</f>
        <v>GR</v>
      </c>
      <c r="G78" s="18" t="s">
        <v>792</v>
      </c>
      <c r="H78" s="18" t="s">
        <v>615</v>
      </c>
      <c r="I78" s="17"/>
      <c r="J78" s="18" t="b">
        <v>1</v>
      </c>
    </row>
    <row r="79">
      <c r="A79" s="43"/>
      <c r="B79" s="18" t="s">
        <v>33</v>
      </c>
      <c r="C79" s="17" t="str">
        <f>IFERROR(VLOOKUP(B79,'MASTER DATA'!$A$1:$E$212,2,FALSE),"")</f>
        <v>BB-100022</v>
      </c>
      <c r="D79" s="17" t="str">
        <f>IFERROR(VLOOKUP(B79,'MASTER DATA'!$A$1:$E$212,5,FALSE),"")</f>
        <v>BAHAN BAKU LUUCA</v>
      </c>
      <c r="E79" s="28" t="s">
        <v>912</v>
      </c>
      <c r="F79" s="17" t="str">
        <f>IFERROR(VLOOKUP(B79,'MASTER DATA'!$A$1:$E$212,4,FALSE),"")</f>
        <v>GR</v>
      </c>
      <c r="G79" s="18" t="s">
        <v>703</v>
      </c>
      <c r="H79" s="18" t="s">
        <v>615</v>
      </c>
      <c r="I79" s="17"/>
      <c r="J79" s="18" t="b">
        <v>1</v>
      </c>
    </row>
    <row r="80">
      <c r="A80" s="43"/>
      <c r="B80" s="18" t="s">
        <v>108</v>
      </c>
      <c r="C80" s="17" t="str">
        <f>IFERROR(VLOOKUP(B80,'MASTER DATA'!$A$1:$E$212,2,FALSE),"")</f>
        <v>BB-100500</v>
      </c>
      <c r="D80" s="17" t="str">
        <f>IFERROR(VLOOKUP(B80,'MASTER DATA'!$A$1:$E$212,5,FALSE),"")</f>
        <v>BAHAN BAKU LUUCA</v>
      </c>
      <c r="E80" s="28" t="s">
        <v>913</v>
      </c>
      <c r="F80" s="17" t="str">
        <f>IFERROR(VLOOKUP(B80,'MASTER DATA'!$A$1:$E$212,4,FALSE),"")</f>
        <v>GR</v>
      </c>
      <c r="G80" s="18" t="s">
        <v>792</v>
      </c>
      <c r="H80" s="18" t="s">
        <v>553</v>
      </c>
      <c r="I80" s="17"/>
      <c r="J80" s="18" t="b">
        <v>1</v>
      </c>
    </row>
    <row r="81">
      <c r="A81" s="43"/>
      <c r="B81" s="18" t="s">
        <v>33</v>
      </c>
      <c r="C81" s="17" t="str">
        <f>IFERROR(VLOOKUP(B81,'MASTER DATA'!$A$1:$E$212,2,FALSE),"")</f>
        <v>BB-100022</v>
      </c>
      <c r="D81" s="17" t="str">
        <f>IFERROR(VLOOKUP(B81,'MASTER DATA'!$A$1:$E$212,5,FALSE),"")</f>
        <v>BAHAN BAKU LUUCA</v>
      </c>
      <c r="E81" s="28" t="s">
        <v>914</v>
      </c>
      <c r="F81" s="17" t="str">
        <f>IFERROR(VLOOKUP(B81,'MASTER DATA'!$A$1:$E$212,4,FALSE),"")</f>
        <v>GR</v>
      </c>
      <c r="G81" s="18" t="s">
        <v>703</v>
      </c>
      <c r="H81" s="18" t="s">
        <v>522</v>
      </c>
      <c r="I81" s="17"/>
      <c r="J81" s="18" t="b">
        <v>1</v>
      </c>
    </row>
    <row r="82">
      <c r="A82" s="43"/>
      <c r="B82" s="18" t="s">
        <v>34</v>
      </c>
      <c r="C82" s="17" t="str">
        <f>IFERROR(VLOOKUP(B82,'MASTER DATA'!$A$1:$E$212,2,FALSE),"")</f>
        <v>BB-100023</v>
      </c>
      <c r="D82" s="17" t="str">
        <f>IFERROR(VLOOKUP(B82,'MASTER DATA'!$A$1:$E$212,5,FALSE),"")</f>
        <v>BAHAN BAKU LUUCA</v>
      </c>
      <c r="E82" s="28" t="s">
        <v>915</v>
      </c>
      <c r="F82" s="17" t="str">
        <f>IFERROR(VLOOKUP(B82,'MASTER DATA'!$A$1:$E$212,4,FALSE),"")</f>
        <v>GR</v>
      </c>
      <c r="G82" s="18" t="s">
        <v>703</v>
      </c>
      <c r="H82" s="18" t="s">
        <v>522</v>
      </c>
      <c r="I82" s="17"/>
      <c r="J82" s="18" t="b">
        <v>1</v>
      </c>
    </row>
    <row r="83">
      <c r="A83" s="43"/>
      <c r="B83" s="18" t="s">
        <v>109</v>
      </c>
      <c r="C83" s="17" t="str">
        <f>IFERROR(VLOOKUP(B83,'MASTER DATA'!$A$1:$E$212,2,FALSE),"")</f>
        <v>BB-100501</v>
      </c>
      <c r="D83" s="17" t="str">
        <f>IFERROR(VLOOKUP(B83,'MASTER DATA'!$A$1:$E$212,5,FALSE),"")</f>
        <v>BAHAN BAKU LUUCA</v>
      </c>
      <c r="E83" s="28" t="s">
        <v>916</v>
      </c>
      <c r="F83" s="17" t="str">
        <f>IFERROR(VLOOKUP(B83,'MASTER DATA'!$A$1:$E$212,4,FALSE),"")</f>
        <v>GR</v>
      </c>
      <c r="G83" s="18" t="s">
        <v>826</v>
      </c>
      <c r="H83" s="18" t="s">
        <v>522</v>
      </c>
      <c r="I83" s="17"/>
      <c r="J83" s="18" t="b">
        <v>1</v>
      </c>
    </row>
    <row r="84">
      <c r="A84" s="43"/>
      <c r="B84" s="18" t="s">
        <v>109</v>
      </c>
      <c r="C84" s="17" t="str">
        <f>IFERROR(VLOOKUP(B84,'MASTER DATA'!$A$1:$E$212,2,FALSE),"")</f>
        <v>BB-100501</v>
      </c>
      <c r="D84" s="17" t="str">
        <f>IFERROR(VLOOKUP(B84,'MASTER DATA'!$A$1:$E$212,5,FALSE),"")</f>
        <v>BAHAN BAKU LUUCA</v>
      </c>
      <c r="E84" s="28" t="s">
        <v>918</v>
      </c>
      <c r="F84" s="17" t="str">
        <f>IFERROR(VLOOKUP(B84,'MASTER DATA'!$A$1:$E$212,4,FALSE),"")</f>
        <v>GR</v>
      </c>
      <c r="G84" s="18" t="s">
        <v>496</v>
      </c>
      <c r="H84" s="18" t="s">
        <v>522</v>
      </c>
      <c r="I84" s="17"/>
      <c r="J84" s="18" t="b">
        <v>1</v>
      </c>
    </row>
    <row r="85">
      <c r="A85" s="43">
        <v>46188.0</v>
      </c>
      <c r="B85" s="18" t="s">
        <v>108</v>
      </c>
      <c r="C85" s="17" t="str">
        <f>IFERROR(VLOOKUP(B85,'MASTER DATA'!$A$1:$E$212,2,FALSE),"")</f>
        <v>BB-100500</v>
      </c>
      <c r="D85" s="17" t="str">
        <f>IFERROR(VLOOKUP(B85,'MASTER DATA'!$A$1:$E$212,5,FALSE),"")</f>
        <v>BAHAN BAKU LUUCA</v>
      </c>
      <c r="E85" s="28" t="s">
        <v>920</v>
      </c>
      <c r="F85" s="17" t="str">
        <f>IFERROR(VLOOKUP(B85,'MASTER DATA'!$A$1:$E$212,4,FALSE),"")</f>
        <v>GR</v>
      </c>
      <c r="G85" s="18" t="s">
        <v>792</v>
      </c>
      <c r="H85" s="18" t="s">
        <v>553</v>
      </c>
      <c r="I85" s="17"/>
      <c r="J85" s="18" t="b">
        <v>1</v>
      </c>
    </row>
    <row r="86">
      <c r="A86" s="43"/>
      <c r="B86" s="18" t="s">
        <v>53</v>
      </c>
      <c r="C86" s="17" t="str">
        <f>IFERROR(VLOOKUP(B86,'MASTER DATA'!$A$1:$E$212,2,FALSE),"")</f>
        <v>BB-100502</v>
      </c>
      <c r="D86" s="17" t="str">
        <f>IFERROR(VLOOKUP(B86,'MASTER DATA'!$A$1:$E$212,5,FALSE),"")</f>
        <v>BAHAN BAKU LUUCA</v>
      </c>
      <c r="E86" s="28">
        <v>81.0</v>
      </c>
      <c r="F86" s="17" t="str">
        <f>IFERROR(VLOOKUP(B86,'MASTER DATA'!$A$1:$E$212,4,FALSE),"")</f>
        <v>GR</v>
      </c>
      <c r="G86" s="18" t="s">
        <v>793</v>
      </c>
      <c r="H86" s="18" t="s">
        <v>561</v>
      </c>
      <c r="I86" s="17"/>
      <c r="J86" s="18" t="b">
        <v>1</v>
      </c>
    </row>
    <row r="87">
      <c r="A87" s="43">
        <v>46189.0</v>
      </c>
      <c r="B87" s="18" t="s">
        <v>108</v>
      </c>
      <c r="C87" s="17" t="str">
        <f>IFERROR(VLOOKUP(B87,'MASTER DATA'!$A$1:$E$212,2,FALSE),"")</f>
        <v>BB-100500</v>
      </c>
      <c r="D87" s="17" t="str">
        <f>IFERROR(VLOOKUP(B87,'MASTER DATA'!$A$1:$E$212,5,FALSE),"")</f>
        <v>BAHAN BAKU LUUCA</v>
      </c>
      <c r="E87" s="28" t="s">
        <v>924</v>
      </c>
      <c r="F87" s="17" t="str">
        <f>IFERROR(VLOOKUP(B87,'MASTER DATA'!$A$1:$E$212,4,FALSE),"")</f>
        <v>GR</v>
      </c>
      <c r="G87" s="18" t="s">
        <v>792</v>
      </c>
      <c r="H87" s="18" t="s">
        <v>615</v>
      </c>
      <c r="I87" s="17"/>
      <c r="J87" s="18" t="b">
        <v>1</v>
      </c>
    </row>
    <row r="88">
      <c r="A88" s="43"/>
      <c r="B88" s="18" t="s">
        <v>53</v>
      </c>
      <c r="C88" s="17" t="str">
        <f>IFERROR(VLOOKUP(B88,'MASTER DATA'!$A$1:$E$212,2,FALSE),"")</f>
        <v>BB-100502</v>
      </c>
      <c r="D88" s="17" t="str">
        <f>IFERROR(VLOOKUP(B88,'MASTER DATA'!$A$1:$E$212,5,FALSE),"")</f>
        <v>BAHAN BAKU LUUCA</v>
      </c>
      <c r="E88" s="28" t="s">
        <v>925</v>
      </c>
      <c r="F88" s="17" t="str">
        <f>IFERROR(VLOOKUP(B88,'MASTER DATA'!$A$1:$E$212,4,FALSE),"")</f>
        <v>GR</v>
      </c>
      <c r="G88" s="18" t="s">
        <v>793</v>
      </c>
      <c r="H88" s="18" t="s">
        <v>615</v>
      </c>
      <c r="I88" s="17"/>
      <c r="J88" s="18" t="b">
        <v>1</v>
      </c>
    </row>
    <row r="89">
      <c r="A89" s="43"/>
      <c r="B89" s="18" t="s">
        <v>34</v>
      </c>
      <c r="C89" s="17" t="str">
        <f>IFERROR(VLOOKUP(B89,'MASTER DATA'!$A$1:$E$212,2,FALSE),"")</f>
        <v>BB-100023</v>
      </c>
      <c r="D89" s="17" t="str">
        <f>IFERROR(VLOOKUP(B89,'MASTER DATA'!$A$1:$E$212,5,FALSE),"")</f>
        <v>BAHAN BAKU LUUCA</v>
      </c>
      <c r="E89" s="28" t="s">
        <v>928</v>
      </c>
      <c r="F89" s="17" t="str">
        <f>IFERROR(VLOOKUP(B89,'MASTER DATA'!$A$1:$E$212,4,FALSE),"")</f>
        <v>GR</v>
      </c>
      <c r="G89" s="18" t="s">
        <v>703</v>
      </c>
      <c r="H89" s="18" t="s">
        <v>615</v>
      </c>
      <c r="I89" s="17"/>
      <c r="J89" s="18" t="b">
        <v>1</v>
      </c>
    </row>
    <row r="90">
      <c r="A90" s="43"/>
      <c r="B90" s="18" t="s">
        <v>53</v>
      </c>
      <c r="C90" s="17" t="str">
        <f>IFERROR(VLOOKUP(B90,'MASTER DATA'!$A$1:$E$212,2,FALSE),"")</f>
        <v>BB-100502</v>
      </c>
      <c r="D90" s="17" t="str">
        <f>IFERROR(VLOOKUP(B90,'MASTER DATA'!$A$1:$E$212,5,FALSE),"")</f>
        <v>BAHAN BAKU LUUCA</v>
      </c>
      <c r="E90" s="28" t="s">
        <v>931</v>
      </c>
      <c r="F90" s="17" t="str">
        <f>IFERROR(VLOOKUP(B90,'MASTER DATA'!$A$1:$E$212,4,FALSE),"")</f>
        <v>GR</v>
      </c>
      <c r="G90" s="18" t="s">
        <v>793</v>
      </c>
      <c r="H90" s="18" t="s">
        <v>615</v>
      </c>
      <c r="I90" s="17"/>
      <c r="J90" s="18" t="b">
        <v>1</v>
      </c>
    </row>
    <row r="91">
      <c r="A91" s="43"/>
      <c r="B91" s="18" t="s">
        <v>33</v>
      </c>
      <c r="C91" s="17" t="str">
        <f>IFERROR(VLOOKUP(B91,'MASTER DATA'!$A$1:$E$212,2,FALSE),"")</f>
        <v>BB-100022</v>
      </c>
      <c r="D91" s="17" t="str">
        <f>IFERROR(VLOOKUP(B91,'MASTER DATA'!$A$1:$E$212,5,FALSE),"")</f>
        <v>BAHAN BAKU LUUCA</v>
      </c>
      <c r="E91" s="28">
        <v>340.0</v>
      </c>
      <c r="F91" s="17" t="str">
        <f>IFERROR(VLOOKUP(B91,'MASTER DATA'!$A$1:$E$212,4,FALSE),"")</f>
        <v>GR</v>
      </c>
      <c r="G91" s="18" t="s">
        <v>703</v>
      </c>
      <c r="H91" s="18" t="s">
        <v>615</v>
      </c>
      <c r="I91" s="17"/>
      <c r="J91" s="18" t="b">
        <v>1</v>
      </c>
    </row>
    <row r="92">
      <c r="A92" s="43"/>
      <c r="B92" s="18" t="s">
        <v>108</v>
      </c>
      <c r="C92" s="17" t="str">
        <f>IFERROR(VLOOKUP(B92,'MASTER DATA'!$A$1:$E$212,2,FALSE),"")</f>
        <v>BB-100500</v>
      </c>
      <c r="D92" s="17" t="str">
        <f>IFERROR(VLOOKUP(B92,'MASTER DATA'!$A$1:$E$212,5,FALSE),"")</f>
        <v>BAHAN BAKU LUUCA</v>
      </c>
      <c r="E92" s="28" t="s">
        <v>934</v>
      </c>
      <c r="F92" s="17" t="str">
        <f>IFERROR(VLOOKUP(B92,'MASTER DATA'!$A$1:$E$212,4,FALSE),"")</f>
        <v>GR</v>
      </c>
      <c r="G92" s="18" t="s">
        <v>792</v>
      </c>
      <c r="H92" s="18" t="s">
        <v>615</v>
      </c>
      <c r="I92" s="17"/>
      <c r="J92" s="18" t="b">
        <v>1</v>
      </c>
    </row>
    <row r="93">
      <c r="A93" s="43"/>
      <c r="B93" s="18" t="s">
        <v>34</v>
      </c>
      <c r="C93" s="17" t="str">
        <f>IFERROR(VLOOKUP(B93,'MASTER DATA'!$A$1:$E$212,2,FALSE),"")</f>
        <v>BB-100023</v>
      </c>
      <c r="D93" s="17" t="str">
        <f>IFERROR(VLOOKUP(B93,'MASTER DATA'!$A$1:$E$212,5,FALSE),"")</f>
        <v>BAHAN BAKU LUUCA</v>
      </c>
      <c r="E93" s="28">
        <v>533.0</v>
      </c>
      <c r="F93" s="17" t="str">
        <f>IFERROR(VLOOKUP(B93,'MASTER DATA'!$A$1:$E$212,4,FALSE),"")</f>
        <v>GR</v>
      </c>
      <c r="G93" s="18" t="s">
        <v>703</v>
      </c>
      <c r="H93" s="18" t="s">
        <v>615</v>
      </c>
      <c r="I93" s="17"/>
      <c r="J93" s="18" t="b">
        <v>1</v>
      </c>
    </row>
    <row r="94">
      <c r="A94" s="43"/>
      <c r="B94" s="18" t="s">
        <v>108</v>
      </c>
      <c r="C94" s="17" t="str">
        <f>IFERROR(VLOOKUP(B94,'MASTER DATA'!$A$1:$E$212,2,FALSE),"")</f>
        <v>BB-100500</v>
      </c>
      <c r="D94" s="17" t="str">
        <f>IFERROR(VLOOKUP(B94,'MASTER DATA'!$A$1:$E$212,5,FALSE),"")</f>
        <v>BAHAN BAKU LUUCA</v>
      </c>
      <c r="E94" s="28" t="s">
        <v>937</v>
      </c>
      <c r="F94" s="17" t="str">
        <f>IFERROR(VLOOKUP(B94,'MASTER DATA'!$A$1:$E$212,4,FALSE),"")</f>
        <v>GR</v>
      </c>
      <c r="G94" s="18" t="s">
        <v>792</v>
      </c>
      <c r="H94" s="18" t="s">
        <v>541</v>
      </c>
      <c r="I94" s="17"/>
      <c r="J94" s="18" t="b">
        <v>1</v>
      </c>
    </row>
    <row r="95">
      <c r="A95" s="43"/>
      <c r="B95" s="18" t="s">
        <v>53</v>
      </c>
      <c r="C95" s="17" t="str">
        <f>IFERROR(VLOOKUP(B95,'MASTER DATA'!$A$1:$E$212,2,FALSE),"")</f>
        <v>BB-100502</v>
      </c>
      <c r="D95" s="17" t="str">
        <f>IFERROR(VLOOKUP(B95,'MASTER DATA'!$A$1:$E$212,5,FALSE),"")</f>
        <v>BAHAN BAKU LUUCA</v>
      </c>
      <c r="E95" s="28" t="s">
        <v>939</v>
      </c>
      <c r="F95" s="17" t="str">
        <f>IFERROR(VLOOKUP(B95,'MASTER DATA'!$A$1:$E$212,4,FALSE),"")</f>
        <v>GR</v>
      </c>
      <c r="G95" s="18" t="s">
        <v>793</v>
      </c>
      <c r="H95" s="18" t="s">
        <v>541</v>
      </c>
      <c r="I95" s="17"/>
      <c r="J95" s="18" t="b">
        <v>1</v>
      </c>
    </row>
    <row r="96">
      <c r="A96" s="43"/>
      <c r="B96" s="18" t="s">
        <v>33</v>
      </c>
      <c r="C96" s="17" t="str">
        <f>IFERROR(VLOOKUP(B96,'MASTER DATA'!$A$1:$E$212,2,FALSE),"")</f>
        <v>BB-100022</v>
      </c>
      <c r="D96" s="17" t="str">
        <f>IFERROR(VLOOKUP(B96,'MASTER DATA'!$A$1:$E$212,5,FALSE),"")</f>
        <v>BAHAN BAKU LUUCA</v>
      </c>
      <c r="E96" s="28" t="s">
        <v>942</v>
      </c>
      <c r="F96" s="17" t="str">
        <f>IFERROR(VLOOKUP(B96,'MASTER DATA'!$A$1:$E$212,4,FALSE),"")</f>
        <v>GR</v>
      </c>
      <c r="G96" s="18" t="s">
        <v>703</v>
      </c>
      <c r="H96" s="18" t="s">
        <v>522</v>
      </c>
      <c r="I96" s="17"/>
      <c r="J96" s="18" t="b">
        <v>1</v>
      </c>
    </row>
    <row r="97">
      <c r="A97" s="43">
        <v>46190.0</v>
      </c>
      <c r="B97" s="18" t="s">
        <v>53</v>
      </c>
      <c r="C97" s="17" t="str">
        <f>IFERROR(VLOOKUP(B97,'MASTER DATA'!$A$1:$E$212,2,FALSE),"")</f>
        <v>BB-100502</v>
      </c>
      <c r="D97" s="17" t="str">
        <f>IFERROR(VLOOKUP(B97,'MASTER DATA'!$A$1:$E$212,5,FALSE),"")</f>
        <v>BAHAN BAKU LUUCA</v>
      </c>
      <c r="E97" s="28" t="s">
        <v>944</v>
      </c>
      <c r="F97" s="17" t="str">
        <f>IFERROR(VLOOKUP(B97,'MASTER DATA'!$A$1:$E$212,4,FALSE),"")</f>
        <v>GR</v>
      </c>
      <c r="G97" s="18" t="s">
        <v>793</v>
      </c>
      <c r="H97" s="18" t="s">
        <v>561</v>
      </c>
      <c r="I97" s="17"/>
      <c r="J97" s="18" t="b">
        <v>1</v>
      </c>
    </row>
    <row r="98">
      <c r="A98" s="43"/>
      <c r="B98" s="8" t="s">
        <v>220</v>
      </c>
      <c r="C98" s="17" t="str">
        <f>IFERROR(VLOOKUP(B98,'MASTER DATA'!$A$1:$E$212,2,FALSE),"")</f>
        <v>BB-100507</v>
      </c>
      <c r="D98" s="17" t="str">
        <f>IFERROR(VLOOKUP(B98,'MASTER DATA'!$A$1:$E$212,5,FALSE),"")</f>
        <v>PRODUKSI STOK LUUCA</v>
      </c>
      <c r="E98" s="28">
        <v>2.0</v>
      </c>
      <c r="F98" s="17" t="str">
        <f>IFERROR(VLOOKUP(B98,'MASTER DATA'!$A$1:$E$212,4,FALSE),"")</f>
        <v>PCS</v>
      </c>
      <c r="G98" s="18" t="s">
        <v>528</v>
      </c>
      <c r="H98" s="18" t="s">
        <v>595</v>
      </c>
      <c r="I98" s="17"/>
      <c r="J98" s="18" t="b">
        <v>1</v>
      </c>
    </row>
    <row r="99">
      <c r="A99" s="43"/>
      <c r="B99" s="18" t="s">
        <v>108</v>
      </c>
      <c r="C99" s="17" t="str">
        <f>IFERROR(VLOOKUP(B99,'MASTER DATA'!$A$1:$E$212,2,FALSE),"")</f>
        <v>BB-100500</v>
      </c>
      <c r="D99" s="17" t="str">
        <f>IFERROR(VLOOKUP(B99,'MASTER DATA'!$A$1:$E$212,5,FALSE),"")</f>
        <v>BAHAN BAKU LUUCA</v>
      </c>
      <c r="E99" s="28" t="s">
        <v>946</v>
      </c>
      <c r="F99" s="17" t="str">
        <f>IFERROR(VLOOKUP(B99,'MASTER DATA'!$A$1:$E$212,4,FALSE),"")</f>
        <v>GR</v>
      </c>
      <c r="G99" s="18" t="s">
        <v>496</v>
      </c>
      <c r="H99" s="18" t="s">
        <v>522</v>
      </c>
      <c r="I99" s="17"/>
      <c r="J99" s="18" t="b">
        <v>1</v>
      </c>
    </row>
    <row r="100">
      <c r="A100" s="43"/>
      <c r="B100" s="18" t="s">
        <v>109</v>
      </c>
      <c r="C100" s="17" t="str">
        <f>IFERROR(VLOOKUP(B100,'MASTER DATA'!$A$1:$E$212,2,FALSE),"")</f>
        <v>BB-100501</v>
      </c>
      <c r="D100" s="17" t="str">
        <f>IFERROR(VLOOKUP(B100,'MASTER DATA'!$A$1:$E$212,5,FALSE),"")</f>
        <v>BAHAN BAKU LUUCA</v>
      </c>
      <c r="E100" s="28">
        <v>100.0</v>
      </c>
      <c r="F100" s="17" t="str">
        <f>IFERROR(VLOOKUP(B100,'MASTER DATA'!$A$1:$E$212,4,FALSE),"")</f>
        <v>GR</v>
      </c>
      <c r="G100" s="18" t="s">
        <v>496</v>
      </c>
      <c r="H100" s="18" t="s">
        <v>522</v>
      </c>
      <c r="I100" s="17"/>
      <c r="J100" s="18" t="b">
        <v>1</v>
      </c>
    </row>
    <row r="101">
      <c r="A101" s="43"/>
      <c r="B101" s="18" t="s">
        <v>109</v>
      </c>
      <c r="C101" s="17" t="str">
        <f>IFERROR(VLOOKUP(B101,'MASTER DATA'!$A$1:$E$212,2,FALSE),"")</f>
        <v>BB-100501</v>
      </c>
      <c r="D101" s="17" t="str">
        <f>IFERROR(VLOOKUP(B101,'MASTER DATA'!$A$1:$E$212,5,FALSE),"")</f>
        <v>BAHAN BAKU LUUCA</v>
      </c>
      <c r="E101" s="28" t="s">
        <v>948</v>
      </c>
      <c r="F101" s="17" t="str">
        <f>IFERROR(VLOOKUP(B101,'MASTER DATA'!$A$1:$E$212,4,FALSE),"")</f>
        <v>GR</v>
      </c>
      <c r="G101" s="18" t="s">
        <v>826</v>
      </c>
      <c r="H101" s="18" t="s">
        <v>522</v>
      </c>
      <c r="I101" s="17"/>
      <c r="J101" s="18" t="b">
        <v>1</v>
      </c>
    </row>
    <row r="102">
      <c r="A102" s="43"/>
      <c r="B102" s="18" t="s">
        <v>34</v>
      </c>
      <c r="C102" s="17" t="str">
        <f>IFERROR(VLOOKUP(B102,'MASTER DATA'!$A$1:$E$212,2,FALSE),"")</f>
        <v>BB-100023</v>
      </c>
      <c r="D102" s="17" t="str">
        <f>IFERROR(VLOOKUP(B102,'MASTER DATA'!$A$1:$E$212,5,FALSE),"")</f>
        <v>BAHAN BAKU LUUCA</v>
      </c>
      <c r="E102" s="28" t="s">
        <v>949</v>
      </c>
      <c r="F102" s="17" t="str">
        <f>IFERROR(VLOOKUP(B102,'MASTER DATA'!$A$1:$E$212,4,FALSE),"")</f>
        <v>GR</v>
      </c>
      <c r="G102" s="18" t="s">
        <v>703</v>
      </c>
      <c r="H102" s="18" t="s">
        <v>522</v>
      </c>
      <c r="I102" s="17"/>
      <c r="J102" s="18" t="b">
        <v>1</v>
      </c>
    </row>
    <row r="103">
      <c r="A103" s="43"/>
      <c r="B103" s="18" t="s">
        <v>33</v>
      </c>
      <c r="C103" s="17" t="str">
        <f>IFERROR(VLOOKUP(B103,'MASTER DATA'!$A$1:$E$212,2,FALSE),"")</f>
        <v>BB-100022</v>
      </c>
      <c r="D103" s="17" t="str">
        <f>IFERROR(VLOOKUP(B103,'MASTER DATA'!$A$1:$E$212,5,FALSE),"")</f>
        <v>BAHAN BAKU LUUCA</v>
      </c>
      <c r="E103" s="28">
        <v>619.0</v>
      </c>
      <c r="F103" s="17" t="str">
        <f>IFERROR(VLOOKUP(B103,'MASTER DATA'!$A$1:$E$212,4,FALSE),"")</f>
        <v>GR</v>
      </c>
      <c r="G103" s="18" t="s">
        <v>703</v>
      </c>
      <c r="H103" s="18" t="s">
        <v>522</v>
      </c>
      <c r="I103" s="17"/>
      <c r="J103" s="18" t="b">
        <v>1</v>
      </c>
    </row>
    <row r="104">
      <c r="A104" s="44" t="s">
        <v>950</v>
      </c>
      <c r="B104" s="18" t="s">
        <v>34</v>
      </c>
      <c r="C104" s="17" t="str">
        <f>IFERROR(VLOOKUP(B104,'MASTER DATA'!$A$1:$E$212,2,FALSE),"")</f>
        <v>BB-100023</v>
      </c>
      <c r="D104" s="17" t="str">
        <f>IFERROR(VLOOKUP(B104,'MASTER DATA'!$A$1:$E$212,5,FALSE),"")</f>
        <v>BAHAN BAKU LUUCA</v>
      </c>
      <c r="E104" s="28">
        <v>1044.0</v>
      </c>
      <c r="F104" s="17" t="str">
        <f>IFERROR(VLOOKUP(B104,'MASTER DATA'!$A$1:$E$212,4,FALSE),"")</f>
        <v>GR</v>
      </c>
      <c r="G104" s="18" t="s">
        <v>703</v>
      </c>
      <c r="H104" s="18" t="s">
        <v>561</v>
      </c>
      <c r="I104" s="17"/>
      <c r="J104" s="18" t="b">
        <v>1</v>
      </c>
    </row>
    <row r="105">
      <c r="A105" s="43"/>
      <c r="B105" s="18" t="s">
        <v>53</v>
      </c>
      <c r="C105" s="17" t="str">
        <f>IFERROR(VLOOKUP(B105,'MASTER DATA'!$A$1:$E$212,2,FALSE),"")</f>
        <v>BB-100502</v>
      </c>
      <c r="D105" s="17" t="str">
        <f>IFERROR(VLOOKUP(B105,'MASTER DATA'!$A$1:$E$212,5,FALSE),"")</f>
        <v>BAHAN BAKU LUUCA</v>
      </c>
      <c r="E105" s="28" t="s">
        <v>953</v>
      </c>
      <c r="F105" s="17" t="str">
        <f>IFERROR(VLOOKUP(B105,'MASTER DATA'!$A$1:$E$212,4,FALSE),"")</f>
        <v>GR</v>
      </c>
      <c r="G105" s="18" t="s">
        <v>793</v>
      </c>
      <c r="H105" s="18" t="s">
        <v>561</v>
      </c>
      <c r="I105" s="17"/>
      <c r="J105" s="18" t="b">
        <v>1</v>
      </c>
    </row>
    <row r="106">
      <c r="A106" s="43"/>
      <c r="B106" s="18" t="s">
        <v>64</v>
      </c>
      <c r="C106" s="17" t="str">
        <f>IFERROR(VLOOKUP(B106,'MASTER DATA'!$A$1:$E$212,2,FALSE),"")</f>
        <v>BB-100132</v>
      </c>
      <c r="D106" s="17" t="str">
        <f>IFERROR(VLOOKUP(B106,'MASTER DATA'!$A$1:$E$212,5,FALSE),"")</f>
        <v>PRODUKSI STOK LUUCA</v>
      </c>
      <c r="E106" s="28" t="s">
        <v>955</v>
      </c>
      <c r="F106" s="17" t="str">
        <f>IFERROR(VLOOKUP(B106,'MASTER DATA'!$A$1:$E$212,4,FALSE),"")</f>
        <v>GR</v>
      </c>
      <c r="G106" s="18" t="s">
        <v>956</v>
      </c>
      <c r="H106" s="18" t="s">
        <v>561</v>
      </c>
      <c r="I106" s="17"/>
      <c r="J106" s="18" t="b">
        <v>1</v>
      </c>
    </row>
    <row r="107">
      <c r="A107" s="44" t="s">
        <v>957</v>
      </c>
      <c r="B107" s="18" t="s">
        <v>108</v>
      </c>
      <c r="C107" s="17" t="str">
        <f>IFERROR(VLOOKUP(B107,'MASTER DATA'!$A$1:$E$212,2,FALSE),"")</f>
        <v>BB-100500</v>
      </c>
      <c r="D107" s="17" t="str">
        <f>IFERROR(VLOOKUP(B107,'MASTER DATA'!$A$1:$E$212,5,FALSE),"")</f>
        <v>BAHAN BAKU LUUCA</v>
      </c>
      <c r="E107" s="28" t="s">
        <v>959</v>
      </c>
      <c r="F107" s="17" t="str">
        <f>IFERROR(VLOOKUP(B107,'MASTER DATA'!$A$1:$E$212,4,FALSE),"")</f>
        <v>GR</v>
      </c>
      <c r="G107" s="18" t="s">
        <v>792</v>
      </c>
      <c r="H107" s="18" t="s">
        <v>541</v>
      </c>
      <c r="I107" s="17"/>
      <c r="J107" s="18" t="b">
        <v>1</v>
      </c>
    </row>
    <row r="108">
      <c r="A108" s="44"/>
      <c r="B108" s="18" t="s">
        <v>53</v>
      </c>
      <c r="C108" s="17" t="str">
        <f>IFERROR(VLOOKUP(B108,'MASTER DATA'!$A$1:$E$212,2,FALSE),"")</f>
        <v>BB-100502</v>
      </c>
      <c r="D108" s="17" t="str">
        <f>IFERROR(VLOOKUP(B108,'MASTER DATA'!$A$1:$E$212,5,FALSE),"")</f>
        <v>BAHAN BAKU LUUCA</v>
      </c>
      <c r="E108" s="28" t="s">
        <v>757</v>
      </c>
      <c r="F108" s="17" t="str">
        <f>IFERROR(VLOOKUP(B108,'MASTER DATA'!$A$1:$E$212,4,FALSE),"")</f>
        <v>GR</v>
      </c>
      <c r="G108" s="18" t="s">
        <v>793</v>
      </c>
      <c r="H108" s="18" t="s">
        <v>541</v>
      </c>
      <c r="I108" s="17"/>
      <c r="J108" s="18" t="b">
        <v>1</v>
      </c>
    </row>
    <row r="109">
      <c r="A109" s="43"/>
      <c r="B109" s="18" t="s">
        <v>34</v>
      </c>
      <c r="C109" s="17" t="str">
        <f>IFERROR(VLOOKUP(B109,'MASTER DATA'!$A$1:$E$212,2,FALSE),"")</f>
        <v>BB-100023</v>
      </c>
      <c r="D109" s="17" t="str">
        <f>IFERROR(VLOOKUP(B109,'MASTER DATA'!$A$1:$E$212,5,FALSE),"")</f>
        <v>BAHAN BAKU LUUCA</v>
      </c>
      <c r="E109" s="28">
        <v>615.0</v>
      </c>
      <c r="F109" s="17" t="str">
        <f>IFERROR(VLOOKUP(B109,'MASTER DATA'!$A$1:$E$212,4,FALSE),"")</f>
        <v>GR</v>
      </c>
      <c r="G109" s="18" t="s">
        <v>703</v>
      </c>
      <c r="H109" s="18" t="s">
        <v>541</v>
      </c>
      <c r="I109" s="17"/>
      <c r="J109" s="18" t="b">
        <v>1</v>
      </c>
    </row>
    <row r="110">
      <c r="A110" s="43"/>
      <c r="B110" s="18" t="s">
        <v>108</v>
      </c>
      <c r="C110" s="17" t="str">
        <f>IFERROR(VLOOKUP(B110,'MASTER DATA'!$A$1:$E$212,2,FALSE),"")</f>
        <v>BB-100500</v>
      </c>
      <c r="D110" s="17" t="str">
        <f>IFERROR(VLOOKUP(B110,'MASTER DATA'!$A$1:$E$212,5,FALSE),"")</f>
        <v>BAHAN BAKU LUUCA</v>
      </c>
      <c r="E110" s="28" t="s">
        <v>962</v>
      </c>
      <c r="F110" s="17" t="str">
        <f>IFERROR(VLOOKUP(B110,'MASTER DATA'!$A$1:$E$212,4,FALSE),"")</f>
        <v>GR</v>
      </c>
      <c r="G110" s="18" t="s">
        <v>792</v>
      </c>
      <c r="H110" s="18" t="s">
        <v>553</v>
      </c>
      <c r="I110" s="17"/>
      <c r="J110" s="18" t="b">
        <v>1</v>
      </c>
    </row>
    <row r="111">
      <c r="A111" s="43"/>
      <c r="B111" s="18" t="s">
        <v>34</v>
      </c>
      <c r="C111" s="17" t="str">
        <f>IFERROR(VLOOKUP(B111,'MASTER DATA'!$A$1:$E$212,2,FALSE),"")</f>
        <v>BB-100023</v>
      </c>
      <c r="D111" s="17" t="str">
        <f>IFERROR(VLOOKUP(B111,'MASTER DATA'!$A$1:$E$212,5,FALSE),"")</f>
        <v>BAHAN BAKU LUUCA</v>
      </c>
      <c r="E111" s="28">
        <v>330.0</v>
      </c>
      <c r="F111" s="17" t="str">
        <f>IFERROR(VLOOKUP(B111,'MASTER DATA'!$A$1:$E$212,4,FALSE),"")</f>
        <v>GR</v>
      </c>
      <c r="G111" s="18" t="s">
        <v>703</v>
      </c>
      <c r="H111" s="18" t="s">
        <v>541</v>
      </c>
      <c r="I111" s="17"/>
      <c r="J111" s="18" t="b">
        <v>1</v>
      </c>
    </row>
    <row r="112">
      <c r="A112" s="43"/>
      <c r="B112" s="8" t="s">
        <v>238</v>
      </c>
      <c r="C112" s="17" t="str">
        <f>IFERROR(VLOOKUP(B112,'MASTER DATA'!$A$1:$E$212,2,FALSE),"")</f>
        <v>BB-100517</v>
      </c>
      <c r="D112" s="17" t="str">
        <f>IFERROR(VLOOKUP(B112,'MASTER DATA'!$A$1:$E$212,5,FALSE),"")</f>
        <v>PRODUKSI STOK LUUCA</v>
      </c>
      <c r="E112" s="28" t="s">
        <v>963</v>
      </c>
      <c r="F112" s="17" t="str">
        <f>IFERROR(VLOOKUP(B112,'MASTER DATA'!$A$1:$E$212,4,FALSE),"")</f>
        <v>PCS</v>
      </c>
      <c r="G112" s="18" t="s">
        <v>964</v>
      </c>
      <c r="H112" s="18" t="s">
        <v>615</v>
      </c>
      <c r="I112" s="17"/>
      <c r="J112" s="18" t="b">
        <v>1</v>
      </c>
    </row>
    <row r="113">
      <c r="A113" s="44"/>
      <c r="B113" s="18" t="s">
        <v>514</v>
      </c>
      <c r="C113" s="17" t="str">
        <f>IFERROR(VLOOKUP(B113,'MASTER DATA'!$A$1:$E$212,2,FALSE),"")</f>
        <v>P006-011</v>
      </c>
      <c r="D113" s="17" t="str">
        <f>IFERROR(VLOOKUP(B113,'MASTER DATA'!$A$1:$E$212,5,FALSE),"")</f>
        <v>PRODUKSI STOK LUUCA</v>
      </c>
      <c r="E113" s="28">
        <v>1460.0</v>
      </c>
      <c r="F113" s="17" t="str">
        <f>IFERROR(VLOOKUP(B113,'MASTER DATA'!$A$1:$E$212,4,FALSE),"")</f>
        <v>GR</v>
      </c>
      <c r="G113" s="18" t="s">
        <v>529</v>
      </c>
      <c r="H113" s="18" t="s">
        <v>522</v>
      </c>
      <c r="I113" s="17"/>
      <c r="J113" s="18" t="b">
        <v>1</v>
      </c>
    </row>
    <row r="114">
      <c r="A114" s="43"/>
      <c r="B114" s="18" t="s">
        <v>108</v>
      </c>
      <c r="C114" s="17" t="str">
        <f>IFERROR(VLOOKUP(B114,'MASTER DATA'!$A$1:$E$212,2,FALSE),"")</f>
        <v>BB-100500</v>
      </c>
      <c r="D114" s="17" t="str">
        <f>IFERROR(VLOOKUP(B114,'MASTER DATA'!$A$1:$E$212,5,FALSE),"")</f>
        <v>BAHAN BAKU LUUCA</v>
      </c>
      <c r="E114" s="28">
        <v>15.4</v>
      </c>
      <c r="F114" s="17" t="str">
        <f>IFERROR(VLOOKUP(B114,'MASTER DATA'!$A$1:$E$212,4,FALSE),"")</f>
        <v>GR</v>
      </c>
      <c r="G114" s="18" t="s">
        <v>496</v>
      </c>
      <c r="H114" s="18" t="s">
        <v>522</v>
      </c>
      <c r="I114" s="17"/>
      <c r="J114" s="18" t="b">
        <v>1</v>
      </c>
    </row>
    <row r="115">
      <c r="A115" s="52">
        <v>46193.0</v>
      </c>
      <c r="B115" s="18" t="s">
        <v>220</v>
      </c>
      <c r="C115" s="17" t="str">
        <f>IFERROR(VLOOKUP(B115,'MASTER DATA'!$A$1:$E$212,2,FALSE),"")</f>
        <v>BB-100507</v>
      </c>
      <c r="D115" s="17" t="str">
        <f>IFERROR(VLOOKUP(B115,'MASTER DATA'!$A$1:$E$212,5,FALSE),"")</f>
        <v>PRODUKSI STOK LUUCA</v>
      </c>
      <c r="E115" s="28">
        <v>8.0</v>
      </c>
      <c r="F115" s="17" t="str">
        <f>IFERROR(VLOOKUP(B115,'MASTER DATA'!$A$1:$E$212,4,FALSE),"")</f>
        <v>PCS</v>
      </c>
      <c r="G115" s="18" t="s">
        <v>528</v>
      </c>
      <c r="H115" s="18" t="s">
        <v>522</v>
      </c>
      <c r="I115" s="17"/>
      <c r="J115" s="18" t="b">
        <v>1</v>
      </c>
    </row>
    <row r="116">
      <c r="A116" s="53"/>
      <c r="B116" s="18" t="s">
        <v>236</v>
      </c>
      <c r="C116" s="17" t="str">
        <f>IFERROR(VLOOKUP(B116,'MASTER DATA'!$A$1:$E$212,2,FALSE),"")</f>
        <v>BB-100515</v>
      </c>
      <c r="D116" s="17" t="str">
        <f>IFERROR(VLOOKUP(B116,'MASTER DATA'!$A$1:$E$212,5,FALSE),"")</f>
        <v>PRODUKSI STOK LUUCA</v>
      </c>
      <c r="E116" s="28">
        <v>4.0</v>
      </c>
      <c r="F116" s="17" t="str">
        <f>IFERROR(VLOOKUP(B116,'MASTER DATA'!$A$1:$E$212,4,FALSE),"")</f>
        <v>PCS</v>
      </c>
      <c r="G116" s="18" t="s">
        <v>528</v>
      </c>
      <c r="H116" s="18" t="s">
        <v>522</v>
      </c>
      <c r="I116" s="17"/>
      <c r="J116" s="18" t="b">
        <v>1</v>
      </c>
    </row>
    <row r="117">
      <c r="A117" s="53"/>
      <c r="B117" s="18" t="s">
        <v>33</v>
      </c>
      <c r="C117" s="17" t="str">
        <f>IFERROR(VLOOKUP(B117,'MASTER DATA'!$A$1:$E$212,2,FALSE),"")</f>
        <v>BB-100022</v>
      </c>
      <c r="D117" s="17" t="str">
        <f>IFERROR(VLOOKUP(B117,'MASTER DATA'!$A$1:$E$212,5,FALSE),"")</f>
        <v>BAHAN BAKU LUUCA</v>
      </c>
      <c r="E117" s="28">
        <v>541.0</v>
      </c>
      <c r="F117" s="17" t="str">
        <f>IFERROR(VLOOKUP(B117,'MASTER DATA'!$A$1:$E$212,4,FALSE),"")</f>
        <v>GR</v>
      </c>
      <c r="G117" s="18" t="s">
        <v>703</v>
      </c>
      <c r="H117" s="18" t="s">
        <v>522</v>
      </c>
      <c r="I117" s="17"/>
      <c r="J117" s="18" t="b">
        <v>1</v>
      </c>
    </row>
    <row r="118">
      <c r="A118" s="53"/>
      <c r="B118" s="18" t="s">
        <v>34</v>
      </c>
      <c r="C118" s="17" t="str">
        <f>IFERROR(VLOOKUP(B118,'MASTER DATA'!$A$1:$E$212,2,FALSE),"")</f>
        <v>BB-100023</v>
      </c>
      <c r="D118" s="17" t="str">
        <f>IFERROR(VLOOKUP(B118,'MASTER DATA'!$A$1:$E$212,5,FALSE),"")</f>
        <v>BAHAN BAKU LUUCA</v>
      </c>
      <c r="E118" s="28">
        <v>1257.0</v>
      </c>
      <c r="F118" s="17" t="str">
        <f>IFERROR(VLOOKUP(B118,'MASTER DATA'!$A$1:$E$212,4,FALSE),"")</f>
        <v>GR</v>
      </c>
      <c r="G118" s="18" t="s">
        <v>703</v>
      </c>
      <c r="H118" s="18" t="s">
        <v>522</v>
      </c>
      <c r="I118" s="17"/>
      <c r="J118" s="18" t="b">
        <v>1</v>
      </c>
    </row>
    <row r="119">
      <c r="A119" s="53"/>
      <c r="B119" s="18" t="s">
        <v>33</v>
      </c>
      <c r="C119" s="17" t="str">
        <f>IFERROR(VLOOKUP(B119,'MASTER DATA'!$A$1:$E$212,2,FALSE),"")</f>
        <v>BB-100022</v>
      </c>
      <c r="D119" s="17" t="str">
        <f>IFERROR(VLOOKUP(B119,'MASTER DATA'!$A$1:$E$212,5,FALSE),"")</f>
        <v>BAHAN BAKU LUUCA</v>
      </c>
      <c r="E119" s="28" t="s">
        <v>967</v>
      </c>
      <c r="F119" s="17" t="str">
        <f>IFERROR(VLOOKUP(B119,'MASTER DATA'!$A$1:$E$212,4,FALSE),"")</f>
        <v>GR</v>
      </c>
      <c r="G119" s="18" t="s">
        <v>591</v>
      </c>
      <c r="H119" s="18" t="s">
        <v>553</v>
      </c>
      <c r="I119" s="17"/>
      <c r="J119" s="18" t="b">
        <v>1</v>
      </c>
    </row>
    <row r="120">
      <c r="A120" s="53"/>
      <c r="B120" s="18" t="s">
        <v>108</v>
      </c>
      <c r="C120" s="17" t="str">
        <f>IFERROR(VLOOKUP(B120,'MASTER DATA'!$A$1:$E$212,2,FALSE),"")</f>
        <v>BB-100500</v>
      </c>
      <c r="D120" s="17" t="str">
        <f>IFERROR(VLOOKUP(B120,'MASTER DATA'!$A$1:$E$212,5,FALSE),"")</f>
        <v>BAHAN BAKU LUUCA</v>
      </c>
      <c r="E120" s="28">
        <v>11.0</v>
      </c>
      <c r="F120" s="17" t="str">
        <f>IFERROR(VLOOKUP(B120,'MASTER DATA'!$A$1:$E$212,4,FALSE),"")</f>
        <v>GR</v>
      </c>
      <c r="G120" s="18" t="s">
        <v>792</v>
      </c>
      <c r="H120" s="18" t="s">
        <v>553</v>
      </c>
      <c r="I120" s="17"/>
      <c r="J120" s="18" t="b">
        <v>1</v>
      </c>
    </row>
    <row r="121">
      <c r="A121" s="53"/>
      <c r="B121" s="18" t="s">
        <v>53</v>
      </c>
      <c r="C121" s="17" t="str">
        <f>IFERROR(VLOOKUP(B121,'MASTER DATA'!$A$1:$E$212,2,FALSE),"")</f>
        <v>BB-100502</v>
      </c>
      <c r="D121" s="17" t="str">
        <f>IFERROR(VLOOKUP(B121,'MASTER DATA'!$A$1:$E$212,5,FALSE),"")</f>
        <v>BAHAN BAKU LUUCA</v>
      </c>
      <c r="E121" s="28" t="s">
        <v>969</v>
      </c>
      <c r="F121" s="17" t="str">
        <f>IFERROR(VLOOKUP(B121,'MASTER DATA'!$A$1:$E$212,4,FALSE),"")</f>
        <v>GR</v>
      </c>
      <c r="G121" s="18" t="s">
        <v>793</v>
      </c>
      <c r="H121" s="18" t="s">
        <v>553</v>
      </c>
      <c r="I121" s="17"/>
      <c r="J121" s="18" t="b">
        <v>1</v>
      </c>
    </row>
    <row r="122">
      <c r="A122" s="53"/>
      <c r="B122" s="18" t="s">
        <v>53</v>
      </c>
      <c r="C122" s="17" t="str">
        <f>IFERROR(VLOOKUP(B122,'MASTER DATA'!$A$1:$E$212,2,FALSE),"")</f>
        <v>BB-100502</v>
      </c>
      <c r="D122" s="17" t="str">
        <f>IFERROR(VLOOKUP(B122,'MASTER DATA'!$A$1:$E$212,5,FALSE),"")</f>
        <v>BAHAN BAKU LUUCA</v>
      </c>
      <c r="E122" s="28" t="s">
        <v>739</v>
      </c>
      <c r="F122" s="17" t="str">
        <f>IFERROR(VLOOKUP(B122,'MASTER DATA'!$A$1:$E$212,4,FALSE),"")</f>
        <v>GR</v>
      </c>
      <c r="G122" s="18" t="s">
        <v>496</v>
      </c>
      <c r="H122" s="18" t="s">
        <v>541</v>
      </c>
      <c r="I122" s="17"/>
      <c r="J122" s="18" t="b">
        <v>1</v>
      </c>
    </row>
    <row r="123">
      <c r="A123" s="53"/>
      <c r="B123" s="18" t="s">
        <v>53</v>
      </c>
      <c r="C123" s="17" t="str">
        <f>IFERROR(VLOOKUP(B123,'MASTER DATA'!$A$1:$E$212,2,FALSE),"")</f>
        <v>BB-100502</v>
      </c>
      <c r="D123" s="17" t="str">
        <f>IFERROR(VLOOKUP(B123,'MASTER DATA'!$A$1:$E$212,5,FALSE),"")</f>
        <v>BAHAN BAKU LUUCA</v>
      </c>
      <c r="E123" s="28">
        <v>62.0</v>
      </c>
      <c r="F123" s="17" t="str">
        <f>IFERROR(VLOOKUP(B123,'MASTER DATA'!$A$1:$E$212,4,FALSE),"")</f>
        <v>GR</v>
      </c>
      <c r="G123" s="18" t="s">
        <v>793</v>
      </c>
      <c r="H123" s="18" t="s">
        <v>541</v>
      </c>
      <c r="I123" s="17"/>
      <c r="J123" s="18" t="b">
        <v>1</v>
      </c>
    </row>
    <row r="124">
      <c r="A124" s="53"/>
      <c r="B124" s="18" t="s">
        <v>53</v>
      </c>
      <c r="C124" s="17" t="str">
        <f>IFERROR(VLOOKUP(B124,'MASTER DATA'!$A$1:$E$212,2,FALSE),"")</f>
        <v>BB-100502</v>
      </c>
      <c r="D124" s="17" t="str">
        <f>IFERROR(VLOOKUP(B124,'MASTER DATA'!$A$1:$E$212,5,FALSE),"")</f>
        <v>BAHAN BAKU LUUCA</v>
      </c>
      <c r="E124" s="28" t="s">
        <v>972</v>
      </c>
      <c r="F124" s="17" t="str">
        <f>IFERROR(VLOOKUP(B124,'MASTER DATA'!$A$1:$E$212,4,FALSE),"")</f>
        <v>GR</v>
      </c>
      <c r="G124" s="18" t="s">
        <v>496</v>
      </c>
      <c r="H124" s="18" t="s">
        <v>541</v>
      </c>
      <c r="I124" s="17"/>
      <c r="J124" s="18" t="b">
        <v>1</v>
      </c>
    </row>
    <row r="125">
      <c r="A125" s="43"/>
      <c r="B125" s="18" t="s">
        <v>108</v>
      </c>
      <c r="C125" s="17" t="str">
        <f>IFERROR(VLOOKUP(B125,'MASTER DATA'!$A$1:$E$212,2,FALSE),"")</f>
        <v>BB-100500</v>
      </c>
      <c r="D125" s="17" t="str">
        <f>IFERROR(VLOOKUP(B125,'MASTER DATA'!$A$1:$E$212,5,FALSE),"")</f>
        <v>BAHAN BAKU LUUCA</v>
      </c>
      <c r="E125" s="28">
        <v>16.0</v>
      </c>
      <c r="F125" s="17" t="str">
        <f>IFERROR(VLOOKUP(B125,'MASTER DATA'!$A$1:$E$212,4,FALSE),"")</f>
        <v>GR</v>
      </c>
      <c r="G125" s="18" t="s">
        <v>792</v>
      </c>
      <c r="H125" s="18" t="s">
        <v>615</v>
      </c>
      <c r="I125" s="17"/>
      <c r="J125" s="18" t="b">
        <v>1</v>
      </c>
    </row>
    <row r="126">
      <c r="A126" s="53"/>
      <c r="B126" s="18" t="s">
        <v>108</v>
      </c>
      <c r="C126" s="17" t="str">
        <f>IFERROR(VLOOKUP(B126,'MASTER DATA'!$A$1:$E$212,2,FALSE),"")</f>
        <v>BB-100500</v>
      </c>
      <c r="D126" s="17" t="str">
        <f>IFERROR(VLOOKUP(B126,'MASTER DATA'!$A$1:$E$212,5,FALSE),"")</f>
        <v>BAHAN BAKU LUUCA</v>
      </c>
      <c r="E126" s="28" t="s">
        <v>974</v>
      </c>
      <c r="F126" s="17" t="str">
        <f>IFERROR(VLOOKUP(B126,'MASTER DATA'!$A$1:$E$212,4,FALSE),"")</f>
        <v>GR</v>
      </c>
      <c r="G126" s="18" t="s">
        <v>496</v>
      </c>
      <c r="H126" s="18" t="s">
        <v>615</v>
      </c>
      <c r="I126" s="17"/>
      <c r="J126" s="18" t="b">
        <v>1</v>
      </c>
    </row>
    <row r="127">
      <c r="A127" s="53"/>
      <c r="B127" s="18" t="s">
        <v>53</v>
      </c>
      <c r="C127" s="17" t="str">
        <f>IFERROR(VLOOKUP(B127,'MASTER DATA'!$A$1:$E$212,2,FALSE),"")</f>
        <v>BB-100502</v>
      </c>
      <c r="D127" s="17" t="str">
        <f>IFERROR(VLOOKUP(B127,'MASTER DATA'!$A$1:$E$212,5,FALSE),"")</f>
        <v>BAHAN BAKU LUUCA</v>
      </c>
      <c r="E127" s="28">
        <v>71.0</v>
      </c>
      <c r="F127" s="17" t="str">
        <f>IFERROR(VLOOKUP(B127,'MASTER DATA'!$A$1:$E$212,4,FALSE),"")</f>
        <v>GR</v>
      </c>
      <c r="G127" s="18" t="s">
        <v>496</v>
      </c>
      <c r="H127" s="18" t="s">
        <v>615</v>
      </c>
      <c r="I127" s="17"/>
      <c r="J127" s="18" t="b">
        <v>1</v>
      </c>
    </row>
    <row r="128">
      <c r="A128" s="53"/>
      <c r="B128" s="18" t="s">
        <v>220</v>
      </c>
      <c r="C128" s="17" t="str">
        <f>IFERROR(VLOOKUP(B128,'MASTER DATA'!$A$1:$E$212,2,FALSE),"")</f>
        <v>BB-100507</v>
      </c>
      <c r="D128" s="17" t="str">
        <f>IFERROR(VLOOKUP(B128,'MASTER DATA'!$A$1:$E$212,5,FALSE),"")</f>
        <v>PRODUKSI STOK LUUCA</v>
      </c>
      <c r="E128" s="28">
        <v>5.0</v>
      </c>
      <c r="F128" s="17" t="str">
        <f>IFERROR(VLOOKUP(B128,'MASTER DATA'!$A$1:$E$212,4,FALSE),"")</f>
        <v>PCS</v>
      </c>
      <c r="G128" s="18" t="s">
        <v>528</v>
      </c>
      <c r="H128" s="18" t="s">
        <v>615</v>
      </c>
      <c r="I128" s="17"/>
      <c r="J128" s="18" t="b">
        <v>1</v>
      </c>
    </row>
    <row r="129">
      <c r="A129" s="53"/>
      <c r="B129" s="18" t="s">
        <v>238</v>
      </c>
      <c r="C129" s="17" t="str">
        <f>IFERROR(VLOOKUP(B129,'MASTER DATA'!$A$1:$E$212,2,FALSE),"")</f>
        <v>BB-100517</v>
      </c>
      <c r="D129" s="17" t="str">
        <f>IFERROR(VLOOKUP(B129,'MASTER DATA'!$A$1:$E$212,5,FALSE),"")</f>
        <v>PRODUKSI STOK LUUCA</v>
      </c>
      <c r="E129" s="28" t="s">
        <v>976</v>
      </c>
      <c r="F129" s="17" t="str">
        <f>IFERROR(VLOOKUP(B129,'MASTER DATA'!$A$1:$E$212,4,FALSE),"")</f>
        <v>PCS</v>
      </c>
      <c r="G129" s="18" t="s">
        <v>964</v>
      </c>
      <c r="H129" s="18" t="s">
        <v>615</v>
      </c>
      <c r="I129" s="17"/>
      <c r="J129" s="18" t="b">
        <v>1</v>
      </c>
    </row>
    <row r="130">
      <c r="A130" s="44"/>
      <c r="B130" s="18" t="s">
        <v>36</v>
      </c>
      <c r="C130" s="17" t="str">
        <f>IFERROR(VLOOKUP(B130,'MASTER DATA'!$A$1:$E$212,2,FALSE),"")</f>
        <v>BB-100024</v>
      </c>
      <c r="D130" s="17" t="str">
        <f>IFERROR(VLOOKUP(B130,'MASTER DATA'!$A$1:$E$212,5,FALSE),"")</f>
        <v>PRODUKSI STOK LUUCA</v>
      </c>
      <c r="E130" s="28">
        <v>1.0</v>
      </c>
      <c r="F130" s="17" t="str">
        <f>IFERROR(VLOOKUP(B130,'MASTER DATA'!$A$1:$E$212,4,FALSE),"")</f>
        <v>PCS</v>
      </c>
      <c r="G130" s="18" t="s">
        <v>581</v>
      </c>
      <c r="H130" s="18" t="s">
        <v>615</v>
      </c>
      <c r="I130" s="17"/>
      <c r="J130" s="18" t="b">
        <v>1</v>
      </c>
    </row>
    <row r="131">
      <c r="A131" s="52">
        <v>46194.0</v>
      </c>
      <c r="B131" s="18" t="s">
        <v>53</v>
      </c>
      <c r="C131" s="17" t="str">
        <f>IFERROR(VLOOKUP(B131,'MASTER DATA'!$A$1:$E$212,2,FALSE),"")</f>
        <v>BB-100502</v>
      </c>
      <c r="D131" s="17" t="str">
        <f>IFERROR(VLOOKUP(B131,'MASTER DATA'!$A$1:$E$212,5,FALSE),"")</f>
        <v>BAHAN BAKU LUUCA</v>
      </c>
      <c r="E131" s="28" t="s">
        <v>977</v>
      </c>
      <c r="F131" s="17" t="str">
        <f>IFERROR(VLOOKUP(B131,'MASTER DATA'!$A$1:$E$212,4,FALSE),"")</f>
        <v>GR</v>
      </c>
      <c r="G131" s="18" t="s">
        <v>555</v>
      </c>
      <c r="H131" s="18" t="s">
        <v>561</v>
      </c>
      <c r="I131" s="17"/>
      <c r="J131" s="18" t="b">
        <v>1</v>
      </c>
    </row>
    <row r="132">
      <c r="A132" s="53"/>
      <c r="B132" s="18" t="s">
        <v>53</v>
      </c>
      <c r="C132" s="17" t="str">
        <f>IFERROR(VLOOKUP(B132,'MASTER DATA'!$A$1:$E$212,2,FALSE),"")</f>
        <v>BB-100502</v>
      </c>
      <c r="D132" s="17" t="str">
        <f>IFERROR(VLOOKUP(B132,'MASTER DATA'!$A$1:$E$212,5,FALSE),"")</f>
        <v>BAHAN BAKU LUUCA</v>
      </c>
      <c r="E132" s="28" t="s">
        <v>980</v>
      </c>
      <c r="F132" s="17" t="str">
        <f>IFERROR(VLOOKUP(B132,'MASTER DATA'!$A$1:$E$212,4,FALSE),"")</f>
        <v>GR</v>
      </c>
      <c r="G132" s="18" t="s">
        <v>793</v>
      </c>
      <c r="H132" s="18" t="s">
        <v>561</v>
      </c>
      <c r="I132" s="17"/>
      <c r="J132" s="18" t="b">
        <v>1</v>
      </c>
    </row>
    <row r="133">
      <c r="A133" s="53"/>
      <c r="B133" s="18" t="s">
        <v>108</v>
      </c>
      <c r="C133" s="17" t="str">
        <f>IFERROR(VLOOKUP(B133,'MASTER DATA'!$A$1:$E$212,2,FALSE),"")</f>
        <v>BB-100500</v>
      </c>
      <c r="D133" s="17" t="str">
        <f>IFERROR(VLOOKUP(B133,'MASTER DATA'!$A$1:$E$212,5,FALSE),"")</f>
        <v>BAHAN BAKU LUUCA</v>
      </c>
      <c r="E133" s="28" t="s">
        <v>903</v>
      </c>
      <c r="F133" s="17" t="str">
        <f>IFERROR(VLOOKUP(B133,'MASTER DATA'!$A$1:$E$212,4,FALSE),"")</f>
        <v>GR</v>
      </c>
      <c r="G133" s="18" t="s">
        <v>792</v>
      </c>
      <c r="H133" s="18" t="s">
        <v>561</v>
      </c>
      <c r="I133" s="17"/>
      <c r="J133" s="18" t="b">
        <v>1</v>
      </c>
    </row>
    <row r="134">
      <c r="A134" s="53"/>
      <c r="B134" s="18" t="s">
        <v>108</v>
      </c>
      <c r="C134" s="17" t="str">
        <f>IFERROR(VLOOKUP(B134,'MASTER DATA'!$A$1:$E$212,2,FALSE),"")</f>
        <v>BB-100500</v>
      </c>
      <c r="D134" s="17" t="str">
        <f>IFERROR(VLOOKUP(B134,'MASTER DATA'!$A$1:$E$212,5,FALSE),"")</f>
        <v>BAHAN BAKU LUUCA</v>
      </c>
      <c r="E134" s="28">
        <v>9.0</v>
      </c>
      <c r="F134" s="17" t="str">
        <f>IFERROR(VLOOKUP(B134,'MASTER DATA'!$A$1:$E$212,4,FALSE),"")</f>
        <v>GR</v>
      </c>
      <c r="G134" s="18" t="s">
        <v>792</v>
      </c>
      <c r="H134" s="18" t="s">
        <v>615</v>
      </c>
      <c r="I134" s="17"/>
      <c r="J134" s="18" t="b">
        <v>1</v>
      </c>
    </row>
    <row r="135">
      <c r="A135" s="53"/>
      <c r="B135" s="18" t="s">
        <v>53</v>
      </c>
      <c r="C135" s="17" t="str">
        <f>IFERROR(VLOOKUP(B135,'MASTER DATA'!$A$1:$E$212,2,FALSE),"")</f>
        <v>BB-100502</v>
      </c>
      <c r="D135" s="17" t="str">
        <f>IFERROR(VLOOKUP(B135,'MASTER DATA'!$A$1:$E$212,5,FALSE),"")</f>
        <v>BAHAN BAKU LUUCA</v>
      </c>
      <c r="E135" s="28" t="s">
        <v>984</v>
      </c>
      <c r="F135" s="17" t="str">
        <f>IFERROR(VLOOKUP(B135,'MASTER DATA'!$A$1:$E$212,4,FALSE),"")</f>
        <v>GR</v>
      </c>
      <c r="G135" s="18" t="s">
        <v>793</v>
      </c>
      <c r="H135" s="18" t="s">
        <v>615</v>
      </c>
      <c r="I135" s="17"/>
      <c r="J135" s="18" t="b">
        <v>1</v>
      </c>
    </row>
    <row r="136">
      <c r="A136" s="53"/>
      <c r="B136" s="18" t="s">
        <v>109</v>
      </c>
      <c r="C136" s="17" t="str">
        <f>IFERROR(VLOOKUP(B136,'MASTER DATA'!$A$1:$E$212,2,FALSE),"")</f>
        <v>BB-100501</v>
      </c>
      <c r="D136" s="17" t="str">
        <f>IFERROR(VLOOKUP(B136,'MASTER DATA'!$A$1:$E$212,5,FALSE),"")</f>
        <v>BAHAN BAKU LUUCA</v>
      </c>
      <c r="E136" s="28" t="s">
        <v>985</v>
      </c>
      <c r="F136" s="17" t="str">
        <f>IFERROR(VLOOKUP(B136,'MASTER DATA'!$A$1:$E$212,4,FALSE),"")</f>
        <v>GR</v>
      </c>
      <c r="G136" s="18" t="s">
        <v>986</v>
      </c>
      <c r="H136" s="18" t="s">
        <v>615</v>
      </c>
      <c r="I136" s="17"/>
      <c r="J136" s="18" t="b">
        <v>1</v>
      </c>
    </row>
    <row r="137">
      <c r="A137" s="53"/>
      <c r="B137" s="18" t="s">
        <v>53</v>
      </c>
      <c r="C137" s="17" t="str">
        <f>IFERROR(VLOOKUP(B137,'MASTER DATA'!$A$1:$E$212,2,FALSE),"")</f>
        <v>BB-100502</v>
      </c>
      <c r="D137" s="17" t="str">
        <f>IFERROR(VLOOKUP(B137,'MASTER DATA'!$A$1:$E$212,5,FALSE),"")</f>
        <v>BAHAN BAKU LUUCA</v>
      </c>
      <c r="E137" s="28" t="s">
        <v>925</v>
      </c>
      <c r="F137" s="17" t="str">
        <f>IFERROR(VLOOKUP(B137,'MASTER DATA'!$A$1:$E$212,4,FALSE),"")</f>
        <v>GR</v>
      </c>
      <c r="G137" s="18" t="s">
        <v>793</v>
      </c>
      <c r="H137" s="18" t="s">
        <v>615</v>
      </c>
      <c r="I137" s="17"/>
      <c r="J137" s="18" t="b">
        <v>1</v>
      </c>
    </row>
    <row r="138">
      <c r="A138" s="52"/>
      <c r="B138" s="18" t="s">
        <v>53</v>
      </c>
      <c r="C138" s="17" t="str">
        <f>IFERROR(VLOOKUP(B138,'MASTER DATA'!$A$1:$E$212,2,FALSE),"")</f>
        <v>BB-100502</v>
      </c>
      <c r="D138" s="17" t="str">
        <f>IFERROR(VLOOKUP(B138,'MASTER DATA'!$A$1:$E$212,5,FALSE),"")</f>
        <v>BAHAN BAKU LUUCA</v>
      </c>
      <c r="E138" s="28" t="s">
        <v>989</v>
      </c>
      <c r="F138" s="17" t="str">
        <f>IFERROR(VLOOKUP(B138,'MASTER DATA'!$A$1:$E$212,4,FALSE),"")</f>
        <v>GR</v>
      </c>
      <c r="G138" s="18" t="s">
        <v>793</v>
      </c>
      <c r="H138" s="18" t="s">
        <v>561</v>
      </c>
      <c r="I138" s="17"/>
      <c r="J138" s="18" t="b">
        <v>1</v>
      </c>
    </row>
    <row r="139">
      <c r="A139" s="53"/>
      <c r="B139" s="18" t="s">
        <v>33</v>
      </c>
      <c r="C139" s="17" t="str">
        <f>IFERROR(VLOOKUP(B139,'MASTER DATA'!$A$1:$E$212,2,FALSE),"")</f>
        <v>BB-100022</v>
      </c>
      <c r="D139" s="17" t="str">
        <f>IFERROR(VLOOKUP(B139,'MASTER DATA'!$A$1:$E$212,5,FALSE),"")</f>
        <v>BAHAN BAKU LUUCA</v>
      </c>
      <c r="E139" s="28">
        <v>908.0</v>
      </c>
      <c r="F139" s="17" t="str">
        <f>IFERROR(VLOOKUP(B139,'MASTER DATA'!$A$1:$E$212,4,FALSE),"")</f>
        <v>GR</v>
      </c>
      <c r="G139" s="18" t="s">
        <v>703</v>
      </c>
      <c r="H139" s="18" t="s">
        <v>561</v>
      </c>
      <c r="I139" s="17"/>
      <c r="J139" s="18" t="b">
        <v>1</v>
      </c>
    </row>
    <row r="140">
      <c r="A140" s="53"/>
      <c r="B140" s="18" t="s">
        <v>34</v>
      </c>
      <c r="C140" s="17" t="str">
        <f>IFERROR(VLOOKUP(B140,'MASTER DATA'!$A$1:$E$212,2,FALSE),"")</f>
        <v>BB-100023</v>
      </c>
      <c r="D140" s="17" t="str">
        <f>IFERROR(VLOOKUP(B140,'MASTER DATA'!$A$1:$E$212,5,FALSE),"")</f>
        <v>BAHAN BAKU LUUCA</v>
      </c>
      <c r="E140" s="28" t="s">
        <v>992</v>
      </c>
      <c r="F140" s="17" t="str">
        <f>IFERROR(VLOOKUP(B140,'MASTER DATA'!$A$1:$E$212,4,FALSE),"")</f>
        <v>GR</v>
      </c>
      <c r="G140" s="18" t="s">
        <v>703</v>
      </c>
      <c r="H140" s="18" t="s">
        <v>561</v>
      </c>
      <c r="I140" s="17"/>
      <c r="J140" s="18" t="b">
        <v>1</v>
      </c>
    </row>
    <row r="141">
      <c r="A141" s="52">
        <v>46195.0</v>
      </c>
      <c r="B141" s="18" t="s">
        <v>108</v>
      </c>
      <c r="C141" s="17" t="str">
        <f>IFERROR(VLOOKUP(B141,'MASTER DATA'!$A$1:$E$212,2,FALSE),"")</f>
        <v>BB-100500</v>
      </c>
      <c r="D141" s="17" t="str">
        <f>IFERROR(VLOOKUP(B141,'MASTER DATA'!$A$1:$E$212,5,FALSE),"")</f>
        <v>BAHAN BAKU LUUCA</v>
      </c>
      <c r="E141" s="28" t="s">
        <v>934</v>
      </c>
      <c r="F141" s="17" t="str">
        <f>IFERROR(VLOOKUP(B141,'MASTER DATA'!$A$1:$E$212,4,FALSE),"")</f>
        <v>GR</v>
      </c>
      <c r="G141" s="18" t="s">
        <v>797</v>
      </c>
      <c r="H141" s="18" t="s">
        <v>561</v>
      </c>
      <c r="I141" s="17"/>
      <c r="J141" s="18" t="b">
        <v>1</v>
      </c>
    </row>
    <row r="142">
      <c r="A142" s="53"/>
      <c r="B142" s="18" t="s">
        <v>53</v>
      </c>
      <c r="C142" s="17" t="str">
        <f>IFERROR(VLOOKUP(B142,'MASTER DATA'!$A$1:$E$212,2,FALSE),"")</f>
        <v>BB-100502</v>
      </c>
      <c r="D142" s="17" t="str">
        <f>IFERROR(VLOOKUP(B142,'MASTER DATA'!$A$1:$E$212,5,FALSE),"")</f>
        <v>BAHAN BAKU LUUCA</v>
      </c>
      <c r="E142" s="28" t="s">
        <v>993</v>
      </c>
      <c r="F142" s="17" t="str">
        <f>IFERROR(VLOOKUP(B142,'MASTER DATA'!$A$1:$E$212,4,FALSE),"")</f>
        <v>GR</v>
      </c>
      <c r="G142" s="18" t="s">
        <v>793</v>
      </c>
      <c r="H142" s="18" t="s">
        <v>595</v>
      </c>
      <c r="I142" s="17"/>
      <c r="J142" s="18" t="b">
        <v>1</v>
      </c>
    </row>
    <row r="143">
      <c r="A143" s="53"/>
      <c r="B143" s="18" t="s">
        <v>53</v>
      </c>
      <c r="C143" s="17" t="str">
        <f>IFERROR(VLOOKUP(B143,'MASTER DATA'!$A$1:$E$212,2,FALSE),"")</f>
        <v>BB-100502</v>
      </c>
      <c r="D143" s="17" t="str">
        <f>IFERROR(VLOOKUP(B143,'MASTER DATA'!$A$1:$E$212,5,FALSE),"")</f>
        <v>BAHAN BAKU LUUCA</v>
      </c>
      <c r="E143" s="28" t="s">
        <v>994</v>
      </c>
      <c r="F143" s="17" t="str">
        <f>IFERROR(VLOOKUP(B143,'MASTER DATA'!$A$1:$E$212,4,FALSE),"")</f>
        <v>GR</v>
      </c>
      <c r="G143" s="18" t="s">
        <v>496</v>
      </c>
      <c r="H143" s="18" t="s">
        <v>595</v>
      </c>
      <c r="I143" s="17"/>
      <c r="J143" s="18" t="b">
        <v>1</v>
      </c>
    </row>
    <row r="144">
      <c r="A144" s="53"/>
      <c r="B144" s="18" t="s">
        <v>108</v>
      </c>
      <c r="C144" s="17" t="str">
        <f>IFERROR(VLOOKUP(B144,'MASTER DATA'!$A$1:$E$212,2,FALSE),"")</f>
        <v>BB-100500</v>
      </c>
      <c r="D144" s="17" t="str">
        <f>IFERROR(VLOOKUP(B144,'MASTER DATA'!$A$1:$E$212,5,FALSE),"")</f>
        <v>BAHAN BAKU LUUCA</v>
      </c>
      <c r="E144" s="28" t="s">
        <v>995</v>
      </c>
      <c r="F144" s="17" t="str">
        <f>IFERROR(VLOOKUP(B144,'MASTER DATA'!$A$1:$E$212,4,FALSE),"")</f>
        <v>GR</v>
      </c>
      <c r="G144" s="18" t="s">
        <v>792</v>
      </c>
      <c r="H144" s="18" t="s">
        <v>595</v>
      </c>
      <c r="I144" s="17"/>
      <c r="J144" s="18" t="b">
        <v>1</v>
      </c>
    </row>
    <row r="145">
      <c r="A145" s="53"/>
      <c r="B145" s="18" t="s">
        <v>34</v>
      </c>
      <c r="C145" s="17" t="str">
        <f>IFERROR(VLOOKUP(B145,'MASTER DATA'!$A$1:$E$212,2,FALSE),"")</f>
        <v>BB-100023</v>
      </c>
      <c r="D145" s="17" t="str">
        <f>IFERROR(VLOOKUP(B145,'MASTER DATA'!$A$1:$E$212,5,FALSE),"")</f>
        <v>BAHAN BAKU LUUCA</v>
      </c>
      <c r="E145" s="28" t="s">
        <v>997</v>
      </c>
      <c r="F145" s="17" t="str">
        <f>IFERROR(VLOOKUP(B145,'MASTER DATA'!$A$1:$E$212,4,FALSE),"")</f>
        <v>GR</v>
      </c>
      <c r="G145" s="18" t="s">
        <v>703</v>
      </c>
      <c r="H145" s="18" t="s">
        <v>595</v>
      </c>
      <c r="I145" s="17"/>
      <c r="J145" s="18" t="b">
        <v>1</v>
      </c>
    </row>
    <row r="146">
      <c r="A146" s="53"/>
      <c r="B146" s="18" t="s">
        <v>220</v>
      </c>
      <c r="C146" s="17" t="str">
        <f>IFERROR(VLOOKUP(B146,'MASTER DATA'!$A$1:$E$212,2,FALSE),"")</f>
        <v>BB-100507</v>
      </c>
      <c r="D146" s="17" t="str">
        <f>IFERROR(VLOOKUP(B146,'MASTER DATA'!$A$1:$E$212,5,FALSE),"")</f>
        <v>PRODUKSI STOK LUUCA</v>
      </c>
      <c r="E146" s="28">
        <v>9.0</v>
      </c>
      <c r="F146" s="17" t="str">
        <f>IFERROR(VLOOKUP(B146,'MASTER DATA'!$A$1:$E$212,4,FALSE),"")</f>
        <v>PCS</v>
      </c>
      <c r="G146" s="18" t="s">
        <v>528</v>
      </c>
      <c r="H146" s="18" t="s">
        <v>595</v>
      </c>
      <c r="I146" s="17"/>
      <c r="J146" s="18" t="b">
        <v>1</v>
      </c>
    </row>
    <row r="147">
      <c r="A147" s="53"/>
      <c r="B147" s="18" t="s">
        <v>238</v>
      </c>
      <c r="C147" s="17" t="str">
        <f>IFERROR(VLOOKUP(B147,'MASTER DATA'!$A$1:$E$212,2,FALSE),"")</f>
        <v>BB-100517</v>
      </c>
      <c r="D147" s="17" t="str">
        <f>IFERROR(VLOOKUP(B147,'MASTER DATA'!$A$1:$E$212,5,FALSE),"")</f>
        <v>PRODUKSI STOK LUUCA</v>
      </c>
      <c r="E147" s="28" t="s">
        <v>998</v>
      </c>
      <c r="F147" s="17" t="str">
        <f>IFERROR(VLOOKUP(B147,'MASTER DATA'!$A$1:$E$212,4,FALSE),"")</f>
        <v>PCS</v>
      </c>
      <c r="G147" s="18" t="s">
        <v>964</v>
      </c>
      <c r="H147" s="18" t="s">
        <v>595</v>
      </c>
      <c r="I147" s="17"/>
      <c r="J147" s="18" t="b">
        <v>1</v>
      </c>
    </row>
    <row r="148">
      <c r="A148" s="53"/>
      <c r="B148" s="18" t="s">
        <v>36</v>
      </c>
      <c r="C148" s="17" t="str">
        <f>IFERROR(VLOOKUP(B148,'MASTER DATA'!$A$1:$E$212,2,FALSE),"")</f>
        <v>BB-100024</v>
      </c>
      <c r="D148" s="17" t="str">
        <f>IFERROR(VLOOKUP(B148,'MASTER DATA'!$A$1:$E$212,5,FALSE),"")</f>
        <v>PRODUKSI STOK LUUCA</v>
      </c>
      <c r="E148" s="28">
        <v>2.0</v>
      </c>
      <c r="F148" s="17" t="str">
        <f>IFERROR(VLOOKUP(B148,'MASTER DATA'!$A$1:$E$212,4,FALSE),"")</f>
        <v>PCS</v>
      </c>
      <c r="G148" s="18" t="s">
        <v>293</v>
      </c>
      <c r="H148" s="18" t="s">
        <v>522</v>
      </c>
      <c r="I148" s="17"/>
      <c r="J148" s="18" t="b">
        <v>1</v>
      </c>
    </row>
    <row r="149">
      <c r="A149" s="53"/>
      <c r="B149" s="18" t="s">
        <v>109</v>
      </c>
      <c r="C149" s="17" t="str">
        <f>IFERROR(VLOOKUP(B149,'MASTER DATA'!$A$1:$E$212,2,FALSE),"")</f>
        <v>BB-100501</v>
      </c>
      <c r="D149" s="17" t="str">
        <f>IFERROR(VLOOKUP(B149,'MASTER DATA'!$A$1:$E$212,5,FALSE),"")</f>
        <v>BAHAN BAKU LUUCA</v>
      </c>
      <c r="E149" s="28" t="s">
        <v>1000</v>
      </c>
      <c r="F149" s="17" t="str">
        <f>IFERROR(VLOOKUP(B149,'MASTER DATA'!$A$1:$E$212,4,FALSE),"")</f>
        <v>GR</v>
      </c>
      <c r="G149" s="18" t="s">
        <v>986</v>
      </c>
      <c r="H149" s="18" t="s">
        <v>522</v>
      </c>
      <c r="I149" s="17"/>
      <c r="J149" s="18" t="b">
        <v>1</v>
      </c>
    </row>
    <row r="150">
      <c r="A150" s="52">
        <v>46196.0</v>
      </c>
      <c r="B150" s="18" t="s">
        <v>108</v>
      </c>
      <c r="C150" s="17" t="str">
        <f>IFERROR(VLOOKUP(B150,'MASTER DATA'!$A$1:$E$212,2,FALSE),"")</f>
        <v>BB-100500</v>
      </c>
      <c r="D150" s="17" t="str">
        <f>IFERROR(VLOOKUP(B150,'MASTER DATA'!$A$1:$E$212,5,FALSE),"")</f>
        <v>BAHAN BAKU LUUCA</v>
      </c>
      <c r="E150" s="28" t="s">
        <v>1002</v>
      </c>
      <c r="F150" s="17" t="str">
        <f>IFERROR(VLOOKUP(B150,'MASTER DATA'!$A$1:$E$212,4,FALSE),"")</f>
        <v>GR</v>
      </c>
      <c r="G150" s="18" t="s">
        <v>792</v>
      </c>
      <c r="H150" s="18" t="s">
        <v>553</v>
      </c>
      <c r="I150" s="17"/>
      <c r="J150" s="18" t="b">
        <v>1</v>
      </c>
    </row>
    <row r="151">
      <c r="A151" s="52"/>
      <c r="B151" s="18" t="s">
        <v>108</v>
      </c>
      <c r="C151" s="17" t="str">
        <f>IFERROR(VLOOKUP(B151,'MASTER DATA'!$A$1:$E$212,2,FALSE),"")</f>
        <v>BB-100500</v>
      </c>
      <c r="D151" s="17" t="str">
        <f>IFERROR(VLOOKUP(B151,'MASTER DATA'!$A$1:$E$212,5,FALSE),"")</f>
        <v>BAHAN BAKU LUUCA</v>
      </c>
      <c r="E151" s="28">
        <v>37.0</v>
      </c>
      <c r="F151" s="17" t="str">
        <f>IFERROR(VLOOKUP(B151,'MASTER DATA'!$A$1:$E$212,4,FALSE),"")</f>
        <v>GR</v>
      </c>
      <c r="G151" s="18" t="s">
        <v>792</v>
      </c>
      <c r="H151" s="18" t="s">
        <v>522</v>
      </c>
      <c r="I151" s="17"/>
      <c r="J151" s="18" t="b">
        <v>1</v>
      </c>
    </row>
    <row r="152">
      <c r="A152" s="53"/>
      <c r="B152" s="18" t="s">
        <v>33</v>
      </c>
      <c r="C152" s="17" t="str">
        <f>IFERROR(VLOOKUP(B152,'MASTER DATA'!$A$1:$E$212,2,FALSE),"")</f>
        <v>BB-100022</v>
      </c>
      <c r="D152" s="17" t="str">
        <f>IFERROR(VLOOKUP(B152,'MASTER DATA'!$A$1:$E$212,5,FALSE),"")</f>
        <v>BAHAN BAKU LUUCA</v>
      </c>
      <c r="E152" s="28">
        <v>718.0</v>
      </c>
      <c r="F152" s="17" t="str">
        <f>IFERROR(VLOOKUP(B152,'MASTER DATA'!$A$1:$E$212,4,FALSE),"")</f>
        <v>GR</v>
      </c>
      <c r="G152" s="18" t="s">
        <v>703</v>
      </c>
      <c r="H152" s="18" t="s">
        <v>522</v>
      </c>
      <c r="I152" s="17"/>
      <c r="J152" s="18" t="b">
        <v>1</v>
      </c>
    </row>
    <row r="153">
      <c r="A153" s="53"/>
      <c r="B153" s="18" t="s">
        <v>34</v>
      </c>
      <c r="C153" s="17" t="str">
        <f>IFERROR(VLOOKUP(B153,'MASTER DATA'!$A$1:$E$212,2,FALSE),"")</f>
        <v>BB-100023</v>
      </c>
      <c r="D153" s="17" t="str">
        <f>IFERROR(VLOOKUP(B153,'MASTER DATA'!$A$1:$E$212,5,FALSE),"")</f>
        <v>BAHAN BAKU LUUCA</v>
      </c>
      <c r="E153" s="28">
        <v>746.5</v>
      </c>
      <c r="F153" s="17" t="str">
        <f>IFERROR(VLOOKUP(B153,'MASTER DATA'!$A$1:$E$212,4,FALSE),"")</f>
        <v>GR</v>
      </c>
      <c r="G153" s="18" t="s">
        <v>703</v>
      </c>
      <c r="H153" s="18" t="s">
        <v>522</v>
      </c>
      <c r="I153" s="17"/>
      <c r="J153" s="18" t="b">
        <v>1</v>
      </c>
    </row>
    <row r="154">
      <c r="A154" s="53"/>
      <c r="B154" s="18" t="s">
        <v>108</v>
      </c>
      <c r="C154" s="17" t="str">
        <f>IFERROR(VLOOKUP(B154,'MASTER DATA'!$A$1:$E$212,2,FALSE),"")</f>
        <v>BB-100500</v>
      </c>
      <c r="D154" s="17" t="str">
        <f>IFERROR(VLOOKUP(B154,'MASTER DATA'!$A$1:$E$212,5,FALSE),"")</f>
        <v>BAHAN BAKU LUUCA</v>
      </c>
      <c r="E154" s="28">
        <v>6.5</v>
      </c>
      <c r="F154" s="17" t="str">
        <f>IFERROR(VLOOKUP(B154,'MASTER DATA'!$A$1:$E$212,4,FALSE),"")</f>
        <v>GR</v>
      </c>
      <c r="G154" s="18" t="s">
        <v>792</v>
      </c>
      <c r="H154" s="18" t="s">
        <v>522</v>
      </c>
      <c r="I154" s="17"/>
      <c r="J154" s="18" t="b">
        <v>1</v>
      </c>
    </row>
    <row r="155">
      <c r="A155" s="44" t="s">
        <v>1009</v>
      </c>
      <c r="B155" s="18" t="s">
        <v>109</v>
      </c>
      <c r="C155" s="17" t="str">
        <f>IFERROR(VLOOKUP(B155,'MASTER DATA'!$A$1:$E$212,2,FALSE),"")</f>
        <v>BB-100501</v>
      </c>
      <c r="D155" s="17" t="str">
        <f>IFERROR(VLOOKUP(B155,'MASTER DATA'!$A$1:$E$212,5,FALSE),"")</f>
        <v>BAHAN BAKU LUUCA</v>
      </c>
      <c r="E155" s="28">
        <v>19.8</v>
      </c>
      <c r="F155" s="17" t="str">
        <f>IFERROR(VLOOKUP(B155,'MASTER DATA'!$A$1:$E$212,4,FALSE),"")</f>
        <v>GR</v>
      </c>
      <c r="G155" s="18" t="s">
        <v>656</v>
      </c>
      <c r="H155" s="18" t="s">
        <v>522</v>
      </c>
      <c r="I155" s="17"/>
      <c r="J155" s="18" t="b">
        <v>1</v>
      </c>
    </row>
    <row r="156">
      <c r="A156" s="53"/>
      <c r="B156" s="18" t="s">
        <v>108</v>
      </c>
      <c r="C156" s="17" t="str">
        <f>IFERROR(VLOOKUP(B156,'MASTER DATA'!$A$1:$E$212,2,FALSE),"")</f>
        <v>BB-100500</v>
      </c>
      <c r="D156" s="17" t="str">
        <f>IFERROR(VLOOKUP(B156,'MASTER DATA'!$A$1:$E$212,5,FALSE),"")</f>
        <v>BAHAN BAKU LUUCA</v>
      </c>
      <c r="E156" s="28">
        <v>11.0</v>
      </c>
      <c r="F156" s="17" t="str">
        <f>IFERROR(VLOOKUP(B156,'MASTER DATA'!$A$1:$E$212,4,FALSE),"")</f>
        <v>GR</v>
      </c>
      <c r="G156" s="18" t="s">
        <v>792</v>
      </c>
      <c r="H156" s="18" t="s">
        <v>522</v>
      </c>
      <c r="I156" s="17"/>
      <c r="J156" s="18" t="b">
        <v>1</v>
      </c>
    </row>
    <row r="157">
      <c r="A157" s="53"/>
      <c r="B157" s="18" t="s">
        <v>53</v>
      </c>
      <c r="C157" s="17" t="str">
        <f>IFERROR(VLOOKUP(B157,'MASTER DATA'!$A$1:$E$212,2,FALSE),"")</f>
        <v>BB-100502</v>
      </c>
      <c r="D157" s="17" t="str">
        <f>IFERROR(VLOOKUP(B157,'MASTER DATA'!$A$1:$E$212,5,FALSE),"")</f>
        <v>BAHAN BAKU LUUCA</v>
      </c>
      <c r="E157" s="54">
        <v>46196.0</v>
      </c>
      <c r="F157" s="17" t="str">
        <f>IFERROR(VLOOKUP(B157,'MASTER DATA'!$A$1:$E$212,4,FALSE),"")</f>
        <v>GR</v>
      </c>
      <c r="G157" s="18" t="s">
        <v>496</v>
      </c>
      <c r="H157" s="18" t="s">
        <v>522</v>
      </c>
      <c r="I157" s="17"/>
      <c r="J157" s="18" t="b">
        <v>1</v>
      </c>
    </row>
    <row r="158">
      <c r="A158" s="53"/>
      <c r="B158" s="18" t="s">
        <v>33</v>
      </c>
      <c r="C158" s="17" t="str">
        <f>IFERROR(VLOOKUP(B158,'MASTER DATA'!$A$1:$E$212,2,FALSE),"")</f>
        <v>BB-100022</v>
      </c>
      <c r="D158" s="17" t="str">
        <f>IFERROR(VLOOKUP(B158,'MASTER DATA'!$A$1:$E$212,5,FALSE),"")</f>
        <v>BAHAN BAKU LUUCA</v>
      </c>
      <c r="E158" s="28">
        <v>634.0</v>
      </c>
      <c r="F158" s="17" t="str">
        <f>IFERROR(VLOOKUP(B158,'MASTER DATA'!$A$1:$E$212,4,FALSE),"")</f>
        <v>GR</v>
      </c>
      <c r="G158" s="18" t="s">
        <v>703</v>
      </c>
      <c r="H158" s="18" t="s">
        <v>1010</v>
      </c>
      <c r="I158" s="17"/>
      <c r="J158" s="18" t="b">
        <v>1</v>
      </c>
    </row>
    <row r="159">
      <c r="A159" s="53"/>
      <c r="B159" s="18" t="s">
        <v>181</v>
      </c>
      <c r="C159" s="17" t="str">
        <f>IFERROR(VLOOKUP(B159,'MASTER DATA'!$A$1:$E$212,2,FALSE),"")</f>
        <v>P006-004</v>
      </c>
      <c r="D159" s="17" t="str">
        <f>IFERROR(VLOOKUP(B159,'MASTER DATA'!$A$1:$E$212,5,FALSE),"")</f>
        <v>PRODUKSI STOK LUUCA</v>
      </c>
      <c r="E159" s="28">
        <v>1540.0</v>
      </c>
      <c r="F159" s="17" t="str">
        <f>IFERROR(VLOOKUP(B159,'MASTER DATA'!$A$1:$E$212,4,FALSE),"")</f>
        <v>GR</v>
      </c>
      <c r="G159" s="18" t="s">
        <v>1011</v>
      </c>
      <c r="H159" s="18" t="s">
        <v>522</v>
      </c>
      <c r="I159" s="17"/>
      <c r="J159" s="18" t="b">
        <v>1</v>
      </c>
    </row>
    <row r="160">
      <c r="A160" s="53"/>
      <c r="B160" s="18" t="s">
        <v>34</v>
      </c>
      <c r="C160" s="17" t="str">
        <f>IFERROR(VLOOKUP(B160,'MASTER DATA'!$A$1:$E$212,2,FALSE),"")</f>
        <v>BB-100023</v>
      </c>
      <c r="D160" s="17" t="str">
        <f>IFERROR(VLOOKUP(B160,'MASTER DATA'!$A$1:$E$212,5,FALSE),"")</f>
        <v>BAHAN BAKU LUUCA</v>
      </c>
      <c r="E160" s="28">
        <v>723.5</v>
      </c>
      <c r="F160" s="17" t="str">
        <f>IFERROR(VLOOKUP(B160,'MASTER DATA'!$A$1:$E$212,4,FALSE),"")</f>
        <v>GR</v>
      </c>
      <c r="G160" s="18" t="s">
        <v>703</v>
      </c>
      <c r="H160" s="18" t="s">
        <v>522</v>
      </c>
      <c r="I160" s="17"/>
      <c r="J160" s="18" t="b">
        <v>1</v>
      </c>
    </row>
    <row r="161">
      <c r="A161" s="44" t="s">
        <v>1012</v>
      </c>
      <c r="B161" s="18" t="s">
        <v>53</v>
      </c>
      <c r="C161" s="17" t="str">
        <f>IFERROR(VLOOKUP(B161,'MASTER DATA'!$A$1:$E$212,2,FALSE),"")</f>
        <v>BB-100502</v>
      </c>
      <c r="D161" s="17" t="str">
        <f>IFERROR(VLOOKUP(B161,'MASTER DATA'!$A$1:$E$212,5,FALSE),"")</f>
        <v>BAHAN BAKU LUUCA</v>
      </c>
      <c r="E161" s="28">
        <v>46.3</v>
      </c>
      <c r="F161" s="17" t="str">
        <f>IFERROR(VLOOKUP(B161,'MASTER DATA'!$A$1:$E$212,4,FALSE),"")</f>
        <v>GR</v>
      </c>
      <c r="G161" s="18" t="s">
        <v>793</v>
      </c>
      <c r="H161" s="18" t="s">
        <v>615</v>
      </c>
      <c r="I161" s="17"/>
      <c r="J161" s="18" t="b">
        <v>1</v>
      </c>
    </row>
    <row r="162">
      <c r="A162" s="53"/>
      <c r="B162" s="18" t="s">
        <v>53</v>
      </c>
      <c r="C162" s="17" t="str">
        <f>IFERROR(VLOOKUP(B162,'MASTER DATA'!$A$1:$E$212,2,FALSE),"")</f>
        <v>BB-100502</v>
      </c>
      <c r="D162" s="17" t="str">
        <f>IFERROR(VLOOKUP(B162,'MASTER DATA'!$A$1:$E$212,5,FALSE),"")</f>
        <v>BAHAN BAKU LUUCA</v>
      </c>
      <c r="E162" s="28">
        <v>86.5</v>
      </c>
      <c r="F162" s="17" t="str">
        <f>IFERROR(VLOOKUP(B162,'MASTER DATA'!$A$1:$E$212,4,FALSE),"")</f>
        <v>GR</v>
      </c>
      <c r="G162" s="18" t="s">
        <v>793</v>
      </c>
      <c r="H162" s="18" t="s">
        <v>595</v>
      </c>
      <c r="I162" s="17"/>
      <c r="J162" s="18" t="b">
        <v>1</v>
      </c>
    </row>
    <row r="163">
      <c r="A163" s="44" t="s">
        <v>1013</v>
      </c>
      <c r="B163" s="18" t="s">
        <v>108</v>
      </c>
      <c r="C163" s="17" t="str">
        <f>IFERROR(VLOOKUP(B163,'MASTER DATA'!$A$1:$E$212,2,FALSE),"")</f>
        <v>BB-100500</v>
      </c>
      <c r="D163" s="17" t="str">
        <f>IFERROR(VLOOKUP(B163,'MASTER DATA'!$A$1:$E$212,5,FALSE),"")</f>
        <v>BAHAN BAKU LUUCA</v>
      </c>
      <c r="E163" s="28">
        <v>39.7</v>
      </c>
      <c r="F163" s="17" t="str">
        <f>IFERROR(VLOOKUP(B163,'MASTER DATA'!$A$1:$E$212,4,FALSE),"")</f>
        <v>GR</v>
      </c>
      <c r="G163" s="18" t="s">
        <v>496</v>
      </c>
      <c r="H163" s="18" t="s">
        <v>595</v>
      </c>
      <c r="I163" s="17"/>
      <c r="J163" s="18" t="b">
        <v>1</v>
      </c>
    </row>
    <row r="164">
      <c r="A164" s="44"/>
      <c r="B164" s="18" t="s">
        <v>514</v>
      </c>
      <c r="C164" s="17" t="str">
        <f>IFERROR(VLOOKUP(B164,'MASTER DATA'!$A$1:$E$212,2,FALSE),"")</f>
        <v>P006-011</v>
      </c>
      <c r="D164" s="17" t="str">
        <f>IFERROR(VLOOKUP(B164,'MASTER DATA'!$A$1:$E$212,5,FALSE),"")</f>
        <v>PRODUKSI STOK LUUCA</v>
      </c>
      <c r="E164" s="28">
        <v>2877.0</v>
      </c>
      <c r="F164" s="17" t="str">
        <f>IFERROR(VLOOKUP(B164,'MASTER DATA'!$A$1:$E$212,4,FALSE),"")</f>
        <v>GR</v>
      </c>
      <c r="G164" s="18" t="s">
        <v>370</v>
      </c>
      <c r="H164" s="18" t="s">
        <v>615</v>
      </c>
      <c r="I164" s="17"/>
      <c r="J164" s="18" t="b">
        <v>1</v>
      </c>
    </row>
    <row r="165">
      <c r="A165" s="44"/>
      <c r="B165" s="18" t="s">
        <v>238</v>
      </c>
      <c r="C165" s="17" t="str">
        <f>IFERROR(VLOOKUP(B165,'MASTER DATA'!$A$1:$E$212,2,FALSE),"")</f>
        <v>BB-100517</v>
      </c>
      <c r="D165" s="17" t="str">
        <f>IFERROR(VLOOKUP(B165,'MASTER DATA'!$A$1:$E$212,5,FALSE),"")</f>
        <v>PRODUKSI STOK LUUCA</v>
      </c>
      <c r="E165" s="28" t="s">
        <v>1014</v>
      </c>
      <c r="F165" s="17" t="str">
        <f>IFERROR(VLOOKUP(B165,'MASTER DATA'!$A$1:$E$212,4,FALSE),"")</f>
        <v>PCS</v>
      </c>
      <c r="G165" s="18" t="s">
        <v>964</v>
      </c>
      <c r="H165" s="18" t="s">
        <v>615</v>
      </c>
      <c r="I165" s="17"/>
      <c r="J165" s="18" t="b">
        <v>1</v>
      </c>
    </row>
    <row r="166">
      <c r="A166" s="52">
        <v>46200.0</v>
      </c>
      <c r="B166" s="18" t="s">
        <v>53</v>
      </c>
      <c r="C166" s="17" t="str">
        <f>IFERROR(VLOOKUP(B166,'MASTER DATA'!$A$1:$E$212,2,FALSE),"")</f>
        <v>BB-100502</v>
      </c>
      <c r="D166" s="17" t="str">
        <f>IFERROR(VLOOKUP(B166,'MASTER DATA'!$A$1:$E$212,5,FALSE),"")</f>
        <v>BAHAN BAKU LUUCA</v>
      </c>
      <c r="E166" s="28" t="s">
        <v>1015</v>
      </c>
      <c r="F166" s="17" t="str">
        <f>IFERROR(VLOOKUP(B166,'MASTER DATA'!$A$1:$E$212,4,FALSE),"")</f>
        <v>GR</v>
      </c>
      <c r="G166" s="18" t="s">
        <v>793</v>
      </c>
      <c r="H166" s="18" t="s">
        <v>1016</v>
      </c>
      <c r="I166" s="17"/>
      <c r="J166" s="18" t="b">
        <v>1</v>
      </c>
    </row>
    <row r="167">
      <c r="A167" s="53"/>
      <c r="B167" s="18" t="s">
        <v>109</v>
      </c>
      <c r="C167" s="17" t="str">
        <f>IFERROR(VLOOKUP(B167,'MASTER DATA'!$A$1:$E$212,2,FALSE),"")</f>
        <v>BB-100501</v>
      </c>
      <c r="D167" s="17" t="str">
        <f>IFERROR(VLOOKUP(B167,'MASTER DATA'!$A$1:$E$212,5,FALSE),"")</f>
        <v>BAHAN BAKU LUUCA</v>
      </c>
      <c r="E167" s="28" t="s">
        <v>995</v>
      </c>
      <c r="F167" s="17" t="str">
        <f>IFERROR(VLOOKUP(B167,'MASTER DATA'!$A$1:$E$212,4,FALSE),"")</f>
        <v>GR</v>
      </c>
      <c r="G167" s="18" t="s">
        <v>656</v>
      </c>
      <c r="H167" s="18" t="s">
        <v>522</v>
      </c>
      <c r="I167" s="17"/>
      <c r="J167" s="18" t="b">
        <v>1</v>
      </c>
    </row>
    <row r="168">
      <c r="A168" s="53"/>
      <c r="B168" s="18" t="s">
        <v>108</v>
      </c>
      <c r="C168" s="17" t="str">
        <f>IFERROR(VLOOKUP(B168,'MASTER DATA'!$A$1:$E$212,2,FALSE),"")</f>
        <v>BB-100500</v>
      </c>
      <c r="D168" s="17" t="str">
        <f>IFERROR(VLOOKUP(B168,'MASTER DATA'!$A$1:$E$212,5,FALSE),"")</f>
        <v>BAHAN BAKU LUUCA</v>
      </c>
      <c r="E168" s="28" t="s">
        <v>580</v>
      </c>
      <c r="F168" s="17" t="str">
        <f>IFERROR(VLOOKUP(B168,'MASTER DATA'!$A$1:$E$212,4,FALSE),"")</f>
        <v>GR</v>
      </c>
      <c r="G168" s="18" t="s">
        <v>792</v>
      </c>
      <c r="H168" s="18" t="s">
        <v>522</v>
      </c>
      <c r="I168" s="17"/>
      <c r="J168" s="18" t="b">
        <v>1</v>
      </c>
    </row>
    <row r="169">
      <c r="A169" s="53"/>
      <c r="B169" s="18" t="s">
        <v>108</v>
      </c>
      <c r="C169" s="17" t="str">
        <f>IFERROR(VLOOKUP(B169,'MASTER DATA'!$A$1:$E$212,2,FALSE),"")</f>
        <v>BB-100500</v>
      </c>
      <c r="D169" s="17" t="str">
        <f>IFERROR(VLOOKUP(B169,'MASTER DATA'!$A$1:$E$212,5,FALSE),"")</f>
        <v>BAHAN BAKU LUUCA</v>
      </c>
      <c r="E169" s="28" t="s">
        <v>1017</v>
      </c>
      <c r="F169" s="17" t="str">
        <f>IFERROR(VLOOKUP(B169,'MASTER DATA'!$A$1:$E$212,4,FALSE),"")</f>
        <v>GR</v>
      </c>
      <c r="G169" s="18" t="s">
        <v>496</v>
      </c>
      <c r="H169" s="18" t="s">
        <v>522</v>
      </c>
      <c r="I169" s="17"/>
      <c r="J169" s="18" t="b">
        <v>1</v>
      </c>
    </row>
    <row r="170">
      <c r="A170" s="53"/>
      <c r="B170" s="18" t="s">
        <v>33</v>
      </c>
      <c r="C170" s="17" t="str">
        <f>IFERROR(VLOOKUP(B170,'MASTER DATA'!$A$1:$E$212,2,FALSE),"")</f>
        <v>BB-100022</v>
      </c>
      <c r="D170" s="17" t="str">
        <f>IFERROR(VLOOKUP(B170,'MASTER DATA'!$A$1:$E$212,5,FALSE),"")</f>
        <v>BAHAN BAKU LUUCA</v>
      </c>
      <c r="E170" s="28" t="s">
        <v>1018</v>
      </c>
      <c r="F170" s="17" t="str">
        <f>IFERROR(VLOOKUP(B170,'MASTER DATA'!$A$1:$E$212,4,FALSE),"")</f>
        <v>GR</v>
      </c>
      <c r="G170" s="18" t="s">
        <v>703</v>
      </c>
      <c r="H170" s="18" t="s">
        <v>522</v>
      </c>
      <c r="I170" s="17"/>
      <c r="J170" s="18" t="b">
        <v>1</v>
      </c>
    </row>
    <row r="171">
      <c r="A171" s="53"/>
      <c r="B171" s="18" t="s">
        <v>53</v>
      </c>
      <c r="C171" s="17" t="str">
        <f>IFERROR(VLOOKUP(B171,'MASTER DATA'!$A$1:$E$212,2,FALSE),"")</f>
        <v>BB-100502</v>
      </c>
      <c r="D171" s="17" t="str">
        <f>IFERROR(VLOOKUP(B171,'MASTER DATA'!$A$1:$E$212,5,FALSE),"")</f>
        <v>BAHAN BAKU LUUCA</v>
      </c>
      <c r="E171" s="28" t="s">
        <v>1019</v>
      </c>
      <c r="F171" s="17" t="str">
        <f>IFERROR(VLOOKUP(B171,'MASTER DATA'!$A$1:$E$212,4,FALSE),"")</f>
        <v>GR</v>
      </c>
      <c r="G171" s="18" t="s">
        <v>496</v>
      </c>
      <c r="H171" s="18" t="s">
        <v>522</v>
      </c>
      <c r="I171" s="17"/>
      <c r="J171" s="18" t="b">
        <v>1</v>
      </c>
    </row>
    <row r="172">
      <c r="A172" s="53"/>
      <c r="B172" s="18" t="s">
        <v>34</v>
      </c>
      <c r="C172" s="17" t="str">
        <f>IFERROR(VLOOKUP(B172,'MASTER DATA'!$A$1:$E$212,2,FALSE),"")</f>
        <v>BB-100023</v>
      </c>
      <c r="D172" s="17" t="str">
        <f>IFERROR(VLOOKUP(B172,'MASTER DATA'!$A$1:$E$212,5,FALSE),"")</f>
        <v>BAHAN BAKU LUUCA</v>
      </c>
      <c r="E172" s="28">
        <v>764.0</v>
      </c>
      <c r="F172" s="17" t="str">
        <f>IFERROR(VLOOKUP(B172,'MASTER DATA'!$A$1:$E$212,4,FALSE),"")</f>
        <v>GR</v>
      </c>
      <c r="G172" s="18" t="s">
        <v>703</v>
      </c>
      <c r="H172" s="18" t="s">
        <v>561</v>
      </c>
      <c r="I172" s="17"/>
      <c r="J172" s="18" t="b">
        <v>1</v>
      </c>
    </row>
    <row r="173">
      <c r="A173" s="53"/>
      <c r="B173" s="18" t="s">
        <v>108</v>
      </c>
      <c r="C173" s="17" t="str">
        <f>IFERROR(VLOOKUP(B173,'MASTER DATA'!$A$1:$E$212,2,FALSE),"")</f>
        <v>BB-100500</v>
      </c>
      <c r="D173" s="17" t="str">
        <f>IFERROR(VLOOKUP(B173,'MASTER DATA'!$A$1:$E$212,5,FALSE),"")</f>
        <v>BAHAN BAKU LUUCA</v>
      </c>
      <c r="E173" s="28">
        <v>30.3</v>
      </c>
      <c r="F173" s="17" t="str">
        <f>IFERROR(VLOOKUP(B173,'MASTER DATA'!$A$1:$E$212,4,FALSE),"")</f>
        <v>GR</v>
      </c>
      <c r="G173" s="18" t="s">
        <v>792</v>
      </c>
      <c r="H173" s="18" t="s">
        <v>561</v>
      </c>
      <c r="I173" s="17"/>
      <c r="J173" s="18" t="b">
        <v>1</v>
      </c>
    </row>
    <row r="174">
      <c r="A174" s="43">
        <v>46201.0</v>
      </c>
      <c r="B174" s="18" t="s">
        <v>108</v>
      </c>
      <c r="C174" s="17" t="str">
        <f>IFERROR(VLOOKUP(B174,'MASTER DATA'!$A$1:$E$212,2,FALSE),"")</f>
        <v>BB-100500</v>
      </c>
      <c r="D174" s="17" t="str">
        <f>IFERROR(VLOOKUP(B174,'MASTER DATA'!$A$1:$E$212,5,FALSE),"")</f>
        <v>BAHAN BAKU LUUCA</v>
      </c>
      <c r="E174" s="28" t="s">
        <v>1020</v>
      </c>
      <c r="F174" s="17" t="str">
        <f>IFERROR(VLOOKUP(B174,'MASTER DATA'!$A$1:$E$212,4,FALSE),"")</f>
        <v>GR</v>
      </c>
      <c r="G174" s="18" t="s">
        <v>792</v>
      </c>
      <c r="H174" s="18" t="s">
        <v>553</v>
      </c>
      <c r="I174" s="17"/>
      <c r="J174" s="18" t="b">
        <v>1</v>
      </c>
    </row>
    <row r="175">
      <c r="A175" s="53"/>
      <c r="B175" s="18" t="s">
        <v>111</v>
      </c>
      <c r="C175" s="17" t="str">
        <f>IFERROR(VLOOKUP(B175,'MASTER DATA'!$A$1:$E$212,2,FALSE),"")</f>
        <v>BB-100503</v>
      </c>
      <c r="D175" s="17" t="str">
        <f>IFERROR(VLOOKUP(B175,'MASTER DATA'!$A$1:$E$212,5,FALSE),"")</f>
        <v>BAHAN BAKU LUUCA</v>
      </c>
      <c r="E175" s="28" t="s">
        <v>1021</v>
      </c>
      <c r="F175" s="17" t="str">
        <f>IFERROR(VLOOKUP(B175,'MASTER DATA'!$A$1:$E$212,4,FALSE),"")</f>
        <v>GR</v>
      </c>
      <c r="G175" s="18" t="s">
        <v>1022</v>
      </c>
      <c r="H175" s="18" t="s">
        <v>1016</v>
      </c>
      <c r="I175" s="17"/>
      <c r="J175" s="18" t="b">
        <v>1</v>
      </c>
    </row>
    <row r="176">
      <c r="A176" s="53"/>
      <c r="B176" s="18" t="s">
        <v>111</v>
      </c>
      <c r="C176" s="17" t="str">
        <f>IFERROR(VLOOKUP(B176,'MASTER DATA'!$A$1:$E$212,2,FALSE),"")</f>
        <v>BB-100503</v>
      </c>
      <c r="D176" s="17" t="str">
        <f>IFERROR(VLOOKUP(B176,'MASTER DATA'!$A$1:$E$212,5,FALSE),"")</f>
        <v>BAHAN BAKU LUUCA</v>
      </c>
      <c r="E176" s="28">
        <v>10.0</v>
      </c>
      <c r="F176" s="17" t="str">
        <f>IFERROR(VLOOKUP(B176,'MASTER DATA'!$A$1:$E$212,4,FALSE),"")</f>
        <v>GR</v>
      </c>
      <c r="G176" s="18" t="s">
        <v>1022</v>
      </c>
      <c r="H176" s="18" t="s">
        <v>522</v>
      </c>
      <c r="I176" s="17"/>
      <c r="J176" s="18" t="b">
        <v>1</v>
      </c>
    </row>
    <row r="177">
      <c r="A177" s="53"/>
      <c r="B177" s="18" t="s">
        <v>53</v>
      </c>
      <c r="C177" s="17" t="str">
        <f>IFERROR(VLOOKUP(B177,'MASTER DATA'!$A$1:$E$212,2,FALSE),"")</f>
        <v>BB-100502</v>
      </c>
      <c r="D177" s="17" t="str">
        <f>IFERROR(VLOOKUP(B177,'MASTER DATA'!$A$1:$E$212,5,FALSE),"")</f>
        <v>BAHAN BAKU LUUCA</v>
      </c>
      <c r="E177" s="28" t="s">
        <v>1023</v>
      </c>
      <c r="F177" s="17" t="str">
        <f>IFERROR(VLOOKUP(B177,'MASTER DATA'!$A$1:$E$212,4,FALSE),"")</f>
        <v>GR</v>
      </c>
      <c r="G177" s="18" t="s">
        <v>1024</v>
      </c>
      <c r="H177" s="18" t="s">
        <v>522</v>
      </c>
      <c r="I177" s="17"/>
      <c r="J177" s="18" t="b">
        <v>1</v>
      </c>
    </row>
    <row r="178">
      <c r="A178" s="53"/>
      <c r="B178" s="18" t="s">
        <v>53</v>
      </c>
      <c r="C178" s="17" t="str">
        <f>IFERROR(VLOOKUP(B178,'MASTER DATA'!$A$1:$E$212,2,FALSE),"")</f>
        <v>BB-100502</v>
      </c>
      <c r="D178" s="17" t="str">
        <f>IFERROR(VLOOKUP(B178,'MASTER DATA'!$A$1:$E$212,5,FALSE),"")</f>
        <v>BAHAN BAKU LUUCA</v>
      </c>
      <c r="E178" s="28">
        <v>76.0</v>
      </c>
      <c r="F178" s="17" t="str">
        <f>IFERROR(VLOOKUP(B178,'MASTER DATA'!$A$1:$E$212,4,FALSE),"")</f>
        <v>GR</v>
      </c>
      <c r="G178" s="18" t="s">
        <v>1025</v>
      </c>
      <c r="H178" s="18" t="s">
        <v>522</v>
      </c>
      <c r="I178" s="17"/>
      <c r="J178" s="18" t="b">
        <v>1</v>
      </c>
    </row>
    <row r="179">
      <c r="A179" s="44"/>
      <c r="B179" s="18" t="s">
        <v>36</v>
      </c>
      <c r="C179" s="17" t="str">
        <f>IFERROR(VLOOKUP(B179,'MASTER DATA'!$A$1:$E$212,2,FALSE),"")</f>
        <v>BB-100024</v>
      </c>
      <c r="D179" s="17" t="str">
        <f>IFERROR(VLOOKUP(B179,'MASTER DATA'!$A$1:$E$212,5,FALSE),"")</f>
        <v>PRODUKSI STOK LUUCA</v>
      </c>
      <c r="E179" s="28">
        <v>1.0</v>
      </c>
      <c r="F179" s="17" t="str">
        <f>IFERROR(VLOOKUP(B179,'MASTER DATA'!$A$1:$E$212,4,FALSE),"")</f>
        <v>PCS</v>
      </c>
      <c r="G179" s="18" t="s">
        <v>293</v>
      </c>
      <c r="H179" s="18" t="s">
        <v>522</v>
      </c>
      <c r="I179" s="17"/>
      <c r="J179" s="18" t="b">
        <v>1</v>
      </c>
    </row>
    <row r="180">
      <c r="A180" s="44"/>
      <c r="B180" s="18" t="s">
        <v>38</v>
      </c>
      <c r="C180" s="17" t="str">
        <f>IFERROR(VLOOKUP(B180,'MASTER DATA'!$A$1:$E$212,2,FALSE),"")</f>
        <v>BB-100025</v>
      </c>
      <c r="D180" s="17" t="str">
        <f>IFERROR(VLOOKUP(B180,'MASTER DATA'!$A$1:$E$212,5,FALSE),"")</f>
        <v>PRODUKSI STOK LUUCA</v>
      </c>
      <c r="E180" s="28">
        <v>1.0</v>
      </c>
      <c r="F180" s="17" t="str">
        <f>IFERROR(VLOOKUP(B180,'MASTER DATA'!$A$1:$E$212,4,FALSE),"")</f>
        <v>PCS</v>
      </c>
      <c r="G180" s="18" t="s">
        <v>293</v>
      </c>
      <c r="H180" s="18" t="s">
        <v>522</v>
      </c>
      <c r="I180" s="17"/>
      <c r="J180" s="18" t="b">
        <v>1</v>
      </c>
    </row>
    <row r="181">
      <c r="A181" s="53"/>
      <c r="B181" s="18" t="s">
        <v>220</v>
      </c>
      <c r="C181" s="17" t="str">
        <f>IFERROR(VLOOKUP(B181,'MASTER DATA'!$A$1:$E$212,2,FALSE),"")</f>
        <v>BB-100507</v>
      </c>
      <c r="D181" s="17" t="str">
        <f>IFERROR(VLOOKUP(B181,'MASTER DATA'!$A$1:$E$212,5,FALSE),"")</f>
        <v>PRODUKSI STOK LUUCA</v>
      </c>
      <c r="E181" s="28">
        <v>13.0</v>
      </c>
      <c r="F181" s="17" t="str">
        <f>IFERROR(VLOOKUP(B181,'MASTER DATA'!$A$1:$E$212,4,FALSE),"")</f>
        <v>PCS</v>
      </c>
      <c r="G181" s="18" t="s">
        <v>528</v>
      </c>
      <c r="H181" s="18" t="s">
        <v>522</v>
      </c>
      <c r="I181" s="17"/>
      <c r="J181" s="18" t="b">
        <v>1</v>
      </c>
    </row>
    <row r="182">
      <c r="A182" s="53"/>
      <c r="B182" s="18" t="s">
        <v>108</v>
      </c>
      <c r="C182" s="17" t="str">
        <f>IFERROR(VLOOKUP(B182,'MASTER DATA'!$A$1:$E$212,2,FALSE),"")</f>
        <v>BB-100500</v>
      </c>
      <c r="D182" s="17" t="str">
        <f>IFERROR(VLOOKUP(B182,'MASTER DATA'!$A$1:$E$212,5,FALSE),"")</f>
        <v>BAHAN BAKU LUUCA</v>
      </c>
      <c r="E182" s="28">
        <v>36.0</v>
      </c>
      <c r="F182" s="17" t="str">
        <f>IFERROR(VLOOKUP(B182,'MASTER DATA'!$A$1:$E$212,4,FALSE),"")</f>
        <v>GR</v>
      </c>
      <c r="G182" s="18" t="s">
        <v>792</v>
      </c>
      <c r="H182" s="18" t="s">
        <v>522</v>
      </c>
      <c r="I182" s="17"/>
      <c r="J182" s="18" t="b">
        <v>1</v>
      </c>
    </row>
    <row r="183">
      <c r="A183" s="53"/>
      <c r="B183" s="18" t="s">
        <v>53</v>
      </c>
      <c r="C183" s="17" t="str">
        <f>IFERROR(VLOOKUP(B183,'MASTER DATA'!$A$1:$E$212,2,FALSE),"")</f>
        <v>BB-100502</v>
      </c>
      <c r="D183" s="17" t="str">
        <f>IFERROR(VLOOKUP(B183,'MASTER DATA'!$A$1:$E$212,5,FALSE),"")</f>
        <v>BAHAN BAKU LUUCA</v>
      </c>
      <c r="E183" s="28">
        <v>67.0</v>
      </c>
      <c r="F183" s="17" t="str">
        <f>IFERROR(VLOOKUP(B183,'MASTER DATA'!$A$1:$E$212,4,FALSE),"")</f>
        <v>GR</v>
      </c>
      <c r="G183" s="18" t="s">
        <v>793</v>
      </c>
      <c r="H183" s="18" t="s">
        <v>522</v>
      </c>
      <c r="I183" s="17"/>
      <c r="J183" s="18" t="b">
        <v>1</v>
      </c>
    </row>
    <row r="184">
      <c r="A184" s="53"/>
      <c r="B184" s="18" t="s">
        <v>34</v>
      </c>
      <c r="C184" s="17" t="str">
        <f>IFERROR(VLOOKUP(B184,'MASTER DATA'!$A$1:$E$212,2,FALSE),"")</f>
        <v>BB-100023</v>
      </c>
      <c r="D184" s="17" t="str">
        <f>IFERROR(VLOOKUP(B184,'MASTER DATA'!$A$1:$E$212,5,FALSE),"")</f>
        <v>BAHAN BAKU LUUCA</v>
      </c>
      <c r="E184" s="28">
        <v>1066.0</v>
      </c>
      <c r="F184" s="17" t="str">
        <f>IFERROR(VLOOKUP(B184,'MASTER DATA'!$A$1:$E$212,4,FALSE),"")</f>
        <v>GR</v>
      </c>
      <c r="G184" s="18" t="s">
        <v>703</v>
      </c>
      <c r="H184" s="18" t="s">
        <v>522</v>
      </c>
      <c r="I184" s="17"/>
      <c r="J184" s="18" t="b">
        <v>1</v>
      </c>
    </row>
    <row r="185">
      <c r="A185" s="44"/>
      <c r="B185" s="18" t="s">
        <v>33</v>
      </c>
      <c r="C185" s="17" t="str">
        <f>IFERROR(VLOOKUP(B185,'MASTER DATA'!$A$1:$E$212,2,FALSE),"")</f>
        <v>BB-100022</v>
      </c>
      <c r="D185" s="17" t="str">
        <f>IFERROR(VLOOKUP(B185,'MASTER DATA'!$A$1:$E$212,5,FALSE),"")</f>
        <v>BAHAN BAKU LUUCA</v>
      </c>
      <c r="E185" s="28" t="s">
        <v>1026</v>
      </c>
      <c r="F185" s="17" t="str">
        <f>IFERROR(VLOOKUP(B185,'MASTER DATA'!$A$1:$E$212,4,FALSE),"")</f>
        <v>GR</v>
      </c>
      <c r="G185" s="18" t="s">
        <v>703</v>
      </c>
      <c r="H185" s="18" t="s">
        <v>522</v>
      </c>
      <c r="I185" s="17"/>
      <c r="J185" s="18" t="b">
        <v>1</v>
      </c>
    </row>
    <row r="186">
      <c r="A186" s="53"/>
      <c r="B186" s="18" t="s">
        <v>53</v>
      </c>
      <c r="C186" s="17" t="str">
        <f>IFERROR(VLOOKUP(B186,'MASTER DATA'!$A$1:$E$212,2,FALSE),"")</f>
        <v>BB-100502</v>
      </c>
      <c r="D186" s="17" t="str">
        <f>IFERROR(VLOOKUP(B186,'MASTER DATA'!$A$1:$E$212,5,FALSE),"")</f>
        <v>BAHAN BAKU LUUCA</v>
      </c>
      <c r="E186" s="28" t="s">
        <v>1027</v>
      </c>
      <c r="F186" s="17" t="str">
        <f>IFERROR(VLOOKUP(B186,'MASTER DATA'!$A$1:$E$212,4,FALSE),"")</f>
        <v>GR</v>
      </c>
      <c r="G186" s="18" t="s">
        <v>496</v>
      </c>
      <c r="H186" s="18" t="s">
        <v>522</v>
      </c>
      <c r="I186" s="17"/>
      <c r="J186" s="18" t="b">
        <v>1</v>
      </c>
    </row>
    <row r="187">
      <c r="A187" s="52">
        <v>46202.0</v>
      </c>
      <c r="B187" s="18" t="s">
        <v>109</v>
      </c>
      <c r="C187" s="17" t="str">
        <f>IFERROR(VLOOKUP(B187,'MASTER DATA'!$A$1:$E$212,2,FALSE),"")</f>
        <v>BB-100501</v>
      </c>
      <c r="D187" s="17" t="str">
        <f>IFERROR(VLOOKUP(B187,'MASTER DATA'!$A$1:$E$212,5,FALSE),"")</f>
        <v>BAHAN BAKU LUUCA</v>
      </c>
      <c r="E187" s="28" t="s">
        <v>1028</v>
      </c>
      <c r="F187" s="17" t="str">
        <f>IFERROR(VLOOKUP(B187,'MASTER DATA'!$A$1:$E$212,4,FALSE),"")</f>
        <v>GR</v>
      </c>
      <c r="G187" s="18" t="s">
        <v>496</v>
      </c>
      <c r="H187" s="18" t="s">
        <v>522</v>
      </c>
      <c r="I187" s="17"/>
      <c r="J187" s="18" t="b">
        <v>1</v>
      </c>
    </row>
    <row r="188">
      <c r="A188" s="44"/>
      <c r="B188" s="18" t="s">
        <v>109</v>
      </c>
      <c r="C188" s="17" t="str">
        <f>IFERROR(VLOOKUP(B188,'MASTER DATA'!$A$1:$E$212,2,FALSE),"")</f>
        <v>BB-100501</v>
      </c>
      <c r="D188" s="17" t="str">
        <f>IFERROR(VLOOKUP(B188,'MASTER DATA'!$A$1:$E$212,5,FALSE),"")</f>
        <v>BAHAN BAKU LUUCA</v>
      </c>
      <c r="E188" s="28" t="s">
        <v>1029</v>
      </c>
      <c r="F188" s="17" t="str">
        <f>IFERROR(VLOOKUP(B188,'MASTER DATA'!$A$1:$E$212,4,FALSE),"")</f>
        <v>GR</v>
      </c>
      <c r="G188" s="18" t="s">
        <v>826</v>
      </c>
      <c r="H188" s="18" t="s">
        <v>522</v>
      </c>
      <c r="I188" s="17"/>
      <c r="J188" s="18" t="b">
        <v>1</v>
      </c>
    </row>
    <row r="189">
      <c r="A189" s="53"/>
      <c r="B189" s="18" t="s">
        <v>108</v>
      </c>
      <c r="C189" s="17" t="str">
        <f>IFERROR(VLOOKUP(B189,'MASTER DATA'!$A$1:$E$212,2,FALSE),"")</f>
        <v>BB-100500</v>
      </c>
      <c r="D189" s="17" t="str">
        <f>IFERROR(VLOOKUP(B189,'MASTER DATA'!$A$1:$E$212,5,FALSE),"")</f>
        <v>BAHAN BAKU LUUCA</v>
      </c>
      <c r="E189" s="28" t="s">
        <v>1030</v>
      </c>
      <c r="F189" s="17" t="str">
        <f>IFERROR(VLOOKUP(B189,'MASTER DATA'!$A$1:$E$212,4,FALSE),"")</f>
        <v>GR</v>
      </c>
      <c r="G189" s="18" t="s">
        <v>792</v>
      </c>
      <c r="H189" s="18" t="s">
        <v>522</v>
      </c>
      <c r="I189" s="17"/>
      <c r="J189" s="18" t="b">
        <v>1</v>
      </c>
    </row>
    <row r="190">
      <c r="A190" s="44" t="s">
        <v>1031</v>
      </c>
      <c r="B190" s="18" t="s">
        <v>53</v>
      </c>
      <c r="C190" s="17" t="str">
        <f>IFERROR(VLOOKUP(B190,'MASTER DATA'!$A$1:$E$212,2,FALSE),"")</f>
        <v>BB-100502</v>
      </c>
      <c r="D190" s="17" t="str">
        <f>IFERROR(VLOOKUP(B190,'MASTER DATA'!$A$1:$E$212,5,FALSE),"")</f>
        <v>BAHAN BAKU LUUCA</v>
      </c>
      <c r="E190" s="28">
        <v>49.2</v>
      </c>
      <c r="F190" s="17" t="str">
        <f>IFERROR(VLOOKUP(B190,'MASTER DATA'!$A$1:$E$212,4,FALSE),"")</f>
        <v>GR</v>
      </c>
      <c r="G190" s="18" t="s">
        <v>921</v>
      </c>
      <c r="H190" s="18" t="s">
        <v>595</v>
      </c>
      <c r="I190" s="17"/>
      <c r="J190" s="18" t="b">
        <v>1</v>
      </c>
    </row>
    <row r="191">
      <c r="A191" s="53"/>
      <c r="B191" s="18" t="s">
        <v>220</v>
      </c>
      <c r="C191" s="17" t="str">
        <f>IFERROR(VLOOKUP(B191,'MASTER DATA'!$A$1:$E$212,2,FALSE),"")</f>
        <v>BB-100507</v>
      </c>
      <c r="D191" s="17" t="str">
        <f>IFERROR(VLOOKUP(B191,'MASTER DATA'!$A$1:$E$212,5,FALSE),"")</f>
        <v>PRODUKSI STOK LUUCA</v>
      </c>
      <c r="E191" s="28">
        <v>4.0</v>
      </c>
      <c r="F191" s="17" t="str">
        <f>IFERROR(VLOOKUP(B191,'MASTER DATA'!$A$1:$E$212,4,FALSE),"")</f>
        <v>PCS</v>
      </c>
      <c r="G191" s="18" t="s">
        <v>528</v>
      </c>
      <c r="H191" s="18" t="s">
        <v>595</v>
      </c>
      <c r="I191" s="17"/>
      <c r="J191" s="18" t="b">
        <v>1</v>
      </c>
    </row>
    <row r="192">
      <c r="A192" s="38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/>
      <c r="G192" s="17"/>
      <c r="H192" s="17"/>
      <c r="I192" s="17"/>
      <c r="J192" s="17" t="b">
        <v>0</v>
      </c>
    </row>
    <row r="193">
      <c r="A193" s="38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/>
      <c r="G193" s="17"/>
      <c r="H193" s="17"/>
      <c r="I193" s="17"/>
      <c r="J193" s="17" t="b">
        <v>0</v>
      </c>
    </row>
    <row r="194">
      <c r="A194" s="38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/>
      <c r="G194" s="17"/>
      <c r="H194" s="17"/>
      <c r="I194" s="17"/>
      <c r="J194" s="17" t="b">
        <v>0</v>
      </c>
    </row>
    <row r="195">
      <c r="A195" s="38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/>
      <c r="G195" s="17"/>
      <c r="H195" s="17"/>
      <c r="I195" s="17"/>
      <c r="J195" s="17" t="b">
        <v>0</v>
      </c>
    </row>
    <row r="196">
      <c r="A196" s="38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/>
      <c r="G196" s="17"/>
      <c r="H196" s="17"/>
      <c r="I196" s="17"/>
      <c r="J196" s="17" t="b">
        <v>0</v>
      </c>
    </row>
    <row r="197">
      <c r="A197" s="38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/>
      <c r="G197" s="17"/>
      <c r="H197" s="17"/>
      <c r="I197" s="17"/>
      <c r="J197" s="17" t="b">
        <v>0</v>
      </c>
    </row>
    <row r="198">
      <c r="A198" s="38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/>
      <c r="G198" s="17"/>
      <c r="H198" s="17"/>
      <c r="I198" s="17"/>
      <c r="J198" s="17" t="b">
        <v>0</v>
      </c>
    </row>
    <row r="199">
      <c r="A199" s="38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/>
      <c r="G199" s="17"/>
      <c r="H199" s="17"/>
      <c r="I199" s="17"/>
      <c r="J199" s="17" t="b">
        <v>0</v>
      </c>
    </row>
    <row r="200">
      <c r="A200" s="38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/>
      <c r="G200" s="17"/>
      <c r="H200" s="17"/>
      <c r="I200" s="17"/>
      <c r="J200" s="17" t="b">
        <v>0</v>
      </c>
    </row>
    <row r="201">
      <c r="A201" s="38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/>
      <c r="G201" s="17"/>
      <c r="H201" s="17"/>
      <c r="I201" s="17"/>
      <c r="J201" s="17" t="b">
        <v>0</v>
      </c>
    </row>
    <row r="202">
      <c r="A202" s="38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/>
      <c r="G202" s="17"/>
      <c r="H202" s="17"/>
      <c r="I202" s="17"/>
      <c r="J202" s="17" t="b">
        <v>0</v>
      </c>
    </row>
    <row r="203">
      <c r="A203" s="38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/>
      <c r="G203" s="17"/>
      <c r="H203" s="17"/>
      <c r="I203" s="17"/>
      <c r="J203" s="17" t="b">
        <v>0</v>
      </c>
    </row>
    <row r="204">
      <c r="A204" s="38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/>
      <c r="G204" s="17"/>
      <c r="H204" s="17"/>
      <c r="I204" s="17"/>
      <c r="J204" s="17" t="b">
        <v>0</v>
      </c>
    </row>
    <row r="205">
      <c r="A205" s="38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/>
      <c r="G205" s="17"/>
      <c r="H205" s="17"/>
      <c r="I205" s="17"/>
      <c r="J205" s="17" t="b">
        <v>0</v>
      </c>
    </row>
    <row r="206">
      <c r="A206" s="38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/>
      <c r="G206" s="17"/>
      <c r="H206" s="17"/>
      <c r="I206" s="17"/>
      <c r="J206" s="17" t="b">
        <v>0</v>
      </c>
    </row>
    <row r="207">
      <c r="A207" s="38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/>
      <c r="G207" s="17"/>
      <c r="H207" s="17"/>
      <c r="I207" s="17"/>
      <c r="J207" s="17" t="b">
        <v>0</v>
      </c>
    </row>
    <row r="208">
      <c r="A208" s="38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/>
      <c r="G208" s="17"/>
      <c r="H208" s="17"/>
      <c r="I208" s="17"/>
      <c r="J208" s="17" t="b">
        <v>0</v>
      </c>
    </row>
    <row r="209">
      <c r="A209" s="38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/>
      <c r="G209" s="17"/>
      <c r="H209" s="17"/>
      <c r="I209" s="17"/>
      <c r="J209" s="17" t="b">
        <v>0</v>
      </c>
    </row>
    <row r="210">
      <c r="A210" s="38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/>
      <c r="G210" s="17"/>
      <c r="H210" s="17"/>
      <c r="I210" s="17"/>
      <c r="J210" s="17" t="b">
        <v>0</v>
      </c>
    </row>
    <row r="211">
      <c r="A211" s="38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/>
      <c r="G211" s="17"/>
      <c r="H211" s="17"/>
      <c r="I211" s="17"/>
      <c r="J211" s="17" t="b">
        <v>0</v>
      </c>
    </row>
    <row r="212">
      <c r="A212" s="38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/>
      <c r="G212" s="17"/>
      <c r="H212" s="17"/>
      <c r="I212" s="17"/>
      <c r="J212" s="17" t="b">
        <v>0</v>
      </c>
    </row>
    <row r="213">
      <c r="A213" s="38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/>
      <c r="G213" s="17"/>
      <c r="H213" s="17"/>
      <c r="I213" s="17"/>
      <c r="J213" s="17" t="b">
        <v>0</v>
      </c>
    </row>
    <row r="214">
      <c r="A214" s="38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/>
      <c r="G214" s="17"/>
      <c r="H214" s="17"/>
      <c r="I214" s="17"/>
      <c r="J214" s="17" t="b">
        <v>0</v>
      </c>
    </row>
    <row r="215">
      <c r="A215" s="38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/>
      <c r="G215" s="17"/>
      <c r="H215" s="17"/>
      <c r="I215" s="17"/>
      <c r="J215" s="17" t="b">
        <v>0</v>
      </c>
    </row>
    <row r="216">
      <c r="A216" s="38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/>
      <c r="G216" s="17"/>
      <c r="H216" s="17"/>
      <c r="I216" s="17"/>
      <c r="J216" s="17" t="b">
        <v>0</v>
      </c>
    </row>
    <row r="217">
      <c r="A217" s="38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/>
      <c r="G217" s="17"/>
      <c r="H217" s="17"/>
      <c r="I217" s="17"/>
      <c r="J217" s="17" t="b">
        <v>0</v>
      </c>
    </row>
    <row r="218">
      <c r="A218" s="38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/>
      <c r="G218" s="17"/>
      <c r="H218" s="17"/>
      <c r="I218" s="17"/>
      <c r="J218" s="17" t="b">
        <v>0</v>
      </c>
    </row>
    <row r="219">
      <c r="A219" s="38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/>
      <c r="G219" s="17"/>
      <c r="H219" s="17"/>
      <c r="I219" s="17"/>
      <c r="J219" s="17" t="b">
        <v>0</v>
      </c>
    </row>
    <row r="220">
      <c r="A220" s="38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/>
      <c r="G220" s="17"/>
      <c r="H220" s="17"/>
      <c r="I220" s="17"/>
      <c r="J220" s="17" t="b">
        <v>0</v>
      </c>
    </row>
    <row r="221">
      <c r="A221" s="38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/>
      <c r="G221" s="17"/>
      <c r="H221" s="17"/>
      <c r="I221" s="17"/>
      <c r="J221" s="17" t="b">
        <v>0</v>
      </c>
    </row>
    <row r="222">
      <c r="A222" s="38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/>
      <c r="G222" s="17"/>
      <c r="H222" s="17"/>
      <c r="I222" s="17"/>
      <c r="J222" s="17" t="b">
        <v>0</v>
      </c>
    </row>
    <row r="223">
      <c r="A223" s="38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/>
      <c r="G223" s="17"/>
      <c r="H223" s="17"/>
      <c r="I223" s="17"/>
      <c r="J223" s="17" t="b">
        <v>0</v>
      </c>
    </row>
    <row r="224">
      <c r="A224" s="38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/>
      <c r="G224" s="17"/>
      <c r="H224" s="17"/>
      <c r="I224" s="17"/>
      <c r="J224" s="17" t="b">
        <v>0</v>
      </c>
    </row>
    <row r="225">
      <c r="A225" s="38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/>
      <c r="G225" s="17"/>
      <c r="H225" s="17"/>
      <c r="I225" s="17"/>
      <c r="J225" s="17" t="b">
        <v>0</v>
      </c>
    </row>
    <row r="226">
      <c r="A226" s="38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/>
      <c r="G226" s="17"/>
      <c r="H226" s="17"/>
      <c r="I226" s="17"/>
      <c r="J226" s="17" t="b">
        <v>0</v>
      </c>
    </row>
    <row r="227">
      <c r="A227" s="38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/>
      <c r="G227" s="17"/>
      <c r="H227" s="17"/>
      <c r="I227" s="17"/>
      <c r="J227" s="17" t="b">
        <v>0</v>
      </c>
    </row>
    <row r="228">
      <c r="A228" s="38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/>
      <c r="G228" s="17"/>
      <c r="H228" s="17"/>
      <c r="I228" s="17"/>
      <c r="J228" s="17" t="b">
        <v>0</v>
      </c>
    </row>
    <row r="229">
      <c r="A229" s="38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/>
      <c r="G229" s="17"/>
      <c r="H229" s="17"/>
      <c r="I229" s="17"/>
      <c r="J229" s="17" t="b">
        <v>0</v>
      </c>
    </row>
    <row r="230">
      <c r="A230" s="38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/>
      <c r="G230" s="17"/>
      <c r="H230" s="17"/>
      <c r="I230" s="17"/>
      <c r="J230" s="17" t="b">
        <v>0</v>
      </c>
    </row>
    <row r="231">
      <c r="A231" s="38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/>
      <c r="G231" s="17"/>
      <c r="H231" s="17"/>
      <c r="I231" s="17"/>
      <c r="J231" s="17" t="b">
        <v>0</v>
      </c>
    </row>
    <row r="232">
      <c r="A232" s="38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/>
      <c r="G232" s="17"/>
      <c r="H232" s="17"/>
      <c r="I232" s="17"/>
      <c r="J232" s="17" t="b">
        <v>0</v>
      </c>
    </row>
    <row r="233">
      <c r="A233" s="38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/>
      <c r="G233" s="17"/>
      <c r="H233" s="17"/>
      <c r="I233" s="17"/>
      <c r="J233" s="17" t="b">
        <v>0</v>
      </c>
    </row>
    <row r="234">
      <c r="A234" s="38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/>
      <c r="G234" s="17"/>
      <c r="H234" s="17"/>
      <c r="I234" s="17"/>
      <c r="J234" s="17" t="b">
        <v>0</v>
      </c>
    </row>
    <row r="235">
      <c r="A235" s="38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/>
      <c r="G235" s="17"/>
      <c r="H235" s="17"/>
      <c r="I235" s="17"/>
      <c r="J235" s="17" t="b">
        <v>0</v>
      </c>
    </row>
    <row r="236">
      <c r="A236" s="38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/>
      <c r="G236" s="17"/>
      <c r="H236" s="17"/>
      <c r="I236" s="17"/>
      <c r="J236" s="17" t="b">
        <v>0</v>
      </c>
    </row>
    <row r="237">
      <c r="A237" s="38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/>
      <c r="G237" s="17"/>
      <c r="H237" s="17"/>
      <c r="I237" s="17"/>
      <c r="J237" s="17" t="b">
        <v>0</v>
      </c>
    </row>
    <row r="238">
      <c r="A238" s="38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/>
      <c r="G238" s="17"/>
      <c r="H238" s="17"/>
      <c r="I238" s="17"/>
      <c r="J238" s="17" t="b">
        <v>0</v>
      </c>
    </row>
    <row r="239">
      <c r="A239" s="38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/>
      <c r="G239" s="17"/>
      <c r="H239" s="17"/>
      <c r="I239" s="17"/>
      <c r="J239" s="17" t="b">
        <v>0</v>
      </c>
    </row>
    <row r="240">
      <c r="A240" s="38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/>
      <c r="G240" s="17"/>
      <c r="H240" s="17"/>
      <c r="I240" s="17"/>
      <c r="J240" s="17" t="b">
        <v>0</v>
      </c>
    </row>
    <row r="241">
      <c r="A241" s="38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/>
      <c r="G241" s="17"/>
      <c r="H241" s="17"/>
      <c r="I241" s="17"/>
      <c r="J241" s="17" t="b">
        <v>0</v>
      </c>
    </row>
    <row r="242">
      <c r="A242" s="38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/>
      <c r="G242" s="17"/>
      <c r="H242" s="17"/>
      <c r="I242" s="17"/>
      <c r="J242" s="17" t="b">
        <v>0</v>
      </c>
    </row>
    <row r="243">
      <c r="A243" s="38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/>
      <c r="G243" s="17"/>
      <c r="H243" s="17"/>
      <c r="I243" s="17"/>
      <c r="J243" s="17" t="b">
        <v>0</v>
      </c>
    </row>
    <row r="244">
      <c r="A244" s="38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/>
      <c r="G244" s="17"/>
      <c r="H244" s="17"/>
      <c r="I244" s="17"/>
      <c r="J244" s="17" t="b">
        <v>0</v>
      </c>
    </row>
    <row r="245">
      <c r="A245" s="38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/>
      <c r="G245" s="17"/>
      <c r="H245" s="17"/>
      <c r="I245" s="17"/>
      <c r="J245" s="17" t="b">
        <v>0</v>
      </c>
    </row>
    <row r="246">
      <c r="A246" s="38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/>
      <c r="G246" s="17"/>
      <c r="H246" s="17"/>
      <c r="I246" s="17"/>
      <c r="J246" s="17" t="b">
        <v>0</v>
      </c>
    </row>
    <row r="247">
      <c r="A247" s="38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/>
      <c r="G247" s="17"/>
      <c r="H247" s="17"/>
      <c r="I247" s="17"/>
      <c r="J247" s="17" t="b">
        <v>0</v>
      </c>
    </row>
    <row r="248">
      <c r="A248" s="38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/>
      <c r="G248" s="17"/>
      <c r="H248" s="17"/>
      <c r="I248" s="17"/>
      <c r="J248" s="17" t="b">
        <v>0</v>
      </c>
    </row>
    <row r="249">
      <c r="A249" s="38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/>
      <c r="G249" s="17"/>
      <c r="H249" s="17"/>
      <c r="I249" s="17"/>
      <c r="J249" s="17" t="b">
        <v>0</v>
      </c>
    </row>
    <row r="250">
      <c r="A250" s="38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/>
      <c r="G250" s="17"/>
      <c r="H250" s="17"/>
      <c r="I250" s="17"/>
      <c r="J250" s="17" t="b">
        <v>0</v>
      </c>
    </row>
    <row r="251">
      <c r="A251" s="38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/>
      <c r="G251" s="17"/>
      <c r="H251" s="17"/>
      <c r="I251" s="17"/>
      <c r="J251" s="17" t="b">
        <v>0</v>
      </c>
    </row>
    <row r="252">
      <c r="A252" s="38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/>
      <c r="G252" s="17"/>
      <c r="H252" s="17"/>
      <c r="I252" s="17"/>
      <c r="J252" s="17" t="b">
        <v>0</v>
      </c>
    </row>
    <row r="253">
      <c r="A253" s="38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/>
      <c r="G253" s="17"/>
      <c r="H253" s="17"/>
      <c r="I253" s="17"/>
      <c r="J253" s="17" t="b">
        <v>0</v>
      </c>
    </row>
    <row r="254">
      <c r="A254" s="38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/>
      <c r="G254" s="17"/>
      <c r="H254" s="17"/>
      <c r="I254" s="17"/>
      <c r="J254" s="17" t="b">
        <v>0</v>
      </c>
    </row>
    <row r="255">
      <c r="A255" s="38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/>
      <c r="G255" s="17"/>
      <c r="H255" s="17"/>
      <c r="I255" s="17"/>
      <c r="J255" s="17" t="b">
        <v>0</v>
      </c>
    </row>
    <row r="256">
      <c r="A256" s="38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/>
      <c r="G256" s="17"/>
      <c r="H256" s="17"/>
      <c r="I256" s="17"/>
      <c r="J256" s="17" t="b">
        <v>0</v>
      </c>
    </row>
    <row r="257">
      <c r="A257" s="38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/>
      <c r="G257" s="17"/>
      <c r="H257" s="17"/>
      <c r="I257" s="17"/>
      <c r="J257" s="17" t="b">
        <v>0</v>
      </c>
    </row>
    <row r="258">
      <c r="A258" s="38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/>
      <c r="G258" s="17"/>
      <c r="H258" s="17"/>
      <c r="I258" s="17"/>
      <c r="J258" s="17" t="b">
        <v>0</v>
      </c>
    </row>
    <row r="259">
      <c r="A259" s="38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/>
      <c r="G259" s="17"/>
      <c r="H259" s="17"/>
      <c r="I259" s="17"/>
      <c r="J259" s="17" t="b">
        <v>0</v>
      </c>
    </row>
    <row r="260">
      <c r="A260" s="38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/>
      <c r="G260" s="17"/>
      <c r="H260" s="17"/>
      <c r="I260" s="17"/>
      <c r="J260" s="17" t="b">
        <v>0</v>
      </c>
    </row>
    <row r="261">
      <c r="A261" s="38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/>
      <c r="G261" s="17"/>
      <c r="H261" s="17"/>
      <c r="I261" s="17"/>
      <c r="J261" s="17" t="b">
        <v>0</v>
      </c>
    </row>
    <row r="262">
      <c r="A262" s="38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/>
      <c r="G262" s="17"/>
      <c r="H262" s="17"/>
      <c r="I262" s="17"/>
      <c r="J262" s="17" t="b">
        <v>0</v>
      </c>
    </row>
    <row r="263">
      <c r="A263" s="38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/>
      <c r="G263" s="17"/>
      <c r="H263" s="17"/>
      <c r="I263" s="17"/>
      <c r="J263" s="17" t="b">
        <v>0</v>
      </c>
    </row>
    <row r="264">
      <c r="A264" s="38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/>
      <c r="G264" s="17"/>
      <c r="H264" s="17"/>
      <c r="I264" s="17"/>
      <c r="J264" s="17" t="b">
        <v>0</v>
      </c>
    </row>
    <row r="265">
      <c r="A265" s="38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/>
      <c r="G265" s="17"/>
      <c r="H265" s="17"/>
      <c r="I265" s="17"/>
      <c r="J265" s="17" t="b">
        <v>0</v>
      </c>
    </row>
    <row r="266">
      <c r="A266" s="38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/>
      <c r="G266" s="17"/>
      <c r="H266" s="17"/>
      <c r="I266" s="17"/>
      <c r="J266" s="17" t="b">
        <v>0</v>
      </c>
    </row>
    <row r="267">
      <c r="A267" s="38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/>
      <c r="G267" s="17"/>
      <c r="H267" s="17"/>
      <c r="I267" s="17"/>
      <c r="J267" s="17" t="b">
        <v>0</v>
      </c>
    </row>
    <row r="268">
      <c r="A268" s="38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/>
      <c r="G268" s="17"/>
      <c r="H268" s="17"/>
      <c r="I268" s="17"/>
      <c r="J268" s="17" t="b">
        <v>0</v>
      </c>
    </row>
    <row r="269">
      <c r="A269" s="38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/>
      <c r="G269" s="17"/>
      <c r="H269" s="17"/>
      <c r="I269" s="17"/>
      <c r="J269" s="17" t="b">
        <v>0</v>
      </c>
    </row>
    <row r="270">
      <c r="A270" s="38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/>
      <c r="G270" s="17"/>
      <c r="H270" s="17"/>
      <c r="I270" s="17"/>
      <c r="J270" s="17" t="b">
        <v>0</v>
      </c>
    </row>
    <row r="271">
      <c r="A271" s="38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/>
      <c r="G271" s="17"/>
      <c r="H271" s="17"/>
      <c r="I271" s="17"/>
      <c r="J271" s="17" t="b">
        <v>0</v>
      </c>
    </row>
    <row r="272">
      <c r="A272" s="38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/>
      <c r="G272" s="17"/>
      <c r="H272" s="17"/>
      <c r="I272" s="17"/>
      <c r="J272" s="17" t="b">
        <v>0</v>
      </c>
    </row>
    <row r="273">
      <c r="A273" s="38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/>
      <c r="G273" s="17"/>
      <c r="H273" s="17"/>
      <c r="I273" s="17"/>
      <c r="J273" s="17" t="b">
        <v>0</v>
      </c>
    </row>
    <row r="274">
      <c r="A274" s="38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/>
      <c r="G274" s="17"/>
      <c r="H274" s="17"/>
      <c r="I274" s="17"/>
      <c r="J274" s="17" t="b">
        <v>0</v>
      </c>
    </row>
    <row r="275">
      <c r="A275" s="38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/>
      <c r="G275" s="17"/>
      <c r="H275" s="17"/>
      <c r="I275" s="17"/>
      <c r="J275" s="17" t="b">
        <v>0</v>
      </c>
    </row>
    <row r="276">
      <c r="A276" s="38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/>
      <c r="G276" s="17"/>
      <c r="H276" s="17"/>
      <c r="I276" s="17"/>
      <c r="J276" s="17" t="b">
        <v>0</v>
      </c>
    </row>
    <row r="277">
      <c r="A277" s="38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/>
      <c r="G277" s="17"/>
      <c r="H277" s="17"/>
      <c r="I277" s="17"/>
      <c r="J277" s="17" t="b">
        <v>0</v>
      </c>
    </row>
    <row r="278">
      <c r="A278" s="38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/>
      <c r="G278" s="17"/>
      <c r="H278" s="17"/>
      <c r="I278" s="17"/>
      <c r="J278" s="17" t="b">
        <v>0</v>
      </c>
    </row>
    <row r="279">
      <c r="A279" s="38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/>
      <c r="G279" s="17"/>
      <c r="H279" s="17"/>
      <c r="I279" s="17"/>
      <c r="J279" s="17" t="b">
        <v>0</v>
      </c>
    </row>
    <row r="280">
      <c r="A280" s="38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/>
      <c r="G280" s="17"/>
      <c r="H280" s="17"/>
      <c r="I280" s="17"/>
      <c r="J280" s="17" t="b">
        <v>0</v>
      </c>
    </row>
    <row r="281">
      <c r="A281" s="38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/>
      <c r="G281" s="17"/>
      <c r="H281" s="17"/>
      <c r="I281" s="17"/>
      <c r="J281" s="17" t="b">
        <v>0</v>
      </c>
    </row>
    <row r="282">
      <c r="A282" s="38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/>
      <c r="G282" s="17"/>
      <c r="H282" s="17"/>
      <c r="I282" s="17"/>
      <c r="J282" s="17" t="b">
        <v>0</v>
      </c>
    </row>
    <row r="283">
      <c r="A283" s="38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/>
      <c r="G283" s="17"/>
      <c r="H283" s="17"/>
      <c r="I283" s="17"/>
      <c r="J283" s="17" t="b">
        <v>0</v>
      </c>
    </row>
    <row r="284">
      <c r="A284" s="38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/>
      <c r="G284" s="17"/>
      <c r="H284" s="17"/>
      <c r="I284" s="17"/>
      <c r="J284" s="17" t="b">
        <v>0</v>
      </c>
    </row>
    <row r="285">
      <c r="A285" s="38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/>
      <c r="G285" s="17"/>
      <c r="H285" s="17"/>
      <c r="I285" s="17"/>
      <c r="J285" s="17" t="b">
        <v>0</v>
      </c>
    </row>
    <row r="286">
      <c r="A286" s="38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/>
      <c r="G286" s="17"/>
      <c r="H286" s="17"/>
      <c r="I286" s="17"/>
      <c r="J286" s="17" t="b">
        <v>0</v>
      </c>
    </row>
    <row r="287">
      <c r="A287" s="38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/>
      <c r="G287" s="17"/>
      <c r="H287" s="17"/>
      <c r="I287" s="17"/>
      <c r="J287" s="17" t="b">
        <v>0</v>
      </c>
    </row>
    <row r="288">
      <c r="A288" s="38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/>
      <c r="G288" s="17"/>
      <c r="H288" s="17"/>
      <c r="I288" s="17"/>
      <c r="J288" s="17" t="b">
        <v>0</v>
      </c>
    </row>
    <row r="289">
      <c r="A289" s="38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/>
      <c r="G289" s="17"/>
      <c r="H289" s="17"/>
      <c r="I289" s="17"/>
      <c r="J289" s="17" t="b">
        <v>0</v>
      </c>
    </row>
    <row r="290">
      <c r="A290" s="38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/>
      <c r="G290" s="17"/>
      <c r="H290" s="17"/>
      <c r="I290" s="17"/>
      <c r="J290" s="17" t="b">
        <v>0</v>
      </c>
    </row>
    <row r="291">
      <c r="A291" s="38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/>
      <c r="G291" s="17"/>
      <c r="H291" s="17"/>
      <c r="I291" s="17"/>
      <c r="J291" s="17" t="b">
        <v>0</v>
      </c>
    </row>
    <row r="292">
      <c r="A292" s="38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/>
      <c r="G292" s="17"/>
      <c r="H292" s="17"/>
      <c r="I292" s="17"/>
      <c r="J292" s="17" t="b">
        <v>0</v>
      </c>
    </row>
    <row r="293">
      <c r="A293" s="38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/>
      <c r="G293" s="17"/>
      <c r="H293" s="17"/>
      <c r="I293" s="17"/>
      <c r="J293" s="17" t="b">
        <v>0</v>
      </c>
    </row>
    <row r="294">
      <c r="A294" s="38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/>
      <c r="G294" s="17"/>
      <c r="H294" s="17"/>
      <c r="I294" s="17"/>
      <c r="J294" s="17" t="b">
        <v>0</v>
      </c>
    </row>
    <row r="295">
      <c r="A295" s="38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/>
      <c r="G295" s="17"/>
      <c r="H295" s="17"/>
      <c r="I295" s="17"/>
      <c r="J295" s="17" t="b">
        <v>0</v>
      </c>
    </row>
    <row r="296">
      <c r="A296" s="38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/>
      <c r="G296" s="17"/>
      <c r="H296" s="17"/>
      <c r="I296" s="17"/>
      <c r="J296" s="17" t="b">
        <v>0</v>
      </c>
    </row>
    <row r="297">
      <c r="A297" s="38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/>
      <c r="G297" s="17"/>
      <c r="H297" s="17"/>
      <c r="I297" s="17"/>
      <c r="J297" s="17" t="b">
        <v>0</v>
      </c>
    </row>
    <row r="298">
      <c r="A298" s="38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/>
      <c r="G298" s="17"/>
      <c r="H298" s="17"/>
      <c r="I298" s="17"/>
      <c r="J298" s="17" t="b">
        <v>0</v>
      </c>
    </row>
    <row r="299">
      <c r="A299" s="38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/>
      <c r="G299" s="17"/>
      <c r="H299" s="17"/>
      <c r="I299" s="17"/>
      <c r="J299" s="17" t="b">
        <v>0</v>
      </c>
    </row>
    <row r="300">
      <c r="A300" s="38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/>
      <c r="G300" s="17"/>
      <c r="H300" s="17"/>
      <c r="I300" s="17"/>
      <c r="J300" s="17" t="b">
        <v>0</v>
      </c>
    </row>
    <row r="301">
      <c r="A301" s="38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/>
      <c r="G301" s="17"/>
      <c r="H301" s="17"/>
      <c r="I301" s="17"/>
      <c r="J301" s="17" t="b">
        <v>0</v>
      </c>
    </row>
    <row r="302">
      <c r="A302" s="38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/>
      <c r="G302" s="17"/>
      <c r="H302" s="17"/>
      <c r="I302" s="17"/>
      <c r="J302" s="17" t="b">
        <v>0</v>
      </c>
    </row>
    <row r="303">
      <c r="A303" s="38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/>
      <c r="G303" s="17"/>
      <c r="H303" s="17"/>
      <c r="I303" s="17"/>
      <c r="J303" s="17" t="b">
        <v>0</v>
      </c>
    </row>
    <row r="304">
      <c r="A304" s="38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/>
      <c r="G304" s="17"/>
      <c r="H304" s="17"/>
      <c r="I304" s="17"/>
      <c r="J304" s="17" t="b">
        <v>0</v>
      </c>
    </row>
    <row r="305">
      <c r="A305" s="38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/>
      <c r="G305" s="17"/>
      <c r="H305" s="17"/>
      <c r="I305" s="17"/>
      <c r="J305" s="17" t="b">
        <v>0</v>
      </c>
    </row>
    <row r="306">
      <c r="A306" s="38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/>
      <c r="G306" s="17"/>
      <c r="H306" s="17"/>
      <c r="I306" s="17"/>
      <c r="J306" s="17" t="b">
        <v>0</v>
      </c>
    </row>
    <row r="307">
      <c r="A307" s="38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/>
      <c r="G307" s="17"/>
      <c r="H307" s="17"/>
      <c r="I307" s="17"/>
      <c r="J307" s="17" t="b">
        <v>0</v>
      </c>
    </row>
    <row r="308">
      <c r="A308" s="38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/>
      <c r="G308" s="17"/>
      <c r="H308" s="17"/>
      <c r="I308" s="17"/>
      <c r="J308" s="17" t="b">
        <v>0</v>
      </c>
    </row>
    <row r="309">
      <c r="A309" s="38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/>
      <c r="G309" s="17"/>
      <c r="H309" s="17"/>
      <c r="I309" s="17"/>
      <c r="J309" s="17" t="b">
        <v>0</v>
      </c>
    </row>
    <row r="310">
      <c r="A310" s="38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/>
      <c r="G310" s="17"/>
      <c r="H310" s="17"/>
      <c r="I310" s="17"/>
      <c r="J310" s="17" t="b">
        <v>0</v>
      </c>
    </row>
    <row r="311">
      <c r="A311" s="38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/>
      <c r="G311" s="17"/>
      <c r="H311" s="17"/>
      <c r="I311" s="17"/>
      <c r="J311" s="17" t="b">
        <v>0</v>
      </c>
    </row>
    <row r="312">
      <c r="A312" s="38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/>
      <c r="G312" s="17"/>
      <c r="H312" s="17"/>
      <c r="I312" s="17"/>
      <c r="J312" s="17" t="b">
        <v>0</v>
      </c>
    </row>
    <row r="313">
      <c r="A313" s="38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/>
      <c r="G313" s="17"/>
      <c r="H313" s="17"/>
      <c r="I313" s="17"/>
      <c r="J313" s="17" t="b">
        <v>0</v>
      </c>
    </row>
    <row r="314">
      <c r="A314" s="38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/>
      <c r="G314" s="17"/>
      <c r="H314" s="17"/>
      <c r="I314" s="17"/>
      <c r="J314" s="17" t="b">
        <v>0</v>
      </c>
    </row>
    <row r="315">
      <c r="A315" s="38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/>
      <c r="G315" s="17"/>
      <c r="H315" s="17"/>
      <c r="I315" s="17"/>
      <c r="J315" s="17" t="b">
        <v>0</v>
      </c>
    </row>
    <row r="316">
      <c r="A316" s="38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/>
      <c r="G316" s="17"/>
      <c r="H316" s="17"/>
      <c r="I316" s="17"/>
      <c r="J316" s="17" t="b">
        <v>0</v>
      </c>
    </row>
    <row r="317">
      <c r="A317" s="38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/>
      <c r="G317" s="17"/>
      <c r="H317" s="17"/>
      <c r="I317" s="17"/>
      <c r="J317" s="17" t="b">
        <v>0</v>
      </c>
    </row>
    <row r="318">
      <c r="A318" s="38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/>
      <c r="G318" s="17"/>
      <c r="H318" s="17"/>
      <c r="I318" s="17"/>
      <c r="J318" s="17" t="b">
        <v>0</v>
      </c>
    </row>
    <row r="319">
      <c r="A319" s="38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/>
      <c r="G319" s="17"/>
      <c r="H319" s="17"/>
      <c r="I319" s="17"/>
      <c r="J319" s="17" t="b">
        <v>0</v>
      </c>
    </row>
    <row r="320">
      <c r="A320" s="38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/>
      <c r="G320" s="17"/>
      <c r="H320" s="17"/>
      <c r="I320" s="17"/>
      <c r="J320" s="17" t="b">
        <v>0</v>
      </c>
    </row>
    <row r="321">
      <c r="A321" s="38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/>
      <c r="G321" s="17"/>
      <c r="H321" s="17"/>
      <c r="I321" s="17"/>
      <c r="J321" s="17" t="b">
        <v>0</v>
      </c>
    </row>
    <row r="322">
      <c r="A322" s="38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/>
      <c r="G322" s="17"/>
      <c r="H322" s="17"/>
      <c r="I322" s="17"/>
      <c r="J322" s="17" t="b">
        <v>0</v>
      </c>
    </row>
    <row r="323">
      <c r="A323" s="38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/>
      <c r="G323" s="17"/>
      <c r="H323" s="17"/>
      <c r="I323" s="17"/>
      <c r="J323" s="17" t="b">
        <v>0</v>
      </c>
    </row>
    <row r="324">
      <c r="A324" s="38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/>
      <c r="G324" s="17"/>
      <c r="H324" s="17"/>
      <c r="I324" s="17"/>
      <c r="J324" s="17" t="b">
        <v>0</v>
      </c>
    </row>
    <row r="325">
      <c r="A325" s="38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/>
      <c r="G325" s="17"/>
      <c r="H325" s="17"/>
      <c r="I325" s="17"/>
      <c r="J325" s="17" t="b">
        <v>0</v>
      </c>
    </row>
    <row r="326">
      <c r="A326" s="38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/>
      <c r="G326" s="17"/>
      <c r="H326" s="17"/>
      <c r="I326" s="17"/>
      <c r="J326" s="17" t="b">
        <v>0</v>
      </c>
    </row>
    <row r="327">
      <c r="A327" s="38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/>
      <c r="G327" s="17"/>
      <c r="H327" s="17"/>
      <c r="I327" s="17"/>
      <c r="J327" s="17" t="b">
        <v>0</v>
      </c>
    </row>
    <row r="328">
      <c r="A328" s="38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/>
      <c r="G328" s="17"/>
      <c r="H328" s="17"/>
      <c r="I328" s="17"/>
      <c r="J328" s="17" t="b">
        <v>0</v>
      </c>
    </row>
    <row r="329">
      <c r="A329" s="38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/>
      <c r="G329" s="17"/>
      <c r="H329" s="17"/>
      <c r="I329" s="17"/>
      <c r="J329" s="17" t="b">
        <v>0</v>
      </c>
    </row>
    <row r="330">
      <c r="A330" s="38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/>
      <c r="G330" s="17"/>
      <c r="H330" s="17"/>
      <c r="I330" s="17"/>
      <c r="J330" s="17" t="b">
        <v>0</v>
      </c>
    </row>
    <row r="331">
      <c r="A331" s="38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/>
      <c r="G331" s="17"/>
      <c r="H331" s="17"/>
      <c r="I331" s="17"/>
      <c r="J331" s="17" t="b">
        <v>0</v>
      </c>
    </row>
    <row r="332">
      <c r="A332" s="38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/>
      <c r="G332" s="17"/>
      <c r="H332" s="17"/>
      <c r="I332" s="17"/>
      <c r="J332" s="17" t="b">
        <v>0</v>
      </c>
    </row>
    <row r="333">
      <c r="A333" s="38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/>
      <c r="G333" s="17"/>
      <c r="H333" s="17"/>
      <c r="I333" s="17"/>
      <c r="J333" s="17" t="b">
        <v>0</v>
      </c>
    </row>
    <row r="334">
      <c r="A334" s="38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/>
      <c r="G334" s="17"/>
      <c r="H334" s="17"/>
      <c r="I334" s="17"/>
      <c r="J334" s="17" t="b">
        <v>0</v>
      </c>
    </row>
    <row r="335">
      <c r="A335" s="38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/>
      <c r="G335" s="17"/>
      <c r="H335" s="17"/>
      <c r="I335" s="17"/>
      <c r="J335" s="17" t="b">
        <v>0</v>
      </c>
    </row>
    <row r="336">
      <c r="A336" s="38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/>
      <c r="G336" s="17"/>
      <c r="H336" s="17"/>
      <c r="I336" s="17"/>
      <c r="J336" s="17" t="b">
        <v>0</v>
      </c>
    </row>
    <row r="337">
      <c r="A337" s="38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/>
      <c r="G337" s="17"/>
      <c r="H337" s="17"/>
      <c r="I337" s="17"/>
      <c r="J337" s="17" t="b">
        <v>0</v>
      </c>
    </row>
    <row r="338">
      <c r="A338" s="38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/>
      <c r="G338" s="17"/>
      <c r="H338" s="17"/>
      <c r="I338" s="17"/>
      <c r="J338" s="17" t="b">
        <v>0</v>
      </c>
    </row>
    <row r="339">
      <c r="A339" s="38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/>
      <c r="G339" s="17"/>
      <c r="H339" s="17"/>
      <c r="I339" s="17"/>
      <c r="J339" s="17" t="b">
        <v>0</v>
      </c>
    </row>
    <row r="340">
      <c r="A340" s="38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/>
      <c r="G340" s="17"/>
      <c r="H340" s="17"/>
      <c r="I340" s="17"/>
      <c r="J340" s="17" t="b">
        <v>0</v>
      </c>
    </row>
    <row r="341">
      <c r="A341" s="38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/>
      <c r="G341" s="17"/>
      <c r="H341" s="17"/>
      <c r="I341" s="17"/>
      <c r="J341" s="17" t="b">
        <v>0</v>
      </c>
    </row>
    <row r="342">
      <c r="A342" s="38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/>
      <c r="G342" s="17"/>
      <c r="H342" s="17"/>
      <c r="I342" s="17"/>
      <c r="J342" s="17" t="b">
        <v>0</v>
      </c>
    </row>
    <row r="343">
      <c r="A343" s="38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/>
      <c r="G343" s="17"/>
      <c r="H343" s="17"/>
      <c r="I343" s="17"/>
      <c r="J343" s="17" t="b">
        <v>0</v>
      </c>
    </row>
    <row r="344">
      <c r="A344" s="38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/>
      <c r="G344" s="17"/>
      <c r="H344" s="17"/>
      <c r="I344" s="17"/>
      <c r="J344" s="17" t="b">
        <v>0</v>
      </c>
    </row>
    <row r="345">
      <c r="A345" s="38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/>
      <c r="G345" s="17"/>
      <c r="H345" s="17"/>
      <c r="I345" s="17"/>
      <c r="J345" s="17" t="b">
        <v>0</v>
      </c>
    </row>
    <row r="346">
      <c r="A346" s="38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/>
      <c r="G346" s="17"/>
      <c r="H346" s="17"/>
      <c r="I346" s="17"/>
      <c r="J346" s="17" t="b">
        <v>0</v>
      </c>
    </row>
    <row r="347">
      <c r="A347" s="38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/>
      <c r="G347" s="17"/>
      <c r="H347" s="17"/>
      <c r="I347" s="17"/>
      <c r="J347" s="17" t="b">
        <v>0</v>
      </c>
    </row>
    <row r="348">
      <c r="A348" s="38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/>
      <c r="G348" s="17"/>
      <c r="H348" s="17"/>
      <c r="I348" s="17"/>
      <c r="J348" s="17" t="b">
        <v>0</v>
      </c>
    </row>
    <row r="349">
      <c r="A349" s="38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/>
      <c r="G349" s="17"/>
      <c r="H349" s="17"/>
      <c r="I349" s="17"/>
      <c r="J349" s="17" t="b">
        <v>0</v>
      </c>
    </row>
    <row r="350">
      <c r="A350" s="38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/>
      <c r="G350" s="17"/>
      <c r="H350" s="17"/>
      <c r="I350" s="17"/>
      <c r="J350" s="17" t="b">
        <v>0</v>
      </c>
    </row>
    <row r="351">
      <c r="A351" s="38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/>
      <c r="G351" s="17"/>
      <c r="H351" s="17"/>
      <c r="I351" s="17"/>
      <c r="J351" s="17" t="b">
        <v>0</v>
      </c>
    </row>
    <row r="352">
      <c r="A352" s="38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/>
      <c r="G352" s="17"/>
      <c r="H352" s="17"/>
      <c r="I352" s="17"/>
      <c r="J352" s="17" t="b">
        <v>0</v>
      </c>
    </row>
    <row r="353">
      <c r="A353" s="38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/>
      <c r="G353" s="17"/>
      <c r="H353" s="17"/>
      <c r="I353" s="17"/>
      <c r="J353" s="17" t="b">
        <v>0</v>
      </c>
    </row>
    <row r="354">
      <c r="A354" s="38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/>
      <c r="G354" s="17"/>
      <c r="H354" s="17"/>
      <c r="I354" s="17"/>
      <c r="J354" s="17" t="b">
        <v>0</v>
      </c>
    </row>
    <row r="355">
      <c r="A355" s="38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/>
      <c r="G355" s="17"/>
      <c r="H355" s="17"/>
      <c r="I355" s="17"/>
      <c r="J355" s="17" t="b">
        <v>0</v>
      </c>
    </row>
    <row r="356">
      <c r="A356" s="38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/>
      <c r="G356" s="17"/>
      <c r="H356" s="17"/>
      <c r="I356" s="17"/>
      <c r="J356" s="17" t="b">
        <v>0</v>
      </c>
    </row>
    <row r="357">
      <c r="A357" s="38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/>
      <c r="G357" s="17"/>
      <c r="H357" s="17"/>
      <c r="I357" s="17"/>
      <c r="J357" s="17" t="b">
        <v>0</v>
      </c>
    </row>
    <row r="358">
      <c r="A358" s="38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/>
      <c r="G358" s="17"/>
      <c r="H358" s="17"/>
      <c r="I358" s="17"/>
      <c r="J358" s="17" t="b">
        <v>0</v>
      </c>
    </row>
    <row r="359">
      <c r="A359" s="38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/>
      <c r="G359" s="17"/>
      <c r="H359" s="17"/>
      <c r="I359" s="17"/>
      <c r="J359" s="17" t="b">
        <v>0</v>
      </c>
    </row>
    <row r="360">
      <c r="A360" s="38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/>
      <c r="G360" s="17"/>
      <c r="H360" s="17"/>
      <c r="I360" s="17"/>
      <c r="J360" s="17" t="b">
        <v>0</v>
      </c>
    </row>
    <row r="361">
      <c r="A361" s="38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/>
      <c r="G361" s="17"/>
      <c r="H361" s="17"/>
      <c r="I361" s="17"/>
      <c r="J361" s="17" t="b">
        <v>0</v>
      </c>
    </row>
    <row r="362">
      <c r="A362" s="38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/>
      <c r="G362" s="17"/>
      <c r="H362" s="17"/>
      <c r="I362" s="17"/>
      <c r="J362" s="17" t="b">
        <v>0</v>
      </c>
    </row>
    <row r="363">
      <c r="A363" s="38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/>
      <c r="G363" s="17"/>
      <c r="H363" s="17"/>
      <c r="I363" s="17"/>
      <c r="J363" s="17" t="b">
        <v>0</v>
      </c>
    </row>
    <row r="364">
      <c r="A364" s="38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/>
      <c r="G364" s="17"/>
      <c r="H364" s="17"/>
      <c r="I364" s="17"/>
      <c r="J364" s="17" t="b">
        <v>0</v>
      </c>
    </row>
    <row r="365">
      <c r="A365" s="38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/>
      <c r="G365" s="17"/>
      <c r="H365" s="17"/>
      <c r="I365" s="17"/>
      <c r="J365" s="17" t="b">
        <v>0</v>
      </c>
    </row>
    <row r="366">
      <c r="A366" s="38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/>
      <c r="G366" s="17"/>
      <c r="H366" s="17"/>
      <c r="I366" s="17"/>
      <c r="J366" s="17" t="b">
        <v>0</v>
      </c>
    </row>
    <row r="367">
      <c r="A367" s="38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/>
      <c r="G367" s="17"/>
      <c r="H367" s="17"/>
      <c r="I367" s="17"/>
      <c r="J367" s="17" t="b">
        <v>0</v>
      </c>
    </row>
    <row r="368">
      <c r="A368" s="38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/>
      <c r="G368" s="17"/>
      <c r="H368" s="17"/>
      <c r="I368" s="17"/>
      <c r="J368" s="17" t="b">
        <v>0</v>
      </c>
    </row>
    <row r="369">
      <c r="A369" s="38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/>
      <c r="G369" s="17"/>
      <c r="H369" s="17"/>
      <c r="I369" s="17"/>
      <c r="J369" s="17" t="b">
        <v>0</v>
      </c>
    </row>
    <row r="370">
      <c r="A370" s="38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/>
      <c r="G370" s="17"/>
      <c r="H370" s="17"/>
      <c r="I370" s="17"/>
      <c r="J370" s="17" t="b">
        <v>0</v>
      </c>
    </row>
    <row r="371">
      <c r="A371" s="38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/>
      <c r="G371" s="17"/>
      <c r="H371" s="17"/>
      <c r="I371" s="17"/>
      <c r="J371" s="17" t="b">
        <v>0</v>
      </c>
    </row>
    <row r="372">
      <c r="A372" s="38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/>
      <c r="G372" s="17"/>
      <c r="H372" s="17"/>
      <c r="I372" s="17"/>
      <c r="J372" s="17" t="b">
        <v>0</v>
      </c>
    </row>
    <row r="373">
      <c r="A373" s="38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/>
      <c r="G373" s="17"/>
      <c r="H373" s="17"/>
      <c r="I373" s="17"/>
      <c r="J373" s="17" t="b">
        <v>0</v>
      </c>
    </row>
    <row r="374">
      <c r="A374" s="38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/>
      <c r="G374" s="17"/>
      <c r="H374" s="17"/>
      <c r="I374" s="17"/>
      <c r="J374" s="17" t="b">
        <v>0</v>
      </c>
    </row>
    <row r="375">
      <c r="A375" s="38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/>
      <c r="G375" s="17"/>
      <c r="H375" s="17"/>
      <c r="I375" s="17"/>
      <c r="J375" s="17" t="b">
        <v>0</v>
      </c>
    </row>
    <row r="376">
      <c r="A376" s="38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/>
      <c r="G376" s="17"/>
      <c r="H376" s="17"/>
      <c r="I376" s="17"/>
      <c r="J376" s="17" t="b">
        <v>0</v>
      </c>
    </row>
    <row r="377">
      <c r="A377" s="38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/>
      <c r="G377" s="17"/>
      <c r="H377" s="17"/>
      <c r="I377" s="17"/>
      <c r="J377" s="17" t="b">
        <v>0</v>
      </c>
    </row>
    <row r="378">
      <c r="A378" s="38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/>
      <c r="G378" s="17"/>
      <c r="H378" s="17"/>
      <c r="I378" s="17"/>
      <c r="J378" s="17" t="b">
        <v>0</v>
      </c>
    </row>
    <row r="379">
      <c r="A379" s="38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/>
      <c r="G379" s="17"/>
      <c r="H379" s="17"/>
      <c r="I379" s="17"/>
      <c r="J379" s="17" t="b">
        <v>0</v>
      </c>
    </row>
    <row r="380">
      <c r="A380" s="38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/>
      <c r="G380" s="17"/>
      <c r="H380" s="17"/>
      <c r="I380" s="17"/>
      <c r="J380" s="17" t="b">
        <v>0</v>
      </c>
    </row>
    <row r="381">
      <c r="A381" s="38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/>
      <c r="G381" s="17"/>
      <c r="H381" s="17"/>
      <c r="I381" s="17"/>
      <c r="J381" s="17" t="b">
        <v>0</v>
      </c>
    </row>
    <row r="382">
      <c r="A382" s="38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/>
      <c r="G382" s="17"/>
      <c r="H382" s="17"/>
      <c r="I382" s="17"/>
      <c r="J382" s="17" t="b">
        <v>0</v>
      </c>
    </row>
    <row r="383">
      <c r="A383" s="38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/>
      <c r="G383" s="17"/>
      <c r="H383" s="17"/>
      <c r="I383" s="17"/>
      <c r="J383" s="17" t="b">
        <v>0</v>
      </c>
    </row>
    <row r="384">
      <c r="A384" s="38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/>
      <c r="G384" s="17"/>
      <c r="H384" s="17"/>
      <c r="I384" s="17"/>
      <c r="J384" s="17" t="b">
        <v>0</v>
      </c>
    </row>
    <row r="385">
      <c r="A385" s="38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/>
      <c r="G385" s="17"/>
      <c r="H385" s="17"/>
      <c r="I385" s="17"/>
      <c r="J385" s="17" t="b">
        <v>0</v>
      </c>
    </row>
    <row r="386">
      <c r="A386" s="38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/>
      <c r="G386" s="17"/>
      <c r="H386" s="17"/>
      <c r="I386" s="17"/>
      <c r="J386" s="17" t="b">
        <v>0</v>
      </c>
    </row>
    <row r="387">
      <c r="A387" s="38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/>
      <c r="G387" s="17"/>
      <c r="H387" s="17"/>
      <c r="I387" s="17"/>
      <c r="J387" s="17" t="b">
        <v>0</v>
      </c>
    </row>
    <row r="388">
      <c r="A388" s="38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/>
      <c r="G388" s="17"/>
      <c r="H388" s="17"/>
      <c r="I388" s="17"/>
      <c r="J388" s="17" t="b">
        <v>0</v>
      </c>
    </row>
    <row r="389">
      <c r="A389" s="38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/>
      <c r="G389" s="17"/>
      <c r="H389" s="17"/>
      <c r="I389" s="17"/>
      <c r="J389" s="17" t="b">
        <v>0</v>
      </c>
    </row>
    <row r="390">
      <c r="A390" s="38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/>
      <c r="G390" s="17"/>
      <c r="H390" s="17"/>
      <c r="I390" s="17"/>
      <c r="J390" s="17" t="b">
        <v>0</v>
      </c>
    </row>
    <row r="391">
      <c r="A391" s="38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/>
      <c r="G391" s="17"/>
      <c r="H391" s="17"/>
      <c r="I391" s="17"/>
      <c r="J391" s="17" t="b">
        <v>0</v>
      </c>
    </row>
    <row r="392">
      <c r="A392" s="38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/>
      <c r="G392" s="17"/>
      <c r="H392" s="17"/>
      <c r="I392" s="17"/>
      <c r="J392" s="17" t="b">
        <v>0</v>
      </c>
    </row>
    <row r="393">
      <c r="A393" s="38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/>
      <c r="G393" s="17"/>
      <c r="H393" s="17"/>
      <c r="I393" s="17"/>
      <c r="J393" s="17" t="b">
        <v>0</v>
      </c>
    </row>
    <row r="394">
      <c r="A394" s="38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/>
      <c r="G394" s="17"/>
      <c r="H394" s="17"/>
      <c r="I394" s="17"/>
      <c r="J394" s="17" t="b">
        <v>0</v>
      </c>
    </row>
    <row r="395">
      <c r="A395" s="38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/>
      <c r="G395" s="17"/>
      <c r="H395" s="17"/>
      <c r="I395" s="17"/>
      <c r="J395" s="17" t="b">
        <v>0</v>
      </c>
    </row>
    <row r="396">
      <c r="A396" s="38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/>
      <c r="G396" s="17"/>
      <c r="H396" s="17"/>
      <c r="I396" s="17"/>
      <c r="J396" s="17" t="b">
        <v>0</v>
      </c>
    </row>
    <row r="397">
      <c r="A397" s="38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/>
      <c r="G397" s="17"/>
      <c r="H397" s="17"/>
      <c r="I397" s="17"/>
      <c r="J397" s="17" t="b">
        <v>0</v>
      </c>
    </row>
    <row r="398">
      <c r="A398" s="38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/>
      <c r="G398" s="17"/>
      <c r="H398" s="17"/>
      <c r="I398" s="17"/>
      <c r="J398" s="17" t="b">
        <v>0</v>
      </c>
    </row>
    <row r="399">
      <c r="A399" s="38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/>
      <c r="G399" s="17"/>
      <c r="H399" s="17"/>
      <c r="I399" s="17"/>
      <c r="J399" s="17" t="b">
        <v>0</v>
      </c>
    </row>
    <row r="400">
      <c r="A400" s="38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/>
      <c r="G400" s="17"/>
      <c r="H400" s="17"/>
      <c r="I400" s="17"/>
      <c r="J400" s="17" t="b">
        <v>0</v>
      </c>
    </row>
    <row r="401">
      <c r="A401" s="38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/>
      <c r="G401" s="17"/>
      <c r="H401" s="17"/>
      <c r="I401" s="17"/>
      <c r="J401" s="17" t="b">
        <v>0</v>
      </c>
    </row>
    <row r="402">
      <c r="A402" s="38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/>
      <c r="G402" s="17"/>
      <c r="H402" s="17"/>
      <c r="I402" s="17"/>
      <c r="J402" s="17" t="b">
        <v>0</v>
      </c>
    </row>
    <row r="403">
      <c r="A403" s="38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/>
      <c r="G403" s="17"/>
      <c r="H403" s="17"/>
      <c r="I403" s="17"/>
      <c r="J403" s="17" t="b">
        <v>0</v>
      </c>
    </row>
    <row r="404">
      <c r="A404" s="38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/>
      <c r="G404" s="17"/>
      <c r="H404" s="17"/>
      <c r="I404" s="17"/>
      <c r="J404" s="17" t="b">
        <v>0</v>
      </c>
    </row>
    <row r="405">
      <c r="A405" s="38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/>
      <c r="G405" s="17"/>
      <c r="H405" s="17"/>
      <c r="I405" s="17"/>
      <c r="J405" s="17" t="b">
        <v>0</v>
      </c>
    </row>
    <row r="406">
      <c r="A406" s="38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/>
      <c r="G406" s="17"/>
      <c r="H406" s="17"/>
      <c r="I406" s="17"/>
      <c r="J406" s="17" t="b">
        <v>0</v>
      </c>
    </row>
    <row r="407">
      <c r="A407" s="38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/>
      <c r="G407" s="17"/>
      <c r="H407" s="17"/>
      <c r="I407" s="17"/>
      <c r="J407" s="17" t="b">
        <v>0</v>
      </c>
    </row>
    <row r="408">
      <c r="A408" s="38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/>
      <c r="G408" s="17"/>
      <c r="H408" s="17"/>
      <c r="I408" s="17"/>
      <c r="J408" s="17" t="b">
        <v>0</v>
      </c>
    </row>
    <row r="409">
      <c r="A409" s="38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/>
      <c r="G409" s="17"/>
      <c r="H409" s="17"/>
      <c r="I409" s="17"/>
      <c r="J409" s="17" t="b">
        <v>0</v>
      </c>
    </row>
    <row r="410">
      <c r="A410" s="38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/>
      <c r="G410" s="17"/>
      <c r="H410" s="17"/>
      <c r="I410" s="17"/>
      <c r="J410" s="17" t="b">
        <v>0</v>
      </c>
    </row>
    <row r="411">
      <c r="A411" s="38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/>
      <c r="G411" s="17"/>
      <c r="H411" s="17"/>
      <c r="I411" s="17"/>
      <c r="J411" s="17" t="b">
        <v>0</v>
      </c>
    </row>
    <row r="412">
      <c r="A412" s="38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/>
      <c r="G412" s="17"/>
      <c r="H412" s="17"/>
      <c r="I412" s="17"/>
      <c r="J412" s="17" t="b">
        <v>0</v>
      </c>
    </row>
    <row r="413">
      <c r="A413" s="38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/>
      <c r="G413" s="17"/>
      <c r="H413" s="17"/>
      <c r="I413" s="17"/>
      <c r="J413" s="17" t="b">
        <v>0</v>
      </c>
    </row>
    <row r="414">
      <c r="A414" s="38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/>
      <c r="G414" s="17"/>
      <c r="H414" s="17"/>
      <c r="I414" s="17"/>
      <c r="J414" s="17" t="b">
        <v>0</v>
      </c>
    </row>
    <row r="415">
      <c r="A415" s="38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/>
      <c r="G415" s="17"/>
      <c r="H415" s="17"/>
      <c r="I415" s="17"/>
      <c r="J415" s="17" t="b">
        <v>0</v>
      </c>
    </row>
    <row r="416">
      <c r="A416" s="38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/>
      <c r="G416" s="17"/>
      <c r="H416" s="17"/>
      <c r="I416" s="17"/>
      <c r="J416" s="17" t="b">
        <v>0</v>
      </c>
    </row>
    <row r="417">
      <c r="A417" s="38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/>
      <c r="G417" s="17"/>
      <c r="H417" s="17"/>
      <c r="I417" s="17"/>
      <c r="J417" s="17" t="b">
        <v>0</v>
      </c>
    </row>
    <row r="418">
      <c r="A418" s="38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/>
      <c r="G418" s="17"/>
      <c r="H418" s="17"/>
      <c r="I418" s="17"/>
      <c r="J418" s="17" t="b">
        <v>0</v>
      </c>
    </row>
    <row r="419">
      <c r="A419" s="38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/>
      <c r="G419" s="17"/>
      <c r="H419" s="17"/>
      <c r="I419" s="17"/>
      <c r="J419" s="17" t="b">
        <v>0</v>
      </c>
    </row>
    <row r="420">
      <c r="A420" s="38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/>
      <c r="G420" s="17"/>
      <c r="H420" s="17"/>
      <c r="I420" s="17"/>
      <c r="J420" s="17" t="b">
        <v>0</v>
      </c>
    </row>
    <row r="421">
      <c r="A421" s="38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/>
      <c r="G421" s="17"/>
      <c r="H421" s="17"/>
      <c r="I421" s="17"/>
      <c r="J421" s="17" t="b">
        <v>0</v>
      </c>
    </row>
    <row r="422">
      <c r="A422" s="38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/>
      <c r="G422" s="17"/>
      <c r="H422" s="17"/>
      <c r="I422" s="17"/>
      <c r="J422" s="17" t="b">
        <v>0</v>
      </c>
    </row>
    <row r="423">
      <c r="A423" s="38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/>
      <c r="G423" s="17"/>
      <c r="H423" s="17"/>
      <c r="I423" s="17"/>
      <c r="J423" s="17" t="b">
        <v>0</v>
      </c>
    </row>
    <row r="424">
      <c r="A424" s="38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/>
      <c r="G424" s="17"/>
      <c r="H424" s="17"/>
      <c r="I424" s="17"/>
      <c r="J424" s="17" t="b">
        <v>0</v>
      </c>
    </row>
    <row r="425">
      <c r="A425" s="38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/>
      <c r="G425" s="17"/>
      <c r="H425" s="17"/>
      <c r="I425" s="17"/>
      <c r="J425" s="17" t="b">
        <v>0</v>
      </c>
    </row>
    <row r="426">
      <c r="A426" s="38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/>
      <c r="G426" s="17"/>
      <c r="H426" s="17"/>
      <c r="I426" s="17"/>
      <c r="J426" s="17" t="b">
        <v>0</v>
      </c>
    </row>
    <row r="427">
      <c r="A427" s="38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/>
      <c r="G427" s="17"/>
      <c r="H427" s="17"/>
      <c r="I427" s="17"/>
      <c r="J427" s="17" t="b">
        <v>0</v>
      </c>
    </row>
    <row r="428">
      <c r="A428" s="38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/>
      <c r="G428" s="17"/>
      <c r="H428" s="17"/>
      <c r="I428" s="17"/>
      <c r="J428" s="17" t="b">
        <v>0</v>
      </c>
    </row>
    <row r="429">
      <c r="A429" s="38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/>
      <c r="G429" s="17"/>
      <c r="H429" s="17"/>
      <c r="I429" s="17"/>
      <c r="J429" s="17" t="b">
        <v>0</v>
      </c>
    </row>
    <row r="430">
      <c r="A430" s="38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/>
      <c r="G430" s="17"/>
      <c r="H430" s="17"/>
      <c r="I430" s="17"/>
      <c r="J430" s="17" t="b">
        <v>0</v>
      </c>
    </row>
    <row r="431">
      <c r="A431" s="38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/>
      <c r="G431" s="17"/>
      <c r="H431" s="17"/>
      <c r="I431" s="17"/>
      <c r="J431" s="17" t="b">
        <v>0</v>
      </c>
    </row>
    <row r="432">
      <c r="A432" s="38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/>
      <c r="G432" s="17"/>
      <c r="H432" s="17"/>
      <c r="I432" s="17"/>
      <c r="J432" s="17" t="b">
        <v>0</v>
      </c>
    </row>
    <row r="433">
      <c r="A433" s="38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/>
      <c r="G433" s="17"/>
      <c r="H433" s="17"/>
      <c r="I433" s="17"/>
      <c r="J433" s="17" t="b">
        <v>0</v>
      </c>
    </row>
    <row r="434">
      <c r="A434" s="38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/>
      <c r="G434" s="17"/>
      <c r="H434" s="17"/>
      <c r="I434" s="17"/>
      <c r="J434" s="17" t="b">
        <v>0</v>
      </c>
    </row>
    <row r="435">
      <c r="A435" s="38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/>
      <c r="G435" s="17"/>
      <c r="H435" s="17"/>
      <c r="I435" s="17"/>
      <c r="J435" s="17" t="b">
        <v>0</v>
      </c>
    </row>
    <row r="436">
      <c r="A436" s="38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/>
      <c r="G436" s="17"/>
      <c r="H436" s="17"/>
      <c r="I436" s="17"/>
      <c r="J436" s="17" t="b">
        <v>0</v>
      </c>
    </row>
    <row r="437">
      <c r="A437" s="38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/>
      <c r="G437" s="17"/>
      <c r="H437" s="17"/>
      <c r="I437" s="17"/>
      <c r="J437" s="17" t="b">
        <v>0</v>
      </c>
    </row>
    <row r="438">
      <c r="A438" s="38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/>
      <c r="G438" s="17"/>
      <c r="H438" s="17"/>
      <c r="I438" s="17"/>
      <c r="J438" s="17" t="b">
        <v>0</v>
      </c>
    </row>
    <row r="439">
      <c r="A439" s="38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/>
      <c r="G439" s="17"/>
      <c r="H439" s="17"/>
      <c r="I439" s="17"/>
      <c r="J439" s="17" t="b">
        <v>0</v>
      </c>
    </row>
    <row r="440">
      <c r="A440" s="38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/>
      <c r="G440" s="17"/>
      <c r="H440" s="17"/>
      <c r="I440" s="17"/>
      <c r="J440" s="17" t="b">
        <v>0</v>
      </c>
    </row>
    <row r="441">
      <c r="A441" s="38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/>
      <c r="G441" s="17"/>
      <c r="H441" s="17"/>
      <c r="I441" s="17"/>
      <c r="J441" s="17" t="b">
        <v>0</v>
      </c>
    </row>
    <row r="442">
      <c r="A442" s="38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/>
      <c r="G442" s="17"/>
      <c r="H442" s="17"/>
      <c r="I442" s="17"/>
      <c r="J442" s="17" t="b">
        <v>0</v>
      </c>
    </row>
    <row r="443">
      <c r="A443" s="38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/>
      <c r="G443" s="17"/>
      <c r="H443" s="17"/>
      <c r="I443" s="17"/>
      <c r="J443" s="17" t="b">
        <v>0</v>
      </c>
    </row>
    <row r="444">
      <c r="A444" s="38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/>
      <c r="G444" s="17"/>
      <c r="H444" s="17"/>
      <c r="I444" s="17"/>
      <c r="J444" s="17" t="b">
        <v>0</v>
      </c>
    </row>
    <row r="445">
      <c r="A445" s="38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/>
      <c r="G445" s="17"/>
      <c r="H445" s="17"/>
      <c r="I445" s="17"/>
      <c r="J445" s="17" t="b">
        <v>0</v>
      </c>
    </row>
    <row r="446">
      <c r="A446" s="38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/>
      <c r="G446" s="17"/>
      <c r="H446" s="17"/>
      <c r="I446" s="17"/>
      <c r="J446" s="17" t="b">
        <v>0</v>
      </c>
    </row>
    <row r="447">
      <c r="A447" s="38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/>
      <c r="G447" s="17"/>
      <c r="H447" s="17"/>
      <c r="I447" s="17"/>
      <c r="J447" s="17" t="b">
        <v>0</v>
      </c>
    </row>
    <row r="448">
      <c r="A448" s="38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/>
      <c r="G448" s="17"/>
      <c r="H448" s="17"/>
      <c r="I448" s="17"/>
      <c r="J448" s="17" t="b">
        <v>0</v>
      </c>
    </row>
    <row r="449">
      <c r="A449" s="38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/>
      <c r="G449" s="17"/>
      <c r="H449" s="17"/>
      <c r="I449" s="17"/>
      <c r="J449" s="17" t="b">
        <v>0</v>
      </c>
    </row>
    <row r="450">
      <c r="A450" s="38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/>
      <c r="G450" s="17"/>
      <c r="H450" s="17"/>
      <c r="I450" s="17"/>
      <c r="J450" s="17" t="b">
        <v>0</v>
      </c>
    </row>
    <row r="451">
      <c r="A451" s="38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/>
      <c r="G451" s="17"/>
      <c r="H451" s="17"/>
      <c r="I451" s="17"/>
      <c r="J451" s="17" t="b">
        <v>0</v>
      </c>
    </row>
    <row r="452">
      <c r="A452" s="38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/>
      <c r="G452" s="17"/>
      <c r="H452" s="17"/>
      <c r="I452" s="17"/>
      <c r="J452" s="17" t="b">
        <v>0</v>
      </c>
    </row>
    <row r="453">
      <c r="A453" s="38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/>
      <c r="G453" s="17"/>
      <c r="H453" s="17"/>
      <c r="I453" s="17"/>
      <c r="J453" s="17" t="b">
        <v>0</v>
      </c>
    </row>
    <row r="454">
      <c r="A454" s="38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/>
      <c r="G454" s="17"/>
      <c r="H454" s="17"/>
      <c r="I454" s="17"/>
      <c r="J454" s="17" t="b">
        <v>0</v>
      </c>
    </row>
    <row r="455">
      <c r="A455" s="38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/>
      <c r="G455" s="17"/>
      <c r="H455" s="17"/>
      <c r="I455" s="17"/>
      <c r="J455" s="17" t="b">
        <v>0</v>
      </c>
    </row>
    <row r="456">
      <c r="A456" s="38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/>
      <c r="G456" s="17"/>
      <c r="H456" s="17"/>
      <c r="I456" s="17"/>
      <c r="J456" s="17" t="b">
        <v>0</v>
      </c>
    </row>
    <row r="457">
      <c r="A457" s="38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/>
      <c r="G457" s="17"/>
      <c r="H457" s="17"/>
      <c r="I457" s="17"/>
      <c r="J457" s="17" t="b">
        <v>0</v>
      </c>
    </row>
    <row r="458">
      <c r="A458" s="38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/>
      <c r="G458" s="17"/>
      <c r="H458" s="17"/>
      <c r="I458" s="17"/>
      <c r="J458" s="17" t="b">
        <v>0</v>
      </c>
    </row>
    <row r="459">
      <c r="A459" s="38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/>
      <c r="G459" s="17"/>
      <c r="H459" s="17"/>
      <c r="I459" s="17"/>
      <c r="J459" s="17" t="b">
        <v>0</v>
      </c>
    </row>
    <row r="460">
      <c r="A460" s="38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/>
      <c r="G460" s="17"/>
      <c r="H460" s="17"/>
      <c r="I460" s="17"/>
      <c r="J460" s="17" t="b">
        <v>0</v>
      </c>
    </row>
    <row r="461">
      <c r="A461" s="38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/>
      <c r="G461" s="17"/>
      <c r="H461" s="17"/>
      <c r="I461" s="17"/>
      <c r="J461" s="17" t="b">
        <v>0</v>
      </c>
    </row>
    <row r="462">
      <c r="A462" s="38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/>
      <c r="G462" s="17"/>
      <c r="H462" s="17"/>
      <c r="I462" s="17"/>
      <c r="J462" s="17" t="b">
        <v>0</v>
      </c>
    </row>
    <row r="463">
      <c r="A463" s="38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/>
      <c r="G463" s="17"/>
      <c r="H463" s="17"/>
      <c r="I463" s="17"/>
      <c r="J463" s="17" t="b">
        <v>0</v>
      </c>
    </row>
    <row r="464">
      <c r="A464" s="38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/>
      <c r="G464" s="17"/>
      <c r="H464" s="17"/>
      <c r="I464" s="17"/>
      <c r="J464" s="17" t="b">
        <v>0</v>
      </c>
    </row>
    <row r="465">
      <c r="A465" s="38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/>
      <c r="G465" s="17"/>
      <c r="H465" s="17"/>
      <c r="I465" s="17"/>
      <c r="J465" s="17" t="b">
        <v>0</v>
      </c>
    </row>
    <row r="466">
      <c r="A466" s="38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/>
      <c r="G466" s="17"/>
      <c r="H466" s="17"/>
      <c r="I466" s="17"/>
      <c r="J466" s="17" t="b">
        <v>0</v>
      </c>
    </row>
    <row r="467">
      <c r="A467" s="38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/>
      <c r="G467" s="17"/>
      <c r="H467" s="17"/>
      <c r="I467" s="17"/>
      <c r="J467" s="17" t="b">
        <v>0</v>
      </c>
    </row>
    <row r="468">
      <c r="A468" s="38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/>
      <c r="G468" s="17"/>
      <c r="H468" s="17"/>
      <c r="I468" s="17"/>
      <c r="J468" s="17" t="b">
        <v>0</v>
      </c>
    </row>
    <row r="469">
      <c r="A469" s="38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/>
      <c r="G469" s="17"/>
      <c r="H469" s="17"/>
      <c r="I469" s="17"/>
      <c r="J469" s="17" t="b">
        <v>0</v>
      </c>
    </row>
    <row r="470">
      <c r="A470" s="38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/>
      <c r="G470" s="17"/>
      <c r="H470" s="17"/>
      <c r="I470" s="17"/>
      <c r="J470" s="17" t="b">
        <v>0</v>
      </c>
    </row>
    <row r="471">
      <c r="A471" s="38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/>
      <c r="G471" s="17"/>
      <c r="H471" s="17"/>
      <c r="I471" s="17"/>
      <c r="J471" s="17" t="b">
        <v>0</v>
      </c>
    </row>
    <row r="472">
      <c r="A472" s="38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/>
      <c r="G472" s="17"/>
      <c r="H472" s="17"/>
      <c r="I472" s="17"/>
      <c r="J472" s="17" t="b">
        <v>0</v>
      </c>
    </row>
    <row r="473">
      <c r="A473" s="38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/>
      <c r="G473" s="17"/>
      <c r="H473" s="17"/>
      <c r="I473" s="17"/>
      <c r="J473" s="17" t="b">
        <v>0</v>
      </c>
    </row>
    <row r="474">
      <c r="A474" s="38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/>
      <c r="G474" s="17"/>
      <c r="H474" s="17"/>
      <c r="I474" s="17"/>
      <c r="J474" s="17" t="b">
        <v>0</v>
      </c>
    </row>
    <row r="475">
      <c r="A475" s="38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/>
      <c r="G475" s="17"/>
      <c r="H475" s="17"/>
      <c r="I475" s="17"/>
      <c r="J475" s="17" t="b">
        <v>0</v>
      </c>
    </row>
    <row r="476">
      <c r="A476" s="38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/>
      <c r="G476" s="17"/>
      <c r="H476" s="17"/>
      <c r="I476" s="17"/>
      <c r="J476" s="17" t="b">
        <v>0</v>
      </c>
    </row>
    <row r="477">
      <c r="A477" s="38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/>
      <c r="G477" s="17"/>
      <c r="H477" s="17"/>
      <c r="I477" s="17"/>
      <c r="J477" s="17" t="b">
        <v>0</v>
      </c>
    </row>
    <row r="478">
      <c r="A478" s="38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/>
      <c r="G478" s="17"/>
      <c r="H478" s="17"/>
      <c r="I478" s="17"/>
      <c r="J478" s="17" t="b">
        <v>0</v>
      </c>
    </row>
    <row r="479">
      <c r="A479" s="38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/>
      <c r="G479" s="17"/>
      <c r="H479" s="17"/>
      <c r="I479" s="17"/>
      <c r="J479" s="17" t="b">
        <v>0</v>
      </c>
    </row>
    <row r="480">
      <c r="A480" s="38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/>
      <c r="G480" s="17"/>
      <c r="H480" s="17"/>
      <c r="I480" s="17"/>
      <c r="J480" s="17" t="b">
        <v>0</v>
      </c>
    </row>
    <row r="481">
      <c r="A481" s="38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/>
      <c r="G481" s="17"/>
      <c r="H481" s="17"/>
      <c r="I481" s="17"/>
      <c r="J481" s="17" t="b">
        <v>0</v>
      </c>
    </row>
    <row r="482">
      <c r="A482" s="38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/>
      <c r="G482" s="17"/>
      <c r="H482" s="17"/>
      <c r="I482" s="17"/>
      <c r="J482" s="17" t="b">
        <v>0</v>
      </c>
    </row>
    <row r="483">
      <c r="A483" s="38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/>
      <c r="G483" s="17"/>
      <c r="H483" s="17"/>
      <c r="I483" s="17"/>
      <c r="J483" s="17" t="b">
        <v>0</v>
      </c>
    </row>
    <row r="484">
      <c r="A484" s="38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/>
      <c r="G484" s="17"/>
      <c r="H484" s="17"/>
      <c r="I484" s="17"/>
      <c r="J484" s="17" t="b">
        <v>0</v>
      </c>
    </row>
    <row r="485">
      <c r="A485" s="38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/>
      <c r="G485" s="17"/>
      <c r="H485" s="17"/>
      <c r="I485" s="17"/>
      <c r="J485" s="17" t="b">
        <v>0</v>
      </c>
    </row>
    <row r="486">
      <c r="A486" s="38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/>
      <c r="G486" s="17"/>
      <c r="H486" s="17"/>
      <c r="I486" s="17"/>
      <c r="J486" s="17" t="b">
        <v>0</v>
      </c>
    </row>
    <row r="487">
      <c r="A487" s="38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/>
      <c r="G487" s="17"/>
      <c r="H487" s="17"/>
      <c r="I487" s="17"/>
      <c r="J487" s="17" t="b">
        <v>0</v>
      </c>
    </row>
    <row r="488">
      <c r="A488" s="38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/>
      <c r="G488" s="17"/>
      <c r="H488" s="17"/>
      <c r="I488" s="17"/>
      <c r="J488" s="17" t="b">
        <v>0</v>
      </c>
    </row>
    <row r="489">
      <c r="A489" s="38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/>
      <c r="G489" s="17"/>
      <c r="H489" s="17"/>
      <c r="I489" s="17"/>
      <c r="J489" s="17" t="b">
        <v>0</v>
      </c>
    </row>
    <row r="490">
      <c r="A490" s="38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/>
      <c r="G490" s="17"/>
      <c r="H490" s="17"/>
      <c r="I490" s="17"/>
      <c r="J490" s="17" t="b">
        <v>0</v>
      </c>
    </row>
    <row r="491">
      <c r="A491" s="38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/>
      <c r="G491" s="17"/>
      <c r="H491" s="17"/>
      <c r="I491" s="17"/>
      <c r="J491" s="17" t="b">
        <v>0</v>
      </c>
    </row>
    <row r="492">
      <c r="A492" s="38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/>
      <c r="G492" s="17"/>
      <c r="H492" s="17"/>
      <c r="I492" s="17"/>
      <c r="J492" s="17" t="b">
        <v>0</v>
      </c>
    </row>
    <row r="493">
      <c r="A493" s="38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/>
      <c r="G493" s="17"/>
      <c r="H493" s="17"/>
      <c r="I493" s="17"/>
      <c r="J493" s="17" t="b">
        <v>0</v>
      </c>
    </row>
    <row r="494">
      <c r="A494" s="38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/>
      <c r="G494" s="17"/>
      <c r="H494" s="17"/>
      <c r="I494" s="17"/>
      <c r="J494" s="17" t="b">
        <v>0</v>
      </c>
    </row>
    <row r="495">
      <c r="A495" s="38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/>
      <c r="G495" s="17"/>
      <c r="H495" s="17"/>
      <c r="I495" s="17"/>
      <c r="J495" s="17" t="b">
        <v>0</v>
      </c>
    </row>
    <row r="496">
      <c r="A496" s="38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/>
      <c r="G496" s="17"/>
      <c r="H496" s="17"/>
      <c r="I496" s="17"/>
      <c r="J496" s="17" t="b">
        <v>0</v>
      </c>
    </row>
    <row r="497">
      <c r="A497" s="38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/>
      <c r="G497" s="17"/>
      <c r="H497" s="17"/>
      <c r="I497" s="17"/>
      <c r="J497" s="17" t="b">
        <v>0</v>
      </c>
    </row>
    <row r="498">
      <c r="A498" s="38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/>
      <c r="G498" s="17"/>
      <c r="H498" s="17"/>
      <c r="I498" s="17"/>
      <c r="J498" s="17" t="b">
        <v>0</v>
      </c>
    </row>
    <row r="499">
      <c r="A499" s="38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/>
      <c r="G499" s="17"/>
      <c r="H499" s="17"/>
      <c r="I499" s="17"/>
      <c r="J499" s="17" t="b">
        <v>0</v>
      </c>
    </row>
    <row r="500">
      <c r="A500" s="38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/>
      <c r="G500" s="17"/>
      <c r="H500" s="17"/>
      <c r="I500" s="17"/>
      <c r="J500" s="17" t="b">
        <v>0</v>
      </c>
    </row>
    <row r="501">
      <c r="A501" s="38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/>
      <c r="G501" s="17"/>
      <c r="H501" s="17"/>
      <c r="I501" s="17"/>
      <c r="J501" s="17" t="b">
        <v>0</v>
      </c>
    </row>
    <row r="502">
      <c r="A502" s="38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/>
      <c r="G502" s="17"/>
      <c r="H502" s="17"/>
      <c r="I502" s="17"/>
      <c r="J502" s="17" t="b">
        <v>0</v>
      </c>
    </row>
    <row r="503">
      <c r="A503" s="38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/>
      <c r="G503" s="17"/>
      <c r="H503" s="17"/>
      <c r="I503" s="17"/>
      <c r="J503" s="17" t="b">
        <v>0</v>
      </c>
    </row>
    <row r="504">
      <c r="A504" s="38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/>
      <c r="G504" s="17"/>
      <c r="H504" s="17"/>
      <c r="I504" s="17"/>
      <c r="J504" s="17" t="b">
        <v>0</v>
      </c>
    </row>
    <row r="505">
      <c r="A505" s="38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/>
      <c r="G505" s="17"/>
      <c r="H505" s="17"/>
      <c r="I505" s="17"/>
      <c r="J505" s="17" t="b">
        <v>0</v>
      </c>
    </row>
    <row r="506">
      <c r="A506" s="38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/>
      <c r="G506" s="17"/>
      <c r="H506" s="17"/>
      <c r="I506" s="17"/>
      <c r="J506" s="17" t="b">
        <v>0</v>
      </c>
    </row>
    <row r="507">
      <c r="A507" s="38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/>
      <c r="G507" s="17"/>
      <c r="H507" s="17"/>
      <c r="I507" s="17"/>
      <c r="J507" s="17" t="b">
        <v>0</v>
      </c>
    </row>
    <row r="508">
      <c r="A508" s="38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/>
      <c r="G508" s="17"/>
      <c r="H508" s="17"/>
      <c r="I508" s="17"/>
      <c r="J508" s="17" t="b">
        <v>0</v>
      </c>
    </row>
    <row r="509">
      <c r="A509" s="38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/>
      <c r="G509" s="17"/>
      <c r="H509" s="17"/>
      <c r="I509" s="17"/>
      <c r="J509" s="17" t="b">
        <v>0</v>
      </c>
    </row>
    <row r="510">
      <c r="A510" s="38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/>
      <c r="G510" s="17"/>
      <c r="H510" s="17"/>
      <c r="I510" s="17"/>
      <c r="J510" s="17" t="b">
        <v>0</v>
      </c>
    </row>
    <row r="511">
      <c r="A511" s="38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/>
      <c r="G511" s="17"/>
      <c r="H511" s="17"/>
      <c r="I511" s="17"/>
      <c r="J511" s="17" t="b">
        <v>0</v>
      </c>
    </row>
    <row r="512">
      <c r="A512" s="38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/>
      <c r="G512" s="17"/>
      <c r="H512" s="17"/>
      <c r="I512" s="17"/>
      <c r="J512" s="17" t="b">
        <v>0</v>
      </c>
    </row>
    <row r="513">
      <c r="A513" s="38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/>
      <c r="G513" s="17"/>
      <c r="H513" s="17"/>
      <c r="I513" s="17"/>
      <c r="J513" s="17" t="b">
        <v>0</v>
      </c>
    </row>
    <row r="514">
      <c r="A514" s="38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/>
      <c r="G514" s="17"/>
      <c r="H514" s="17"/>
      <c r="I514" s="17"/>
      <c r="J514" s="17" t="b">
        <v>0</v>
      </c>
    </row>
    <row r="515">
      <c r="A515" s="38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/>
      <c r="G515" s="17"/>
      <c r="H515" s="17"/>
      <c r="I515" s="17"/>
      <c r="J515" s="17" t="b">
        <v>0</v>
      </c>
    </row>
    <row r="516">
      <c r="A516" s="38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/>
      <c r="G516" s="17"/>
      <c r="H516" s="17"/>
      <c r="I516" s="17"/>
      <c r="J516" s="17" t="b">
        <v>0</v>
      </c>
    </row>
    <row r="517">
      <c r="A517" s="38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/>
      <c r="G517" s="17"/>
      <c r="H517" s="17"/>
      <c r="I517" s="17"/>
      <c r="J517" s="17" t="b">
        <v>0</v>
      </c>
    </row>
    <row r="518">
      <c r="A518" s="38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/>
      <c r="G518" s="17"/>
      <c r="H518" s="17"/>
      <c r="I518" s="17"/>
      <c r="J518" s="17" t="b">
        <v>0</v>
      </c>
    </row>
    <row r="519">
      <c r="A519" s="38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/>
      <c r="G519" s="17"/>
      <c r="H519" s="17"/>
      <c r="I519" s="17"/>
      <c r="J519" s="17" t="b">
        <v>0</v>
      </c>
    </row>
    <row r="520">
      <c r="A520" s="38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/>
      <c r="G520" s="17"/>
      <c r="H520" s="17"/>
      <c r="I520" s="17"/>
      <c r="J520" s="17" t="b">
        <v>0</v>
      </c>
    </row>
    <row r="521">
      <c r="A521" s="38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/>
      <c r="G521" s="17"/>
      <c r="H521" s="17"/>
      <c r="I521" s="17"/>
      <c r="J521" s="17" t="b">
        <v>0</v>
      </c>
    </row>
    <row r="522">
      <c r="A522" s="38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/>
      <c r="G522" s="17"/>
      <c r="H522" s="17"/>
      <c r="I522" s="17"/>
      <c r="J522" s="17" t="b">
        <v>0</v>
      </c>
    </row>
    <row r="523">
      <c r="A523" s="38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/>
      <c r="G523" s="17"/>
      <c r="H523" s="17"/>
      <c r="I523" s="17"/>
      <c r="J523" s="17" t="b">
        <v>0</v>
      </c>
    </row>
    <row r="524">
      <c r="A524" s="38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/>
      <c r="G524" s="17"/>
      <c r="H524" s="17"/>
      <c r="I524" s="17"/>
      <c r="J524" s="17" t="b">
        <v>0</v>
      </c>
    </row>
    <row r="525">
      <c r="A525" s="38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/>
      <c r="G525" s="17"/>
      <c r="H525" s="17"/>
      <c r="I525" s="17"/>
      <c r="J525" s="17" t="b">
        <v>0</v>
      </c>
    </row>
    <row r="526">
      <c r="A526" s="38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/>
      <c r="G526" s="17"/>
      <c r="H526" s="17"/>
      <c r="I526" s="17"/>
      <c r="J526" s="17" t="b">
        <v>0</v>
      </c>
    </row>
    <row r="527">
      <c r="A527" s="38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/>
      <c r="G527" s="17"/>
      <c r="H527" s="17"/>
      <c r="I527" s="17"/>
      <c r="J527" s="17" t="b">
        <v>0</v>
      </c>
    </row>
    <row r="528">
      <c r="A528" s="38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/>
      <c r="G528" s="17"/>
      <c r="H528" s="17"/>
      <c r="I528" s="17"/>
      <c r="J528" s="17" t="b">
        <v>0</v>
      </c>
    </row>
    <row r="529">
      <c r="A529" s="38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/>
      <c r="G529" s="17"/>
      <c r="H529" s="17"/>
      <c r="I529" s="17"/>
      <c r="J529" s="17" t="b">
        <v>0</v>
      </c>
    </row>
    <row r="530">
      <c r="A530" s="38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/>
      <c r="G530" s="17"/>
      <c r="H530" s="17"/>
      <c r="I530" s="17"/>
      <c r="J530" s="17" t="b">
        <v>0</v>
      </c>
    </row>
    <row r="531">
      <c r="A531" s="38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/>
      <c r="G531" s="17"/>
      <c r="H531" s="17"/>
      <c r="I531" s="17"/>
      <c r="J531" s="17" t="b">
        <v>0</v>
      </c>
    </row>
    <row r="532">
      <c r="A532" s="38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/>
      <c r="G532" s="17"/>
      <c r="H532" s="17"/>
      <c r="I532" s="17"/>
      <c r="J532" s="17" t="b">
        <v>0</v>
      </c>
    </row>
    <row r="533">
      <c r="A533" s="38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/>
      <c r="G533" s="17"/>
      <c r="H533" s="17"/>
      <c r="I533" s="17"/>
      <c r="J533" s="17" t="b">
        <v>0</v>
      </c>
    </row>
    <row r="534">
      <c r="A534" s="38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/>
      <c r="G534" s="17"/>
      <c r="H534" s="17"/>
      <c r="I534" s="17"/>
      <c r="J534" s="17" t="b">
        <v>0</v>
      </c>
    </row>
    <row r="535">
      <c r="A535" s="38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/>
      <c r="G535" s="17"/>
      <c r="H535" s="17"/>
      <c r="I535" s="17"/>
      <c r="J535" s="17" t="b">
        <v>0</v>
      </c>
    </row>
    <row r="536">
      <c r="A536" s="38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/>
      <c r="G536" s="17"/>
      <c r="H536" s="17"/>
      <c r="I536" s="17"/>
      <c r="J536" s="17" t="b">
        <v>0</v>
      </c>
    </row>
    <row r="537">
      <c r="A537" s="38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/>
      <c r="G537" s="17"/>
      <c r="H537" s="17"/>
      <c r="I537" s="17"/>
      <c r="J537" s="17" t="b">
        <v>0</v>
      </c>
    </row>
    <row r="538">
      <c r="A538" s="38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/>
      <c r="G538" s="17"/>
      <c r="H538" s="17"/>
      <c r="I538" s="17"/>
      <c r="J538" s="17" t="b">
        <v>0</v>
      </c>
    </row>
    <row r="539">
      <c r="A539" s="38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/>
      <c r="G539" s="17"/>
      <c r="H539" s="17"/>
      <c r="I539" s="17"/>
      <c r="J539" s="17" t="b">
        <v>0</v>
      </c>
    </row>
    <row r="540">
      <c r="A540" s="38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/>
      <c r="G540" s="17"/>
      <c r="H540" s="17"/>
      <c r="I540" s="17"/>
      <c r="J540" s="17" t="b">
        <v>0</v>
      </c>
    </row>
    <row r="541">
      <c r="A541" s="38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/>
      <c r="G541" s="17"/>
      <c r="H541" s="17"/>
      <c r="I541" s="17"/>
      <c r="J541" s="17" t="b">
        <v>0</v>
      </c>
    </row>
    <row r="542">
      <c r="A542" s="38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/>
      <c r="G542" s="17"/>
      <c r="H542" s="17"/>
      <c r="I542" s="17"/>
      <c r="J542" s="17" t="b">
        <v>0</v>
      </c>
    </row>
    <row r="543">
      <c r="A543" s="38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/>
      <c r="G543" s="17"/>
      <c r="H543" s="17"/>
      <c r="I543" s="17"/>
      <c r="J543" s="17" t="b">
        <v>0</v>
      </c>
    </row>
    <row r="544">
      <c r="A544" s="38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/>
      <c r="G544" s="17"/>
      <c r="H544" s="17"/>
      <c r="I544" s="17"/>
      <c r="J544" s="17" t="b">
        <v>0</v>
      </c>
    </row>
    <row r="545">
      <c r="A545" s="38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/>
      <c r="G545" s="17"/>
      <c r="H545" s="17"/>
      <c r="I545" s="17"/>
      <c r="J545" s="17" t="b">
        <v>0</v>
      </c>
    </row>
    <row r="546">
      <c r="A546" s="38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/>
      <c r="G546" s="17"/>
      <c r="H546" s="17"/>
      <c r="I546" s="17"/>
      <c r="J546" s="17" t="b">
        <v>0</v>
      </c>
    </row>
    <row r="547">
      <c r="A547" s="38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/>
      <c r="G547" s="17"/>
      <c r="H547" s="17"/>
      <c r="I547" s="17"/>
      <c r="J547" s="17" t="b">
        <v>0</v>
      </c>
    </row>
    <row r="548">
      <c r="A548" s="38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/>
      <c r="G548" s="17"/>
      <c r="H548" s="17"/>
      <c r="I548" s="17"/>
      <c r="J548" s="17" t="b">
        <v>0</v>
      </c>
    </row>
    <row r="549">
      <c r="A549" s="38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/>
      <c r="G549" s="17"/>
      <c r="H549" s="17"/>
      <c r="I549" s="17"/>
      <c r="J549" s="17" t="b">
        <v>0</v>
      </c>
    </row>
    <row r="550">
      <c r="A550" s="38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/>
      <c r="G550" s="17"/>
      <c r="H550" s="17"/>
      <c r="I550" s="17"/>
      <c r="J550" s="17" t="b">
        <v>0</v>
      </c>
    </row>
    <row r="551">
      <c r="A551" s="38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/>
      <c r="G551" s="17"/>
      <c r="H551" s="17"/>
      <c r="I551" s="17"/>
      <c r="J551" s="17" t="b">
        <v>0</v>
      </c>
    </row>
    <row r="552">
      <c r="A552" s="38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/>
      <c r="G552" s="17"/>
      <c r="H552" s="17"/>
      <c r="I552" s="17"/>
      <c r="J552" s="17" t="b">
        <v>0</v>
      </c>
    </row>
    <row r="553">
      <c r="A553" s="38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/>
      <c r="G553" s="17"/>
      <c r="H553" s="17"/>
      <c r="I553" s="17"/>
      <c r="J553" s="17" t="b">
        <v>0</v>
      </c>
    </row>
    <row r="554">
      <c r="A554" s="38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/>
      <c r="G554" s="17"/>
      <c r="H554" s="17"/>
      <c r="I554" s="17"/>
      <c r="J554" s="17" t="b">
        <v>0</v>
      </c>
    </row>
    <row r="555">
      <c r="A555" s="38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/>
      <c r="G555" s="17"/>
      <c r="H555" s="17"/>
      <c r="I555" s="17"/>
      <c r="J555" s="17" t="b">
        <v>0</v>
      </c>
    </row>
    <row r="556">
      <c r="A556" s="38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/>
      <c r="G556" s="17"/>
      <c r="H556" s="17"/>
      <c r="I556" s="17"/>
      <c r="J556" s="17" t="b">
        <v>0</v>
      </c>
    </row>
    <row r="557">
      <c r="A557" s="38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/>
      <c r="G557" s="17"/>
      <c r="H557" s="17"/>
      <c r="I557" s="17"/>
      <c r="J557" s="17" t="b">
        <v>0</v>
      </c>
    </row>
    <row r="558">
      <c r="A558" s="38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/>
      <c r="G558" s="17"/>
      <c r="H558" s="17"/>
      <c r="I558" s="17"/>
      <c r="J558" s="17" t="b">
        <v>0</v>
      </c>
    </row>
    <row r="559">
      <c r="A559" s="38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/>
      <c r="G559" s="17"/>
      <c r="H559" s="17"/>
      <c r="I559" s="17"/>
      <c r="J559" s="17" t="b">
        <v>0</v>
      </c>
    </row>
    <row r="560">
      <c r="A560" s="38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/>
      <c r="G560" s="17"/>
      <c r="H560" s="17"/>
      <c r="I560" s="17"/>
      <c r="J560" s="17" t="b">
        <v>0</v>
      </c>
    </row>
    <row r="561">
      <c r="A561" s="38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/>
      <c r="G561" s="17"/>
      <c r="H561" s="17"/>
      <c r="I561" s="17"/>
      <c r="J561" s="17" t="b">
        <v>0</v>
      </c>
    </row>
    <row r="562">
      <c r="A562" s="38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/>
      <c r="G562" s="17"/>
      <c r="H562" s="17"/>
      <c r="I562" s="17"/>
      <c r="J562" s="17" t="b">
        <v>0</v>
      </c>
    </row>
    <row r="563">
      <c r="A563" s="38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/>
      <c r="G563" s="17"/>
      <c r="H563" s="17"/>
      <c r="I563" s="17"/>
      <c r="J563" s="17" t="b">
        <v>0</v>
      </c>
    </row>
    <row r="564">
      <c r="A564" s="38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/>
      <c r="G564" s="17"/>
      <c r="H564" s="17"/>
      <c r="I564" s="17"/>
      <c r="J564" s="17" t="b">
        <v>0</v>
      </c>
    </row>
    <row r="565">
      <c r="A565" s="38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/>
      <c r="G565" s="17"/>
      <c r="H565" s="17"/>
      <c r="I565" s="17"/>
      <c r="J565" s="17" t="b">
        <v>0</v>
      </c>
    </row>
    <row r="566">
      <c r="A566" s="38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/>
      <c r="G566" s="17"/>
      <c r="H566" s="17"/>
      <c r="I566" s="17"/>
      <c r="J566" s="17" t="b">
        <v>0</v>
      </c>
    </row>
    <row r="567">
      <c r="A567" s="38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/>
      <c r="G567" s="17"/>
      <c r="H567" s="17"/>
      <c r="I567" s="17"/>
      <c r="J567" s="17" t="b">
        <v>0</v>
      </c>
    </row>
    <row r="568">
      <c r="A568" s="38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/>
      <c r="G568" s="17"/>
      <c r="H568" s="17"/>
      <c r="I568" s="17"/>
      <c r="J568" s="17" t="b">
        <v>0</v>
      </c>
    </row>
    <row r="569">
      <c r="A569" s="38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/>
      <c r="G569" s="17"/>
      <c r="H569" s="17"/>
      <c r="I569" s="17"/>
      <c r="J569" s="17" t="b">
        <v>0</v>
      </c>
    </row>
    <row r="570">
      <c r="A570" s="38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/>
      <c r="G570" s="17"/>
      <c r="H570" s="17"/>
      <c r="I570" s="17"/>
      <c r="J570" s="17" t="b">
        <v>0</v>
      </c>
    </row>
    <row r="571">
      <c r="A571" s="38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/>
      <c r="G571" s="17"/>
      <c r="H571" s="17"/>
      <c r="I571" s="17"/>
      <c r="J571" s="17" t="b">
        <v>0</v>
      </c>
    </row>
    <row r="572">
      <c r="A572" s="38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/>
      <c r="G572" s="17"/>
      <c r="H572" s="17"/>
      <c r="I572" s="17"/>
      <c r="J572" s="17" t="b">
        <v>0</v>
      </c>
    </row>
    <row r="573">
      <c r="A573" s="38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/>
      <c r="G573" s="17"/>
      <c r="H573" s="17"/>
      <c r="I573" s="17"/>
      <c r="J573" s="17" t="b">
        <v>0</v>
      </c>
    </row>
    <row r="574">
      <c r="A574" s="38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/>
      <c r="G574" s="17"/>
      <c r="H574" s="17"/>
      <c r="I574" s="17"/>
      <c r="J574" s="17" t="b">
        <v>0</v>
      </c>
    </row>
    <row r="575">
      <c r="A575" s="38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/>
      <c r="G575" s="17"/>
      <c r="H575" s="17"/>
      <c r="I575" s="17"/>
      <c r="J575" s="17" t="b">
        <v>0</v>
      </c>
    </row>
    <row r="576">
      <c r="A576" s="38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/>
      <c r="G576" s="17"/>
      <c r="H576" s="17"/>
      <c r="I576" s="17"/>
      <c r="J576" s="17" t="b">
        <v>0</v>
      </c>
    </row>
    <row r="577">
      <c r="A577" s="38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/>
      <c r="G577" s="17"/>
      <c r="H577" s="17"/>
      <c r="I577" s="17"/>
      <c r="J577" s="17" t="b">
        <v>0</v>
      </c>
    </row>
    <row r="578">
      <c r="A578" s="38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/>
      <c r="G578" s="17"/>
      <c r="H578" s="17"/>
      <c r="I578" s="17"/>
      <c r="J578" s="17" t="b">
        <v>0</v>
      </c>
    </row>
    <row r="579">
      <c r="A579" s="38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/>
      <c r="G579" s="17"/>
      <c r="H579" s="17"/>
      <c r="I579" s="17"/>
      <c r="J579" s="17" t="b">
        <v>0</v>
      </c>
    </row>
    <row r="580">
      <c r="A580" s="38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/>
      <c r="G580" s="17"/>
      <c r="H580" s="17"/>
      <c r="I580" s="17"/>
      <c r="J580" s="17" t="b">
        <v>0</v>
      </c>
    </row>
    <row r="581">
      <c r="A581" s="38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/>
      <c r="G581" s="17"/>
      <c r="H581" s="17"/>
      <c r="I581" s="17"/>
      <c r="J581" s="17" t="b">
        <v>0</v>
      </c>
    </row>
    <row r="582">
      <c r="A582" s="38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/>
      <c r="G582" s="17"/>
      <c r="H582" s="17"/>
      <c r="I582" s="17"/>
      <c r="J582" s="17" t="b">
        <v>0</v>
      </c>
    </row>
    <row r="583">
      <c r="A583" s="38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/>
      <c r="G583" s="17"/>
      <c r="H583" s="17"/>
      <c r="I583" s="17"/>
      <c r="J583" s="17" t="b">
        <v>0</v>
      </c>
    </row>
    <row r="584">
      <c r="A584" s="38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/>
      <c r="G584" s="17"/>
      <c r="H584" s="17"/>
      <c r="I584" s="17"/>
      <c r="J584" s="17" t="b">
        <v>0</v>
      </c>
    </row>
    <row r="585">
      <c r="A585" s="38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/>
      <c r="G585" s="17"/>
      <c r="H585" s="17"/>
      <c r="I585" s="17"/>
      <c r="J585" s="17" t="b">
        <v>0</v>
      </c>
    </row>
    <row r="586">
      <c r="A586" s="38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/>
      <c r="G586" s="17"/>
      <c r="H586" s="17"/>
      <c r="I586" s="17"/>
      <c r="J586" s="17" t="b">
        <v>0</v>
      </c>
    </row>
    <row r="587">
      <c r="A587" s="38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/>
      <c r="G587" s="17"/>
      <c r="H587" s="17"/>
      <c r="I587" s="17"/>
      <c r="J587" s="17" t="b">
        <v>0</v>
      </c>
    </row>
    <row r="588">
      <c r="A588" s="38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/>
      <c r="G588" s="17"/>
      <c r="H588" s="17"/>
      <c r="I588" s="17"/>
      <c r="J588" s="17" t="b">
        <v>0</v>
      </c>
    </row>
    <row r="589">
      <c r="A589" s="38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/>
      <c r="G589" s="17"/>
      <c r="H589" s="17"/>
      <c r="I589" s="17"/>
      <c r="J589" s="17" t="b">
        <v>0</v>
      </c>
    </row>
    <row r="590">
      <c r="A590" s="38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/>
      <c r="G590" s="17"/>
      <c r="H590" s="17"/>
      <c r="I590" s="17"/>
      <c r="J590" s="17" t="b">
        <v>0</v>
      </c>
    </row>
    <row r="591">
      <c r="A591" s="38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/>
      <c r="G591" s="17"/>
      <c r="H591" s="17"/>
      <c r="I591" s="17"/>
      <c r="J591" s="17" t="b">
        <v>0</v>
      </c>
    </row>
    <row r="592">
      <c r="A592" s="38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/>
      <c r="G592" s="17"/>
      <c r="H592" s="17"/>
      <c r="I592" s="17"/>
      <c r="J592" s="17" t="b">
        <v>0</v>
      </c>
    </row>
    <row r="593">
      <c r="A593" s="38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/>
      <c r="G593" s="17"/>
      <c r="H593" s="17"/>
      <c r="I593" s="17"/>
      <c r="J593" s="17" t="b">
        <v>0</v>
      </c>
    </row>
    <row r="594">
      <c r="A594" s="38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/>
      <c r="G594" s="17"/>
      <c r="H594" s="17"/>
      <c r="I594" s="17"/>
      <c r="J594" s="17" t="b">
        <v>0</v>
      </c>
    </row>
    <row r="595">
      <c r="A595" s="38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/>
      <c r="G595" s="17"/>
      <c r="H595" s="17"/>
      <c r="I595" s="17"/>
      <c r="J595" s="17" t="b">
        <v>0</v>
      </c>
    </row>
    <row r="596">
      <c r="A596" s="38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/>
      <c r="G596" s="17"/>
      <c r="H596" s="17"/>
      <c r="I596" s="17"/>
      <c r="J596" s="17" t="b">
        <v>0</v>
      </c>
    </row>
    <row r="597">
      <c r="A597" s="38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/>
      <c r="G597" s="17"/>
      <c r="H597" s="17"/>
      <c r="I597" s="17"/>
      <c r="J597" s="17" t="b">
        <v>0</v>
      </c>
    </row>
    <row r="598">
      <c r="A598" s="38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/>
      <c r="G598" s="17"/>
      <c r="H598" s="17"/>
      <c r="I598" s="17"/>
      <c r="J598" s="17" t="b">
        <v>0</v>
      </c>
    </row>
    <row r="599">
      <c r="A599" s="38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/>
      <c r="G599" s="17"/>
      <c r="H599" s="17"/>
      <c r="I599" s="17"/>
      <c r="J599" s="17" t="b">
        <v>0</v>
      </c>
    </row>
    <row r="600">
      <c r="A600" s="38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/>
      <c r="G600" s="17"/>
      <c r="H600" s="17"/>
      <c r="I600" s="17"/>
      <c r="J600" s="17" t="b">
        <v>0</v>
      </c>
    </row>
    <row r="601">
      <c r="A601" s="38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/>
      <c r="G601" s="17"/>
      <c r="H601" s="17"/>
      <c r="I601" s="17"/>
      <c r="J601" s="17" t="b">
        <v>0</v>
      </c>
    </row>
    <row r="602">
      <c r="A602" s="38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/>
      <c r="G602" s="17"/>
      <c r="H602" s="17"/>
      <c r="I602" s="17"/>
      <c r="J602" s="17" t="b">
        <v>0</v>
      </c>
    </row>
    <row r="603">
      <c r="A603" s="38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/>
      <c r="G603" s="17"/>
      <c r="H603" s="17"/>
      <c r="I603" s="17"/>
      <c r="J603" s="17" t="b">
        <v>0</v>
      </c>
    </row>
    <row r="604">
      <c r="A604" s="38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/>
      <c r="G604" s="17"/>
      <c r="H604" s="17"/>
      <c r="I604" s="17"/>
      <c r="J604" s="17" t="b">
        <v>0</v>
      </c>
    </row>
    <row r="605">
      <c r="A605" s="38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/>
      <c r="G605" s="17"/>
      <c r="H605" s="17"/>
      <c r="I605" s="17"/>
      <c r="J605" s="17" t="b">
        <v>0</v>
      </c>
    </row>
    <row r="606">
      <c r="A606" s="38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/>
      <c r="G606" s="17"/>
      <c r="H606" s="17"/>
      <c r="I606" s="17"/>
      <c r="J606" s="17" t="b">
        <v>0</v>
      </c>
    </row>
    <row r="607">
      <c r="A607" s="38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/>
      <c r="G607" s="17"/>
      <c r="H607" s="17"/>
      <c r="I607" s="17"/>
      <c r="J607" s="17" t="b">
        <v>0</v>
      </c>
    </row>
    <row r="608">
      <c r="A608" s="38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/>
      <c r="G608" s="17"/>
      <c r="H608" s="17"/>
      <c r="I608" s="17"/>
      <c r="J608" s="17" t="b">
        <v>0</v>
      </c>
    </row>
    <row r="609">
      <c r="A609" s="38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/>
      <c r="G609" s="17"/>
      <c r="H609" s="17"/>
      <c r="I609" s="17"/>
      <c r="J609" s="17" t="b">
        <v>0</v>
      </c>
    </row>
    <row r="610">
      <c r="A610" s="38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/>
      <c r="G610" s="17"/>
      <c r="H610" s="17"/>
      <c r="I610" s="17"/>
      <c r="J610" s="17" t="b">
        <v>0</v>
      </c>
    </row>
    <row r="611">
      <c r="A611" s="38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/>
      <c r="G611" s="17"/>
      <c r="H611" s="17"/>
      <c r="I611" s="17"/>
      <c r="J611" s="17" t="b">
        <v>0</v>
      </c>
    </row>
    <row r="612">
      <c r="A612" s="38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/>
      <c r="G612" s="17"/>
      <c r="H612" s="17"/>
      <c r="I612" s="17"/>
      <c r="J612" s="17" t="b">
        <v>0</v>
      </c>
    </row>
    <row r="613">
      <c r="A613" s="38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/>
      <c r="G613" s="17"/>
      <c r="H613" s="17"/>
      <c r="I613" s="17"/>
      <c r="J613" s="17" t="b">
        <v>0</v>
      </c>
    </row>
    <row r="614">
      <c r="A614" s="38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/>
      <c r="G614" s="17"/>
      <c r="H614" s="17"/>
      <c r="I614" s="17"/>
      <c r="J614" s="17" t="b">
        <v>0</v>
      </c>
    </row>
    <row r="615">
      <c r="A615" s="38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/>
      <c r="G615" s="17"/>
      <c r="H615" s="17"/>
      <c r="I615" s="17"/>
      <c r="J615" s="17" t="b">
        <v>0</v>
      </c>
    </row>
    <row r="616">
      <c r="A616" s="38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/>
      <c r="G616" s="17"/>
      <c r="H616" s="17"/>
      <c r="I616" s="17"/>
      <c r="J616" s="17" t="b">
        <v>0</v>
      </c>
    </row>
    <row r="617">
      <c r="A617" s="38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/>
      <c r="G617" s="17"/>
      <c r="H617" s="17"/>
      <c r="I617" s="17"/>
      <c r="J617" s="17" t="b">
        <v>0</v>
      </c>
    </row>
    <row r="618">
      <c r="A618" s="38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/>
      <c r="G618" s="17"/>
      <c r="H618" s="17"/>
      <c r="I618" s="17"/>
      <c r="J618" s="17" t="b">
        <v>0</v>
      </c>
    </row>
    <row r="619">
      <c r="A619" s="38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/>
      <c r="G619" s="17"/>
      <c r="H619" s="17"/>
      <c r="I619" s="17"/>
      <c r="J619" s="17" t="b">
        <v>0</v>
      </c>
    </row>
    <row r="620">
      <c r="A620" s="38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/>
      <c r="G620" s="17"/>
      <c r="H620" s="17"/>
      <c r="I620" s="17"/>
      <c r="J620" s="17" t="b">
        <v>0</v>
      </c>
    </row>
    <row r="621">
      <c r="A621" s="38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/>
      <c r="G621" s="17"/>
      <c r="H621" s="17"/>
      <c r="I621" s="17"/>
      <c r="J621" s="17" t="b">
        <v>0</v>
      </c>
    </row>
    <row r="622">
      <c r="A622" s="38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/>
      <c r="G622" s="17"/>
      <c r="H622" s="17"/>
      <c r="I622" s="17"/>
      <c r="J622" s="17" t="b">
        <v>0</v>
      </c>
    </row>
    <row r="623">
      <c r="A623" s="38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/>
      <c r="G623" s="17"/>
      <c r="H623" s="17"/>
      <c r="I623" s="17"/>
      <c r="J623" s="17" t="b">
        <v>0</v>
      </c>
    </row>
    <row r="624">
      <c r="A624" s="38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/>
      <c r="G624" s="17"/>
      <c r="H624" s="17"/>
      <c r="I624" s="17"/>
      <c r="J624" s="17" t="b">
        <v>0</v>
      </c>
    </row>
    <row r="625">
      <c r="A625" s="38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/>
      <c r="G625" s="17"/>
      <c r="H625" s="17"/>
      <c r="I625" s="17"/>
      <c r="J625" s="17" t="b">
        <v>0</v>
      </c>
    </row>
    <row r="626">
      <c r="A626" s="38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/>
      <c r="G626" s="17"/>
      <c r="H626" s="17"/>
      <c r="I626" s="17"/>
      <c r="J626" s="17" t="b">
        <v>0</v>
      </c>
    </row>
    <row r="627">
      <c r="A627" s="38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/>
      <c r="G627" s="17"/>
      <c r="H627" s="17"/>
      <c r="I627" s="17"/>
      <c r="J627" s="17" t="b">
        <v>0</v>
      </c>
    </row>
    <row r="628">
      <c r="A628" s="38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/>
      <c r="G628" s="17"/>
      <c r="H628" s="17"/>
      <c r="I628" s="17"/>
      <c r="J628" s="17" t="b">
        <v>0</v>
      </c>
    </row>
    <row r="629">
      <c r="A629" s="38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/>
      <c r="G629" s="17"/>
      <c r="H629" s="17"/>
      <c r="I629" s="17"/>
      <c r="J629" s="17" t="b">
        <v>0</v>
      </c>
    </row>
    <row r="630">
      <c r="A630" s="38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/>
      <c r="G630" s="17"/>
      <c r="H630" s="17"/>
      <c r="I630" s="17"/>
      <c r="J630" s="17" t="b">
        <v>0</v>
      </c>
    </row>
    <row r="631">
      <c r="A631" s="38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/>
      <c r="G631" s="17"/>
      <c r="H631" s="17"/>
      <c r="I631" s="17"/>
      <c r="J631" s="17" t="b">
        <v>0</v>
      </c>
    </row>
    <row r="632">
      <c r="A632" s="38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/>
      <c r="G632" s="17"/>
      <c r="H632" s="17"/>
      <c r="I632" s="17"/>
      <c r="J632" s="17" t="b">
        <v>0</v>
      </c>
    </row>
    <row r="633">
      <c r="A633" s="38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/>
      <c r="G633" s="17"/>
      <c r="H633" s="17"/>
      <c r="I633" s="17"/>
      <c r="J633" s="17" t="b">
        <v>0</v>
      </c>
    </row>
    <row r="634">
      <c r="A634" s="38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/>
      <c r="G634" s="17"/>
      <c r="H634" s="17"/>
      <c r="I634" s="17"/>
      <c r="J634" s="17" t="b">
        <v>0</v>
      </c>
    </row>
    <row r="635">
      <c r="A635" s="38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/>
      <c r="G635" s="17"/>
      <c r="H635" s="17"/>
      <c r="I635" s="17"/>
      <c r="J635" s="17" t="b">
        <v>0</v>
      </c>
    </row>
    <row r="636">
      <c r="A636" s="38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/>
      <c r="G636" s="17"/>
      <c r="H636" s="17"/>
      <c r="I636" s="17"/>
      <c r="J636" s="17" t="b">
        <v>0</v>
      </c>
    </row>
    <row r="637">
      <c r="A637" s="38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/>
      <c r="G637" s="17"/>
      <c r="H637" s="17"/>
      <c r="I637" s="17"/>
      <c r="J637" s="17" t="b">
        <v>0</v>
      </c>
    </row>
    <row r="638">
      <c r="A638" s="38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/>
      <c r="G638" s="17"/>
      <c r="H638" s="17"/>
      <c r="I638" s="17"/>
      <c r="J638" s="17" t="b">
        <v>0</v>
      </c>
    </row>
    <row r="639">
      <c r="A639" s="38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/>
      <c r="G639" s="17"/>
      <c r="H639" s="17"/>
      <c r="I639" s="17"/>
      <c r="J639" s="17" t="b">
        <v>0</v>
      </c>
    </row>
    <row r="640">
      <c r="A640" s="38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/>
      <c r="G640" s="17"/>
      <c r="H640" s="17"/>
      <c r="I640" s="17"/>
      <c r="J640" s="17" t="b">
        <v>0</v>
      </c>
    </row>
    <row r="641">
      <c r="A641" s="38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/>
      <c r="G641" s="17"/>
      <c r="H641" s="17"/>
      <c r="I641" s="17"/>
      <c r="J641" s="17" t="b">
        <v>0</v>
      </c>
    </row>
    <row r="642">
      <c r="A642" s="38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/>
      <c r="G642" s="17"/>
      <c r="H642" s="17"/>
      <c r="I642" s="17"/>
      <c r="J642" s="17" t="b">
        <v>0</v>
      </c>
    </row>
    <row r="643">
      <c r="A643" s="38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/>
      <c r="G643" s="17"/>
      <c r="H643" s="17"/>
      <c r="I643" s="17"/>
      <c r="J643" s="17" t="b">
        <v>0</v>
      </c>
    </row>
    <row r="644">
      <c r="A644" s="38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/>
      <c r="G644" s="17"/>
      <c r="H644" s="17"/>
      <c r="I644" s="17"/>
      <c r="J644" s="17" t="b">
        <v>0</v>
      </c>
    </row>
    <row r="645">
      <c r="A645" s="38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/>
      <c r="G645" s="17"/>
      <c r="H645" s="17"/>
      <c r="I645" s="17"/>
      <c r="J645" s="17" t="b">
        <v>0</v>
      </c>
    </row>
    <row r="646">
      <c r="A646" s="38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/>
      <c r="G646" s="17"/>
      <c r="H646" s="17"/>
      <c r="I646" s="17"/>
      <c r="J646" s="17" t="b">
        <v>0</v>
      </c>
    </row>
    <row r="647">
      <c r="A647" s="38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/>
      <c r="G647" s="17"/>
      <c r="H647" s="17"/>
      <c r="I647" s="17"/>
      <c r="J647" s="17" t="b">
        <v>0</v>
      </c>
    </row>
    <row r="648">
      <c r="A648" s="38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/>
      <c r="G648" s="17"/>
      <c r="H648" s="17"/>
      <c r="I648" s="17"/>
      <c r="J648" s="17" t="b">
        <v>0</v>
      </c>
    </row>
    <row r="649">
      <c r="A649" s="38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/>
      <c r="G649" s="17"/>
      <c r="H649" s="17"/>
      <c r="I649" s="17"/>
      <c r="J649" s="17" t="b">
        <v>0</v>
      </c>
    </row>
    <row r="650">
      <c r="A650" s="38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/>
      <c r="G650" s="17"/>
      <c r="H650" s="17"/>
      <c r="I650" s="17"/>
      <c r="J650" s="17" t="b">
        <v>0</v>
      </c>
    </row>
    <row r="651">
      <c r="A651" s="38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/>
      <c r="G651" s="17"/>
      <c r="H651" s="17"/>
      <c r="I651" s="17"/>
      <c r="J651" s="17" t="b">
        <v>0</v>
      </c>
    </row>
    <row r="652">
      <c r="A652" s="38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/>
      <c r="G652" s="17"/>
      <c r="H652" s="17"/>
      <c r="I652" s="17"/>
      <c r="J652" s="17" t="b">
        <v>0</v>
      </c>
    </row>
    <row r="653">
      <c r="A653" s="38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/>
      <c r="G653" s="17"/>
      <c r="H653" s="17"/>
      <c r="I653" s="17"/>
      <c r="J653" s="17" t="b">
        <v>0</v>
      </c>
    </row>
    <row r="654">
      <c r="A654" s="38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/>
      <c r="G654" s="17"/>
      <c r="H654" s="17"/>
      <c r="I654" s="17"/>
      <c r="J654" s="17" t="b">
        <v>0</v>
      </c>
    </row>
    <row r="655">
      <c r="A655" s="38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/>
      <c r="G655" s="17"/>
      <c r="H655" s="17"/>
      <c r="I655" s="17"/>
      <c r="J655" s="17" t="b">
        <v>0</v>
      </c>
    </row>
    <row r="656">
      <c r="A656" s="38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/>
      <c r="G656" s="17"/>
      <c r="H656" s="17"/>
      <c r="I656" s="17"/>
      <c r="J656" s="17" t="b">
        <v>0</v>
      </c>
    </row>
    <row r="657">
      <c r="A657" s="38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/>
      <c r="G657" s="17"/>
      <c r="H657" s="17"/>
      <c r="I657" s="17"/>
      <c r="J657" s="17" t="b">
        <v>0</v>
      </c>
    </row>
    <row r="658">
      <c r="A658" s="38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/>
      <c r="G658" s="17"/>
      <c r="H658" s="17"/>
      <c r="I658" s="17"/>
      <c r="J658" s="17" t="b">
        <v>0</v>
      </c>
    </row>
    <row r="659">
      <c r="A659" s="38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/>
      <c r="G659" s="17"/>
      <c r="H659" s="17"/>
      <c r="I659" s="17"/>
      <c r="J659" s="17" t="b">
        <v>0</v>
      </c>
    </row>
    <row r="660">
      <c r="A660" s="38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/>
      <c r="G660" s="17"/>
      <c r="H660" s="17"/>
      <c r="I660" s="17"/>
      <c r="J660" s="17" t="b">
        <v>0</v>
      </c>
    </row>
    <row r="661">
      <c r="A661" s="38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/>
      <c r="G661" s="17"/>
      <c r="H661" s="17"/>
      <c r="I661" s="17"/>
      <c r="J661" s="17" t="b">
        <v>0</v>
      </c>
    </row>
    <row r="662">
      <c r="A662" s="38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/>
      <c r="G662" s="17"/>
      <c r="H662" s="17"/>
      <c r="I662" s="17"/>
      <c r="J662" s="17" t="b">
        <v>0</v>
      </c>
    </row>
    <row r="663">
      <c r="A663" s="38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/>
      <c r="G663" s="17"/>
      <c r="H663" s="17"/>
      <c r="I663" s="17"/>
      <c r="J663" s="17" t="b">
        <v>0</v>
      </c>
    </row>
    <row r="664">
      <c r="A664" s="38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/>
      <c r="G664" s="17"/>
      <c r="H664" s="17"/>
      <c r="I664" s="17"/>
      <c r="J664" s="17" t="b">
        <v>0</v>
      </c>
    </row>
    <row r="665">
      <c r="A665" s="38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/>
      <c r="G665" s="17"/>
      <c r="H665" s="17"/>
      <c r="I665" s="17"/>
      <c r="J665" s="17" t="b">
        <v>0</v>
      </c>
    </row>
    <row r="666">
      <c r="A666" s="38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/>
      <c r="G666" s="17"/>
      <c r="H666" s="17"/>
      <c r="I666" s="17"/>
      <c r="J666" s="17" t="b">
        <v>0</v>
      </c>
    </row>
    <row r="667">
      <c r="A667" s="38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/>
      <c r="G667" s="17"/>
      <c r="H667" s="17"/>
      <c r="I667" s="17"/>
      <c r="J667" s="17" t="b">
        <v>0</v>
      </c>
    </row>
    <row r="668">
      <c r="A668" s="38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/>
      <c r="G668" s="17"/>
      <c r="H668" s="17"/>
      <c r="I668" s="17"/>
      <c r="J668" s="17" t="b">
        <v>0</v>
      </c>
    </row>
    <row r="669">
      <c r="A669" s="38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/>
      <c r="G669" s="17"/>
      <c r="H669" s="17"/>
      <c r="I669" s="17"/>
      <c r="J669" s="17" t="b">
        <v>0</v>
      </c>
    </row>
    <row r="670">
      <c r="A670" s="38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/>
      <c r="G670" s="17"/>
      <c r="H670" s="17"/>
      <c r="I670" s="17"/>
      <c r="J670" s="17" t="b">
        <v>0</v>
      </c>
    </row>
    <row r="671">
      <c r="A671" s="38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/>
      <c r="G671" s="17"/>
      <c r="H671" s="17"/>
      <c r="I671" s="17"/>
      <c r="J671" s="17" t="b">
        <v>0</v>
      </c>
    </row>
    <row r="672">
      <c r="A672" s="38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/>
      <c r="G672" s="17"/>
      <c r="H672" s="17"/>
      <c r="I672" s="17"/>
      <c r="J672" s="17" t="b">
        <v>0</v>
      </c>
    </row>
    <row r="673">
      <c r="A673" s="38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/>
      <c r="G673" s="17"/>
      <c r="H673" s="17"/>
      <c r="I673" s="17"/>
      <c r="J673" s="17" t="b">
        <v>0</v>
      </c>
    </row>
    <row r="674">
      <c r="A674" s="38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/>
      <c r="G674" s="17"/>
      <c r="H674" s="17"/>
      <c r="I674" s="17"/>
      <c r="J674" s="17" t="b">
        <v>0</v>
      </c>
    </row>
    <row r="675">
      <c r="A675" s="38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/>
      <c r="G675" s="17"/>
      <c r="H675" s="17"/>
      <c r="I675" s="17"/>
      <c r="J675" s="17" t="b">
        <v>0</v>
      </c>
    </row>
    <row r="676">
      <c r="A676" s="38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/>
      <c r="G676" s="17"/>
      <c r="H676" s="17"/>
      <c r="I676" s="17"/>
      <c r="J676" s="17" t="b">
        <v>0</v>
      </c>
    </row>
    <row r="677">
      <c r="A677" s="38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/>
      <c r="G677" s="17"/>
      <c r="H677" s="17"/>
      <c r="I677" s="17"/>
      <c r="J677" s="17" t="b">
        <v>0</v>
      </c>
    </row>
    <row r="678">
      <c r="A678" s="38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/>
      <c r="G678" s="17"/>
      <c r="H678" s="17"/>
      <c r="I678" s="17"/>
      <c r="J678" s="17" t="b">
        <v>0</v>
      </c>
    </row>
    <row r="679">
      <c r="A679" s="38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/>
      <c r="G679" s="17"/>
      <c r="H679" s="17"/>
      <c r="I679" s="17"/>
      <c r="J679" s="17" t="b">
        <v>0</v>
      </c>
    </row>
    <row r="680">
      <c r="A680" s="38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/>
      <c r="G680" s="17"/>
      <c r="H680" s="17"/>
      <c r="I680" s="17"/>
      <c r="J680" s="17" t="b">
        <v>0</v>
      </c>
    </row>
    <row r="681">
      <c r="A681" s="38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/>
      <c r="G681" s="17"/>
      <c r="H681" s="17"/>
      <c r="I681" s="17"/>
      <c r="J681" s="17" t="b">
        <v>0</v>
      </c>
    </row>
    <row r="682">
      <c r="A682" s="38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/>
      <c r="G682" s="17"/>
      <c r="H682" s="17"/>
      <c r="I682" s="17"/>
      <c r="J682" s="17" t="b">
        <v>0</v>
      </c>
    </row>
    <row r="683">
      <c r="A683" s="38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/>
      <c r="G683" s="17"/>
      <c r="H683" s="17"/>
      <c r="I683" s="17"/>
      <c r="J683" s="17" t="b">
        <v>0</v>
      </c>
    </row>
    <row r="684">
      <c r="A684" s="38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/>
      <c r="G684" s="17"/>
      <c r="H684" s="17"/>
      <c r="I684" s="17"/>
      <c r="J684" s="17" t="b">
        <v>0</v>
      </c>
    </row>
    <row r="685">
      <c r="A685" s="38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/>
      <c r="G685" s="17"/>
      <c r="H685" s="17"/>
      <c r="I685" s="17"/>
      <c r="J685" s="17" t="b">
        <v>0</v>
      </c>
    </row>
    <row r="686">
      <c r="A686" s="38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/>
      <c r="G686" s="17"/>
      <c r="H686" s="17"/>
      <c r="I686" s="17"/>
      <c r="J686" s="17" t="b">
        <v>0</v>
      </c>
    </row>
    <row r="687">
      <c r="A687" s="38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/>
      <c r="G687" s="17"/>
      <c r="H687" s="17"/>
      <c r="I687" s="17"/>
      <c r="J687" s="17" t="b">
        <v>0</v>
      </c>
    </row>
    <row r="688">
      <c r="A688" s="38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/>
      <c r="G688" s="17"/>
      <c r="H688" s="17"/>
      <c r="I688" s="17"/>
      <c r="J688" s="17" t="b">
        <v>0</v>
      </c>
    </row>
    <row r="689">
      <c r="A689" s="38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/>
      <c r="G689" s="17"/>
      <c r="H689" s="17"/>
      <c r="I689" s="17"/>
      <c r="J689" s="17" t="b">
        <v>0</v>
      </c>
    </row>
    <row r="690">
      <c r="A690" s="38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/>
      <c r="G690" s="17"/>
      <c r="H690" s="17"/>
      <c r="I690" s="17"/>
      <c r="J690" s="17" t="b">
        <v>0</v>
      </c>
    </row>
    <row r="691">
      <c r="A691" s="38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/>
      <c r="G691" s="17"/>
      <c r="H691" s="17"/>
      <c r="I691" s="17"/>
      <c r="J691" s="17" t="b">
        <v>0</v>
      </c>
    </row>
    <row r="692">
      <c r="A692" s="38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/>
      <c r="G692" s="17"/>
      <c r="H692" s="17"/>
      <c r="I692" s="17"/>
      <c r="J692" s="17" t="b">
        <v>0</v>
      </c>
    </row>
    <row r="693">
      <c r="A693" s="38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/>
      <c r="G693" s="17"/>
      <c r="H693" s="17"/>
      <c r="I693" s="17"/>
      <c r="J693" s="17" t="b">
        <v>0</v>
      </c>
    </row>
    <row r="694">
      <c r="A694" s="38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/>
      <c r="G694" s="17"/>
      <c r="H694" s="17"/>
      <c r="I694" s="17"/>
      <c r="J694" s="17" t="b">
        <v>0</v>
      </c>
    </row>
    <row r="695">
      <c r="A695" s="38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/>
      <c r="G695" s="17"/>
      <c r="H695" s="17"/>
      <c r="I695" s="17"/>
      <c r="J695" s="17" t="b">
        <v>0</v>
      </c>
    </row>
    <row r="696">
      <c r="A696" s="38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/>
      <c r="G696" s="17"/>
      <c r="H696" s="17"/>
      <c r="I696" s="17"/>
      <c r="J696" s="17" t="b">
        <v>0</v>
      </c>
    </row>
    <row r="697">
      <c r="A697" s="38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/>
      <c r="G697" s="17"/>
      <c r="H697" s="17"/>
      <c r="I697" s="17"/>
      <c r="J697" s="17" t="b">
        <v>0</v>
      </c>
    </row>
    <row r="698">
      <c r="A698" s="38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/>
      <c r="G698" s="17"/>
      <c r="H698" s="17"/>
      <c r="I698" s="17"/>
      <c r="J698" s="17" t="b">
        <v>0</v>
      </c>
    </row>
    <row r="699">
      <c r="A699" s="38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/>
      <c r="G699" s="17"/>
      <c r="H699" s="17"/>
      <c r="I699" s="17"/>
      <c r="J699" s="17" t="b">
        <v>0</v>
      </c>
    </row>
    <row r="700">
      <c r="A700" s="38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/>
      <c r="G700" s="17"/>
      <c r="H700" s="17"/>
      <c r="I700" s="17"/>
      <c r="J700" s="17" t="b">
        <v>0</v>
      </c>
    </row>
    <row r="701">
      <c r="A701" s="38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/>
      <c r="G701" s="17"/>
      <c r="H701" s="17"/>
      <c r="I701" s="17"/>
      <c r="J701" s="17" t="b">
        <v>0</v>
      </c>
    </row>
    <row r="702">
      <c r="A702" s="38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/>
      <c r="G702" s="17"/>
      <c r="H702" s="17"/>
      <c r="I702" s="17"/>
      <c r="J702" s="17" t="b">
        <v>0</v>
      </c>
    </row>
    <row r="703">
      <c r="A703" s="38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/>
      <c r="G703" s="17"/>
      <c r="H703" s="17"/>
      <c r="I703" s="17"/>
      <c r="J703" s="17" t="b">
        <v>0</v>
      </c>
    </row>
    <row r="704">
      <c r="A704" s="38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/>
      <c r="G704" s="17"/>
      <c r="H704" s="17"/>
      <c r="I704" s="17"/>
      <c r="J704" s="17" t="b">
        <v>0</v>
      </c>
    </row>
    <row r="705">
      <c r="A705" s="38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/>
      <c r="G705" s="17"/>
      <c r="H705" s="17"/>
      <c r="I705" s="17"/>
      <c r="J705" s="17" t="b">
        <v>0</v>
      </c>
    </row>
    <row r="706">
      <c r="A706" s="38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/>
      <c r="G706" s="17"/>
      <c r="H706" s="17"/>
      <c r="I706" s="17"/>
      <c r="J706" s="17" t="b">
        <v>0</v>
      </c>
    </row>
    <row r="707">
      <c r="A707" s="38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/>
      <c r="G707" s="17"/>
      <c r="H707" s="17"/>
      <c r="I707" s="17"/>
      <c r="J707" s="17" t="b">
        <v>0</v>
      </c>
    </row>
    <row r="708">
      <c r="A708" s="38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/>
      <c r="G708" s="17"/>
      <c r="H708" s="17"/>
      <c r="I708" s="17"/>
      <c r="J708" s="17" t="b">
        <v>0</v>
      </c>
    </row>
    <row r="709">
      <c r="A709" s="38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/>
      <c r="G709" s="17"/>
      <c r="H709" s="17"/>
      <c r="I709" s="17"/>
      <c r="J709" s="17" t="b">
        <v>0</v>
      </c>
    </row>
    <row r="710">
      <c r="A710" s="38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/>
      <c r="G710" s="17"/>
      <c r="H710" s="17"/>
      <c r="I710" s="17"/>
      <c r="J710" s="17" t="b">
        <v>0</v>
      </c>
    </row>
    <row r="711">
      <c r="A711" s="38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/>
      <c r="G711" s="17"/>
      <c r="H711" s="17"/>
      <c r="I711" s="17"/>
      <c r="J711" s="17" t="b">
        <v>0</v>
      </c>
    </row>
    <row r="712">
      <c r="A712" s="38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/>
      <c r="G712" s="17"/>
      <c r="H712" s="17"/>
      <c r="I712" s="17"/>
      <c r="J712" s="17" t="b">
        <v>0</v>
      </c>
    </row>
    <row r="713">
      <c r="A713" s="38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/>
      <c r="G713" s="17"/>
      <c r="H713" s="17"/>
      <c r="I713" s="17"/>
      <c r="J713" s="17" t="b">
        <v>0</v>
      </c>
    </row>
    <row r="714">
      <c r="A714" s="38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/>
      <c r="G714" s="17"/>
      <c r="H714" s="17"/>
      <c r="I714" s="17"/>
      <c r="J714" s="17" t="b">
        <v>0</v>
      </c>
    </row>
    <row r="715">
      <c r="A715" s="38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/>
      <c r="G715" s="17"/>
      <c r="H715" s="17"/>
      <c r="I715" s="17"/>
      <c r="J715" s="17" t="b">
        <v>0</v>
      </c>
    </row>
    <row r="716">
      <c r="A716" s="38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/>
      <c r="G716" s="17"/>
      <c r="H716" s="17"/>
      <c r="I716" s="17"/>
      <c r="J716" s="17" t="b">
        <v>0</v>
      </c>
    </row>
    <row r="717">
      <c r="A717" s="38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/>
      <c r="G717" s="17"/>
      <c r="H717" s="17"/>
      <c r="I717" s="17"/>
      <c r="J717" s="17" t="b">
        <v>0</v>
      </c>
    </row>
    <row r="718">
      <c r="A718" s="38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/>
      <c r="G718" s="17"/>
      <c r="H718" s="17"/>
      <c r="I718" s="17"/>
      <c r="J718" s="17" t="b">
        <v>0</v>
      </c>
    </row>
    <row r="719">
      <c r="A719" s="38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/>
      <c r="G719" s="17"/>
      <c r="H719" s="17"/>
      <c r="I719" s="17"/>
      <c r="J719" s="17" t="b">
        <v>0</v>
      </c>
    </row>
    <row r="720">
      <c r="A720" s="38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/>
      <c r="G720" s="17"/>
      <c r="H720" s="17"/>
      <c r="I720" s="17"/>
      <c r="J720" s="17" t="b">
        <v>0</v>
      </c>
    </row>
    <row r="721">
      <c r="A721" s="38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/>
      <c r="G721" s="17"/>
      <c r="H721" s="17"/>
      <c r="I721" s="17"/>
      <c r="J721" s="17" t="b">
        <v>0</v>
      </c>
    </row>
    <row r="722">
      <c r="A722" s="38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/>
      <c r="G722" s="17"/>
      <c r="H722" s="17"/>
      <c r="I722" s="17"/>
      <c r="J722" s="17" t="b">
        <v>0</v>
      </c>
    </row>
    <row r="723">
      <c r="A723" s="38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/>
      <c r="G723" s="17"/>
      <c r="H723" s="17"/>
      <c r="I723" s="17"/>
      <c r="J723" s="17" t="b">
        <v>0</v>
      </c>
    </row>
    <row r="724">
      <c r="A724" s="38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/>
      <c r="G724" s="17"/>
      <c r="H724" s="17"/>
      <c r="I724" s="17"/>
      <c r="J724" s="17" t="b">
        <v>0</v>
      </c>
    </row>
    <row r="725">
      <c r="A725" s="38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/>
      <c r="G725" s="17"/>
      <c r="H725" s="17"/>
      <c r="I725" s="17"/>
      <c r="J725" s="17" t="b">
        <v>0</v>
      </c>
    </row>
    <row r="726">
      <c r="A726" s="38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/>
      <c r="G726" s="17"/>
      <c r="H726" s="17"/>
      <c r="I726" s="17"/>
      <c r="J726" s="17" t="b">
        <v>0</v>
      </c>
    </row>
    <row r="727">
      <c r="A727" s="38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/>
      <c r="G727" s="17"/>
      <c r="H727" s="17"/>
      <c r="I727" s="17"/>
      <c r="J727" s="17" t="b">
        <v>0</v>
      </c>
    </row>
    <row r="728">
      <c r="A728" s="38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/>
      <c r="G728" s="17"/>
      <c r="H728" s="17"/>
      <c r="I728" s="17"/>
      <c r="J728" s="17" t="b">
        <v>0</v>
      </c>
    </row>
    <row r="729">
      <c r="A729" s="38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/>
      <c r="G729" s="17"/>
      <c r="H729" s="17"/>
      <c r="I729" s="17"/>
      <c r="J729" s="17" t="b">
        <v>0</v>
      </c>
    </row>
    <row r="730">
      <c r="A730" s="38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/>
      <c r="G730" s="17"/>
      <c r="H730" s="17"/>
      <c r="I730" s="17"/>
      <c r="J730" s="17" t="b">
        <v>0</v>
      </c>
    </row>
    <row r="731">
      <c r="A731" s="38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/>
      <c r="G731" s="17"/>
      <c r="H731" s="17"/>
      <c r="I731" s="17"/>
      <c r="J731" s="17" t="b">
        <v>0</v>
      </c>
    </row>
    <row r="732">
      <c r="A732" s="38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/>
      <c r="G732" s="17"/>
      <c r="H732" s="17"/>
      <c r="I732" s="17"/>
      <c r="J732" s="17" t="b">
        <v>0</v>
      </c>
    </row>
    <row r="733">
      <c r="A733" s="38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/>
      <c r="G733" s="17"/>
      <c r="H733" s="17"/>
      <c r="I733" s="17"/>
      <c r="J733" s="17" t="b">
        <v>0</v>
      </c>
    </row>
    <row r="734">
      <c r="A734" s="38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/>
      <c r="G734" s="17"/>
      <c r="H734" s="17"/>
      <c r="I734" s="17"/>
      <c r="J734" s="17" t="b">
        <v>0</v>
      </c>
    </row>
    <row r="735">
      <c r="A735" s="38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/>
      <c r="G735" s="17"/>
      <c r="H735" s="17"/>
      <c r="I735" s="17"/>
      <c r="J735" s="17" t="b">
        <v>0</v>
      </c>
    </row>
    <row r="736">
      <c r="A736" s="38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/>
      <c r="G736" s="17"/>
      <c r="H736" s="17"/>
      <c r="I736" s="17"/>
      <c r="J736" s="17" t="b">
        <v>0</v>
      </c>
    </row>
    <row r="737">
      <c r="A737" s="38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/>
      <c r="G737" s="17"/>
      <c r="H737" s="17"/>
      <c r="I737" s="17"/>
      <c r="J737" s="17" t="b">
        <v>0</v>
      </c>
    </row>
    <row r="738">
      <c r="A738" s="38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/>
      <c r="G738" s="17"/>
      <c r="H738" s="17"/>
      <c r="I738" s="17"/>
      <c r="J738" s="17" t="b">
        <v>0</v>
      </c>
    </row>
    <row r="739">
      <c r="A739" s="38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/>
      <c r="G739" s="17"/>
      <c r="H739" s="17"/>
      <c r="I739" s="17"/>
      <c r="J739" s="17" t="b">
        <v>0</v>
      </c>
    </row>
    <row r="740">
      <c r="A740" s="38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/>
      <c r="G740" s="17"/>
      <c r="H740" s="17"/>
      <c r="I740" s="17"/>
      <c r="J740" s="17" t="b">
        <v>0</v>
      </c>
    </row>
    <row r="741">
      <c r="A741" s="38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/>
      <c r="G741" s="17"/>
      <c r="H741" s="17"/>
      <c r="I741" s="17"/>
      <c r="J741" s="17" t="b">
        <v>0</v>
      </c>
    </row>
    <row r="742">
      <c r="A742" s="38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/>
      <c r="G742" s="17"/>
      <c r="H742" s="17"/>
      <c r="I742" s="17"/>
      <c r="J742" s="17" t="b">
        <v>0</v>
      </c>
    </row>
    <row r="743">
      <c r="A743" s="38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/>
      <c r="G743" s="17"/>
      <c r="H743" s="17"/>
      <c r="I743" s="17"/>
      <c r="J743" s="17" t="b">
        <v>0</v>
      </c>
    </row>
    <row r="744">
      <c r="A744" s="38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/>
      <c r="G744" s="17"/>
      <c r="H744" s="17"/>
      <c r="I744" s="17"/>
      <c r="J744" s="17" t="b">
        <v>0</v>
      </c>
    </row>
    <row r="745">
      <c r="A745" s="38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/>
      <c r="G745" s="17"/>
      <c r="H745" s="17"/>
      <c r="I745" s="17"/>
      <c r="J745" s="17" t="b">
        <v>0</v>
      </c>
    </row>
    <row r="746">
      <c r="A746" s="38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/>
      <c r="G746" s="17"/>
      <c r="H746" s="17"/>
      <c r="I746" s="17"/>
      <c r="J746" s="17" t="b">
        <v>0</v>
      </c>
    </row>
    <row r="747">
      <c r="A747" s="38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/>
      <c r="G747" s="17"/>
      <c r="H747" s="17"/>
      <c r="I747" s="17"/>
      <c r="J747" s="17" t="b">
        <v>0</v>
      </c>
    </row>
    <row r="748">
      <c r="A748" s="38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/>
      <c r="G748" s="17"/>
      <c r="H748" s="17"/>
      <c r="I748" s="17"/>
      <c r="J748" s="17" t="b">
        <v>0</v>
      </c>
    </row>
    <row r="749">
      <c r="A749" s="38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/>
      <c r="G749" s="17"/>
      <c r="H749" s="17"/>
      <c r="I749" s="17"/>
      <c r="J749" s="17" t="b">
        <v>0</v>
      </c>
    </row>
    <row r="750">
      <c r="A750" s="38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/>
      <c r="G750" s="17"/>
      <c r="H750" s="17"/>
      <c r="I750" s="17"/>
      <c r="J750" s="17" t="b">
        <v>0</v>
      </c>
    </row>
    <row r="751">
      <c r="A751" s="38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/>
      <c r="G751" s="17"/>
      <c r="H751" s="17"/>
      <c r="I751" s="17"/>
      <c r="J751" s="17" t="b">
        <v>0</v>
      </c>
    </row>
    <row r="752">
      <c r="A752" s="38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/>
      <c r="G752" s="17"/>
      <c r="H752" s="17"/>
      <c r="I752" s="17"/>
      <c r="J752" s="17" t="b">
        <v>0</v>
      </c>
    </row>
    <row r="753">
      <c r="A753" s="38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/>
      <c r="G753" s="17"/>
      <c r="H753" s="17"/>
      <c r="I753" s="17"/>
      <c r="J753" s="17" t="b">
        <v>0</v>
      </c>
    </row>
    <row r="754">
      <c r="A754" s="38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/>
      <c r="G754" s="17"/>
      <c r="H754" s="17"/>
      <c r="I754" s="17"/>
      <c r="J754" s="17" t="b">
        <v>0</v>
      </c>
    </row>
    <row r="755">
      <c r="A755" s="38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/>
      <c r="G755" s="17"/>
      <c r="H755" s="17"/>
      <c r="I755" s="17"/>
      <c r="J755" s="17" t="b">
        <v>0</v>
      </c>
    </row>
    <row r="756">
      <c r="A756" s="38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/>
      <c r="G756" s="17"/>
      <c r="H756" s="17"/>
      <c r="I756" s="17"/>
      <c r="J756" s="17" t="b">
        <v>0</v>
      </c>
    </row>
    <row r="757">
      <c r="A757" s="38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/>
      <c r="G757" s="17"/>
      <c r="H757" s="17"/>
      <c r="I757" s="17"/>
      <c r="J757" s="17" t="b">
        <v>0</v>
      </c>
    </row>
    <row r="758">
      <c r="A758" s="38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/>
      <c r="G758" s="17"/>
      <c r="H758" s="17"/>
      <c r="I758" s="17"/>
      <c r="J758" s="17" t="b">
        <v>0</v>
      </c>
    </row>
    <row r="759">
      <c r="A759" s="38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/>
      <c r="G759" s="17"/>
      <c r="H759" s="17"/>
      <c r="I759" s="17"/>
      <c r="J759" s="17" t="b">
        <v>0</v>
      </c>
    </row>
    <row r="760">
      <c r="A760" s="38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/>
      <c r="G760" s="17"/>
      <c r="H760" s="17"/>
      <c r="I760" s="17"/>
      <c r="J760" s="17" t="b">
        <v>0</v>
      </c>
    </row>
    <row r="761">
      <c r="A761" s="38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/>
      <c r="G761" s="17"/>
      <c r="H761" s="17"/>
      <c r="I761" s="17"/>
      <c r="J761" s="17" t="b">
        <v>0</v>
      </c>
    </row>
    <row r="762">
      <c r="A762" s="38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/>
      <c r="G762" s="17"/>
      <c r="H762" s="17"/>
      <c r="I762" s="17"/>
      <c r="J762" s="17" t="b">
        <v>0</v>
      </c>
    </row>
    <row r="763">
      <c r="A763" s="38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/>
      <c r="G763" s="17"/>
      <c r="H763" s="17"/>
      <c r="I763" s="17"/>
      <c r="J763" s="17" t="b">
        <v>0</v>
      </c>
    </row>
    <row r="764">
      <c r="A764" s="38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/>
      <c r="G764" s="17"/>
      <c r="H764" s="17"/>
      <c r="I764" s="17"/>
      <c r="J764" s="17" t="b">
        <v>0</v>
      </c>
    </row>
    <row r="765">
      <c r="A765" s="38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/>
      <c r="G765" s="17"/>
      <c r="H765" s="17"/>
      <c r="I765" s="17"/>
      <c r="J765" s="17" t="b">
        <v>0</v>
      </c>
    </row>
    <row r="766">
      <c r="A766" s="38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/>
      <c r="G766" s="17"/>
      <c r="H766" s="17"/>
      <c r="I766" s="17"/>
      <c r="J766" s="17" t="b">
        <v>0</v>
      </c>
    </row>
    <row r="767">
      <c r="A767" s="38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/>
      <c r="G767" s="17"/>
      <c r="H767" s="17"/>
      <c r="I767" s="17"/>
      <c r="J767" s="17" t="b">
        <v>0</v>
      </c>
    </row>
    <row r="768">
      <c r="A768" s="38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/>
      <c r="G768" s="17"/>
      <c r="H768" s="17"/>
      <c r="I768" s="17"/>
      <c r="J768" s="17" t="b">
        <v>0</v>
      </c>
    </row>
    <row r="769">
      <c r="A769" s="38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/>
      <c r="G769" s="17"/>
      <c r="H769" s="17"/>
      <c r="I769" s="17"/>
      <c r="J769" s="17" t="b">
        <v>0</v>
      </c>
    </row>
    <row r="770">
      <c r="A770" s="38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/>
      <c r="G770" s="17"/>
      <c r="H770" s="17"/>
      <c r="I770" s="17"/>
      <c r="J770" s="17" t="b">
        <v>0</v>
      </c>
    </row>
    <row r="771">
      <c r="A771" s="38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/>
      <c r="G771" s="17"/>
      <c r="H771" s="17"/>
      <c r="I771" s="17"/>
      <c r="J771" s="17" t="b">
        <v>0</v>
      </c>
    </row>
    <row r="772">
      <c r="A772" s="38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/>
      <c r="G772" s="17"/>
      <c r="H772" s="17"/>
      <c r="I772" s="17"/>
      <c r="J772" s="17" t="b">
        <v>0</v>
      </c>
    </row>
    <row r="773">
      <c r="A773" s="38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/>
      <c r="G773" s="17"/>
      <c r="H773" s="17"/>
      <c r="I773" s="17"/>
      <c r="J773" s="17" t="b">
        <v>0</v>
      </c>
    </row>
    <row r="774">
      <c r="A774" s="38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/>
      <c r="G774" s="17"/>
      <c r="H774" s="17"/>
      <c r="I774" s="17"/>
      <c r="J774" s="17" t="b">
        <v>0</v>
      </c>
    </row>
    <row r="775">
      <c r="A775" s="38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/>
      <c r="G775" s="17"/>
      <c r="H775" s="17"/>
      <c r="I775" s="17"/>
      <c r="J775" s="17" t="b">
        <v>0</v>
      </c>
    </row>
    <row r="776">
      <c r="A776" s="38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/>
      <c r="G776" s="17"/>
      <c r="H776" s="17"/>
      <c r="I776" s="17"/>
      <c r="J776" s="17" t="b">
        <v>0</v>
      </c>
    </row>
    <row r="777">
      <c r="A777" s="38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/>
      <c r="G777" s="17"/>
      <c r="H777" s="17"/>
      <c r="I777" s="17"/>
      <c r="J777" s="17" t="b">
        <v>0</v>
      </c>
    </row>
    <row r="778">
      <c r="A778" s="38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/>
      <c r="G778" s="17"/>
      <c r="H778" s="17"/>
      <c r="I778" s="17"/>
      <c r="J778" s="17" t="b">
        <v>0</v>
      </c>
    </row>
    <row r="779">
      <c r="A779" s="38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/>
      <c r="G779" s="17"/>
      <c r="H779" s="17"/>
      <c r="I779" s="17"/>
      <c r="J779" s="17" t="b">
        <v>0</v>
      </c>
    </row>
    <row r="780">
      <c r="A780" s="38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/>
      <c r="G780" s="17"/>
      <c r="H780" s="17"/>
      <c r="I780" s="17"/>
      <c r="J780" s="17" t="b">
        <v>0</v>
      </c>
    </row>
    <row r="781">
      <c r="A781" s="38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/>
      <c r="G781" s="17"/>
      <c r="H781" s="17"/>
      <c r="I781" s="17"/>
      <c r="J781" s="17" t="b">
        <v>0</v>
      </c>
    </row>
    <row r="782">
      <c r="A782" s="38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/>
      <c r="G782" s="17"/>
      <c r="H782" s="17"/>
      <c r="I782" s="17"/>
      <c r="J782" s="17" t="b">
        <v>0</v>
      </c>
    </row>
    <row r="783">
      <c r="A783" s="38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/>
      <c r="G783" s="17"/>
      <c r="H783" s="17"/>
      <c r="I783" s="17"/>
      <c r="J783" s="17" t="b">
        <v>0</v>
      </c>
    </row>
    <row r="784">
      <c r="A784" s="38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/>
      <c r="G784" s="17"/>
      <c r="H784" s="17"/>
      <c r="I784" s="17"/>
      <c r="J784" s="17" t="b">
        <v>0</v>
      </c>
    </row>
    <row r="785">
      <c r="A785" s="38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/>
      <c r="G785" s="17"/>
      <c r="H785" s="17"/>
      <c r="I785" s="17"/>
      <c r="J785" s="17" t="b">
        <v>0</v>
      </c>
    </row>
    <row r="786">
      <c r="A786" s="38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/>
      <c r="G786" s="17"/>
      <c r="H786" s="17"/>
      <c r="I786" s="17"/>
      <c r="J786" s="17" t="b">
        <v>0</v>
      </c>
    </row>
    <row r="787">
      <c r="A787" s="38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/>
      <c r="G787" s="17"/>
      <c r="H787" s="17"/>
      <c r="I787" s="17"/>
      <c r="J787" s="17" t="b">
        <v>0</v>
      </c>
    </row>
    <row r="788">
      <c r="A788" s="38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/>
      <c r="G788" s="17"/>
      <c r="H788" s="17"/>
      <c r="I788" s="17"/>
      <c r="J788" s="17" t="b">
        <v>0</v>
      </c>
    </row>
    <row r="789">
      <c r="A789" s="38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/>
      <c r="G789" s="17"/>
      <c r="H789" s="17"/>
      <c r="I789" s="17"/>
      <c r="J789" s="17" t="b">
        <v>0</v>
      </c>
    </row>
    <row r="790">
      <c r="A790" s="38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/>
      <c r="G790" s="17"/>
      <c r="H790" s="17"/>
      <c r="I790" s="17"/>
      <c r="J790" s="17" t="b">
        <v>0</v>
      </c>
    </row>
    <row r="791">
      <c r="A791" s="38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/>
      <c r="G791" s="17"/>
      <c r="H791" s="17"/>
      <c r="I791" s="17"/>
      <c r="J791" s="17" t="b">
        <v>0</v>
      </c>
    </row>
    <row r="792">
      <c r="A792" s="38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/>
      <c r="G792" s="17"/>
      <c r="H792" s="17"/>
      <c r="I792" s="17"/>
      <c r="J792" s="17" t="b">
        <v>0</v>
      </c>
    </row>
    <row r="793">
      <c r="A793" s="38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/>
      <c r="G793" s="17"/>
      <c r="H793" s="17"/>
      <c r="I793" s="17"/>
      <c r="J793" s="17" t="b">
        <v>0</v>
      </c>
    </row>
    <row r="794">
      <c r="A794" s="38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/>
      <c r="G794" s="17"/>
      <c r="H794" s="17"/>
      <c r="I794" s="17"/>
      <c r="J794" s="17" t="b">
        <v>0</v>
      </c>
    </row>
    <row r="795">
      <c r="A795" s="38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/>
      <c r="G795" s="17"/>
      <c r="H795" s="17"/>
      <c r="I795" s="17"/>
      <c r="J795" s="17" t="b">
        <v>0</v>
      </c>
    </row>
    <row r="796">
      <c r="A796" s="38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/>
      <c r="G796" s="17"/>
      <c r="H796" s="17"/>
      <c r="I796" s="17"/>
      <c r="J796" s="17" t="b">
        <v>0</v>
      </c>
    </row>
    <row r="797">
      <c r="A797" s="38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/>
      <c r="G797" s="17"/>
      <c r="H797" s="17"/>
      <c r="I797" s="17"/>
      <c r="J797" s="17" t="b">
        <v>0</v>
      </c>
    </row>
    <row r="798">
      <c r="A798" s="38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/>
      <c r="G798" s="17"/>
      <c r="H798" s="17"/>
      <c r="I798" s="17"/>
      <c r="J798" s="17" t="b">
        <v>0</v>
      </c>
    </row>
    <row r="799">
      <c r="A799" s="38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/>
      <c r="G799" s="17"/>
      <c r="H799" s="17"/>
      <c r="I799" s="17"/>
      <c r="J799" s="17" t="b">
        <v>0</v>
      </c>
    </row>
    <row r="800">
      <c r="A800" s="38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/>
      <c r="G800" s="17"/>
      <c r="H800" s="17"/>
      <c r="I800" s="17"/>
      <c r="J800" s="17" t="b">
        <v>0</v>
      </c>
    </row>
    <row r="801">
      <c r="A801" s="38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/>
      <c r="G801" s="17"/>
      <c r="H801" s="17"/>
      <c r="I801" s="17"/>
      <c r="J801" s="17" t="b">
        <v>0</v>
      </c>
    </row>
    <row r="802">
      <c r="A802" s="38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/>
      <c r="G802" s="17"/>
      <c r="H802" s="17"/>
      <c r="I802" s="17"/>
      <c r="J802" s="17" t="b">
        <v>0</v>
      </c>
    </row>
    <row r="803">
      <c r="A803" s="38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/>
      <c r="G803" s="17"/>
      <c r="H803" s="17"/>
      <c r="I803" s="17"/>
      <c r="J803" s="17" t="b">
        <v>0</v>
      </c>
    </row>
    <row r="804">
      <c r="A804" s="38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/>
      <c r="G804" s="17"/>
      <c r="H804" s="17"/>
      <c r="I804" s="17"/>
      <c r="J804" s="17" t="b">
        <v>0</v>
      </c>
    </row>
    <row r="805">
      <c r="A805" s="38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/>
      <c r="G805" s="17"/>
      <c r="H805" s="17"/>
      <c r="I805" s="17"/>
      <c r="J805" s="17" t="b">
        <v>0</v>
      </c>
    </row>
    <row r="806">
      <c r="A806" s="38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/>
      <c r="G806" s="17"/>
      <c r="H806" s="17"/>
      <c r="I806" s="17"/>
      <c r="J806" s="17" t="b">
        <v>0</v>
      </c>
    </row>
    <row r="807">
      <c r="A807" s="38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/>
      <c r="G807" s="17"/>
      <c r="H807" s="17"/>
      <c r="I807" s="17"/>
      <c r="J807" s="17" t="b">
        <v>0</v>
      </c>
    </row>
    <row r="808">
      <c r="A808" s="38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/>
      <c r="G808" s="17"/>
      <c r="H808" s="17"/>
      <c r="I808" s="17"/>
      <c r="J808" s="17" t="b">
        <v>0</v>
      </c>
    </row>
    <row r="809">
      <c r="A809" s="38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/>
      <c r="G809" s="17"/>
      <c r="H809" s="17"/>
      <c r="I809" s="17"/>
      <c r="J809" s="17" t="b">
        <v>0</v>
      </c>
    </row>
    <row r="810">
      <c r="A810" s="38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/>
      <c r="G810" s="17"/>
      <c r="H810" s="17"/>
      <c r="I810" s="17"/>
      <c r="J810" s="17" t="b">
        <v>0</v>
      </c>
    </row>
    <row r="811">
      <c r="A811" s="38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/>
      <c r="G811" s="17"/>
      <c r="H811" s="17"/>
      <c r="I811" s="17"/>
      <c r="J811" s="17" t="b">
        <v>0</v>
      </c>
    </row>
    <row r="812">
      <c r="A812" s="38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/>
      <c r="G812" s="17"/>
      <c r="H812" s="17"/>
      <c r="I812" s="17"/>
      <c r="J812" s="17" t="b">
        <v>0</v>
      </c>
    </row>
    <row r="813">
      <c r="A813" s="38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/>
      <c r="G813" s="17"/>
      <c r="H813" s="17"/>
      <c r="I813" s="17"/>
      <c r="J813" s="17" t="b">
        <v>0</v>
      </c>
    </row>
    <row r="814">
      <c r="A814" s="38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/>
      <c r="G814" s="17"/>
      <c r="H814" s="17"/>
      <c r="I814" s="17"/>
      <c r="J814" s="17" t="b">
        <v>0</v>
      </c>
    </row>
    <row r="815">
      <c r="A815" s="38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/>
      <c r="G815" s="17"/>
      <c r="H815" s="17"/>
      <c r="I815" s="17"/>
      <c r="J815" s="17" t="b">
        <v>0</v>
      </c>
    </row>
    <row r="816">
      <c r="A816" s="38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/>
      <c r="G816" s="17"/>
      <c r="H816" s="17"/>
      <c r="I816" s="17"/>
      <c r="J816" s="17" t="b">
        <v>0</v>
      </c>
    </row>
    <row r="817">
      <c r="A817" s="38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/>
      <c r="G817" s="17"/>
      <c r="H817" s="17"/>
      <c r="I817" s="17"/>
      <c r="J817" s="17" t="b">
        <v>0</v>
      </c>
    </row>
    <row r="818">
      <c r="A818" s="38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/>
      <c r="G818" s="17"/>
      <c r="H818" s="17"/>
      <c r="I818" s="17"/>
      <c r="J818" s="17" t="b">
        <v>0</v>
      </c>
    </row>
    <row r="819">
      <c r="A819" s="38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/>
      <c r="G819" s="17"/>
      <c r="H819" s="17"/>
      <c r="I819" s="17"/>
      <c r="J819" s="17" t="b">
        <v>0</v>
      </c>
    </row>
    <row r="820">
      <c r="A820" s="38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/>
      <c r="G820" s="17"/>
      <c r="H820" s="17"/>
      <c r="I820" s="17"/>
      <c r="J820" s="17" t="b">
        <v>0</v>
      </c>
    </row>
    <row r="821">
      <c r="A821" s="38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/>
      <c r="G821" s="17"/>
      <c r="H821" s="17"/>
      <c r="I821" s="17"/>
      <c r="J821" s="17" t="b">
        <v>0</v>
      </c>
    </row>
    <row r="822">
      <c r="A822" s="38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/>
      <c r="G822" s="17"/>
      <c r="H822" s="17"/>
      <c r="I822" s="17"/>
      <c r="J822" s="17" t="b">
        <v>0</v>
      </c>
    </row>
    <row r="823">
      <c r="A823" s="38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/>
      <c r="G823" s="17"/>
      <c r="H823" s="17"/>
      <c r="I823" s="17"/>
      <c r="J823" s="17" t="b">
        <v>0</v>
      </c>
    </row>
    <row r="824">
      <c r="A824" s="38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/>
      <c r="G824" s="17"/>
      <c r="H824" s="17"/>
      <c r="I824" s="17"/>
      <c r="J824" s="17" t="b">
        <v>0</v>
      </c>
    </row>
    <row r="825">
      <c r="A825" s="38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/>
      <c r="G825" s="17"/>
      <c r="H825" s="17"/>
      <c r="I825" s="17"/>
      <c r="J825" s="17" t="b">
        <v>0</v>
      </c>
    </row>
    <row r="826">
      <c r="A826" s="38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/>
      <c r="G826" s="17"/>
      <c r="H826" s="17"/>
      <c r="I826" s="17"/>
      <c r="J826" s="17" t="b">
        <v>0</v>
      </c>
    </row>
    <row r="827">
      <c r="A827" s="38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/>
      <c r="G827" s="17"/>
      <c r="H827" s="17"/>
      <c r="I827" s="17"/>
      <c r="J827" s="17" t="b">
        <v>0</v>
      </c>
    </row>
    <row r="828">
      <c r="A828" s="38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/>
      <c r="G828" s="17"/>
      <c r="H828" s="17"/>
      <c r="I828" s="17"/>
      <c r="J828" s="17" t="b">
        <v>0</v>
      </c>
    </row>
    <row r="829">
      <c r="A829" s="38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/>
      <c r="G829" s="17"/>
      <c r="H829" s="17"/>
      <c r="I829" s="17"/>
      <c r="J829" s="17" t="b">
        <v>0</v>
      </c>
    </row>
    <row r="830">
      <c r="A830" s="38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/>
      <c r="G830" s="17"/>
      <c r="H830" s="17"/>
      <c r="I830" s="17"/>
      <c r="J830" s="17" t="b">
        <v>0</v>
      </c>
    </row>
    <row r="831">
      <c r="A831" s="38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/>
      <c r="G831" s="17"/>
      <c r="H831" s="17"/>
      <c r="I831" s="17"/>
      <c r="J831" s="17" t="b">
        <v>0</v>
      </c>
    </row>
    <row r="832">
      <c r="A832" s="38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/>
      <c r="G832" s="17"/>
      <c r="H832" s="17"/>
      <c r="I832" s="17"/>
      <c r="J832" s="17" t="b">
        <v>0</v>
      </c>
    </row>
    <row r="833">
      <c r="A833" s="38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/>
      <c r="G833" s="17"/>
      <c r="H833" s="17"/>
      <c r="I833" s="17"/>
      <c r="J833" s="17" t="b">
        <v>0</v>
      </c>
    </row>
    <row r="834">
      <c r="A834" s="38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/>
      <c r="G834" s="17"/>
      <c r="H834" s="17"/>
      <c r="I834" s="17"/>
      <c r="J834" s="17" t="b">
        <v>0</v>
      </c>
    </row>
    <row r="835">
      <c r="A835" s="38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/>
      <c r="G835" s="17"/>
      <c r="H835" s="17"/>
      <c r="I835" s="17"/>
      <c r="J835" s="17" t="b">
        <v>0</v>
      </c>
    </row>
    <row r="836">
      <c r="A836" s="38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/>
      <c r="G836" s="17"/>
      <c r="H836" s="17"/>
      <c r="I836" s="17"/>
      <c r="J836" s="17" t="b">
        <v>0</v>
      </c>
    </row>
    <row r="837">
      <c r="A837" s="38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/>
      <c r="G837" s="17"/>
      <c r="H837" s="17"/>
      <c r="I837" s="17"/>
      <c r="J837" s="17" t="b">
        <v>0</v>
      </c>
    </row>
    <row r="838">
      <c r="A838" s="38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/>
      <c r="G838" s="17"/>
      <c r="H838" s="17"/>
      <c r="I838" s="17"/>
      <c r="J838" s="17" t="b">
        <v>0</v>
      </c>
    </row>
    <row r="839">
      <c r="A839" s="38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/>
      <c r="G839" s="17"/>
      <c r="H839" s="17"/>
      <c r="I839" s="17"/>
      <c r="J839" s="17" t="b">
        <v>0</v>
      </c>
    </row>
    <row r="840">
      <c r="A840" s="38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/>
      <c r="G840" s="17"/>
      <c r="H840" s="17"/>
      <c r="I840" s="17"/>
      <c r="J840" s="17" t="b">
        <v>0</v>
      </c>
    </row>
    <row r="841">
      <c r="A841" s="38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/>
      <c r="G841" s="17"/>
      <c r="H841" s="17"/>
      <c r="I841" s="17"/>
      <c r="J841" s="17" t="b">
        <v>0</v>
      </c>
    </row>
    <row r="842">
      <c r="A842" s="38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/>
      <c r="G842" s="17"/>
      <c r="H842" s="17"/>
      <c r="I842" s="17"/>
      <c r="J842" s="17" t="b">
        <v>0</v>
      </c>
    </row>
    <row r="843">
      <c r="A843" s="38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/>
      <c r="G843" s="17"/>
      <c r="H843" s="17"/>
      <c r="I843" s="17"/>
      <c r="J843" s="17" t="b">
        <v>0</v>
      </c>
    </row>
    <row r="844">
      <c r="A844" s="38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/>
      <c r="G844" s="17"/>
      <c r="H844" s="17"/>
      <c r="I844" s="17"/>
      <c r="J844" s="17" t="b">
        <v>0</v>
      </c>
    </row>
    <row r="845">
      <c r="A845" s="38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/>
      <c r="G845" s="17"/>
      <c r="H845" s="17"/>
      <c r="I845" s="17"/>
      <c r="J845" s="17" t="b">
        <v>0</v>
      </c>
    </row>
    <row r="846">
      <c r="A846" s="38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/>
      <c r="G846" s="17"/>
      <c r="H846" s="17"/>
      <c r="I846" s="17"/>
      <c r="J846" s="17" t="b">
        <v>0</v>
      </c>
    </row>
    <row r="847">
      <c r="A847" s="38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/>
      <c r="G847" s="17"/>
      <c r="H847" s="17"/>
      <c r="I847" s="17"/>
      <c r="J847" s="17" t="b">
        <v>0</v>
      </c>
    </row>
    <row r="848">
      <c r="A848" s="38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/>
      <c r="G848" s="17"/>
      <c r="H848" s="17"/>
      <c r="I848" s="17"/>
      <c r="J848" s="17" t="b">
        <v>0</v>
      </c>
    </row>
    <row r="849">
      <c r="A849" s="38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/>
      <c r="G849" s="17"/>
      <c r="H849" s="17"/>
      <c r="I849" s="17"/>
      <c r="J849" s="17" t="b">
        <v>0</v>
      </c>
    </row>
    <row r="850">
      <c r="A850" s="38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/>
      <c r="G850" s="17"/>
      <c r="H850" s="17"/>
      <c r="I850" s="17"/>
      <c r="J850" s="17" t="b">
        <v>0</v>
      </c>
    </row>
    <row r="851">
      <c r="A851" s="38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/>
      <c r="G851" s="17"/>
      <c r="H851" s="17"/>
      <c r="I851" s="17"/>
      <c r="J851" s="17" t="b">
        <v>0</v>
      </c>
    </row>
    <row r="852">
      <c r="A852" s="38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/>
      <c r="G852" s="17"/>
      <c r="H852" s="17"/>
      <c r="I852" s="17"/>
      <c r="J852" s="17" t="b">
        <v>0</v>
      </c>
    </row>
    <row r="853">
      <c r="A853" s="38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/>
      <c r="G853" s="17"/>
      <c r="H853" s="17"/>
      <c r="I853" s="17"/>
      <c r="J853" s="17" t="b">
        <v>0</v>
      </c>
    </row>
    <row r="854">
      <c r="A854" s="38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/>
      <c r="G854" s="17"/>
      <c r="H854" s="17"/>
      <c r="I854" s="17"/>
      <c r="J854" s="17" t="b">
        <v>0</v>
      </c>
    </row>
    <row r="855">
      <c r="A855" s="38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/>
      <c r="G855" s="17"/>
      <c r="H855" s="17"/>
      <c r="I855" s="17"/>
      <c r="J855" s="17" t="b">
        <v>0</v>
      </c>
    </row>
    <row r="856">
      <c r="A856" s="38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/>
      <c r="G856" s="17"/>
      <c r="H856" s="17"/>
      <c r="I856" s="17"/>
      <c r="J856" s="17" t="b">
        <v>0</v>
      </c>
    </row>
    <row r="857">
      <c r="A857" s="38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/>
      <c r="G857" s="17"/>
      <c r="H857" s="17"/>
      <c r="I857" s="17"/>
      <c r="J857" s="17" t="b">
        <v>0</v>
      </c>
    </row>
    <row r="858">
      <c r="A858" s="38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/>
      <c r="G858" s="17"/>
      <c r="H858" s="17"/>
      <c r="I858" s="17"/>
      <c r="J858" s="17" t="b">
        <v>0</v>
      </c>
    </row>
    <row r="859">
      <c r="A859" s="38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/>
      <c r="G859" s="17"/>
      <c r="H859" s="17"/>
      <c r="I859" s="17"/>
      <c r="J859" s="17" t="b">
        <v>0</v>
      </c>
    </row>
    <row r="860">
      <c r="A860" s="38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/>
      <c r="G860" s="17"/>
      <c r="H860" s="17"/>
      <c r="I860" s="17"/>
      <c r="J860" s="17" t="b">
        <v>0</v>
      </c>
    </row>
    <row r="861">
      <c r="A861" s="38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/>
      <c r="G861" s="17"/>
      <c r="H861" s="17"/>
      <c r="I861" s="17"/>
      <c r="J861" s="17" t="b">
        <v>0</v>
      </c>
    </row>
    <row r="862">
      <c r="A862" s="38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/>
      <c r="G862" s="17"/>
      <c r="H862" s="17"/>
      <c r="I862" s="17"/>
      <c r="J862" s="17" t="b">
        <v>0</v>
      </c>
    </row>
    <row r="863">
      <c r="A863" s="38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/>
      <c r="G863" s="17"/>
      <c r="H863" s="17"/>
      <c r="I863" s="17"/>
      <c r="J863" s="17" t="b">
        <v>0</v>
      </c>
    </row>
    <row r="864">
      <c r="A864" s="38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/>
      <c r="G864" s="17"/>
      <c r="H864" s="17"/>
      <c r="I864" s="17"/>
      <c r="J864" s="17" t="b">
        <v>0</v>
      </c>
    </row>
    <row r="865">
      <c r="A865" s="38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/>
      <c r="G865" s="17"/>
      <c r="H865" s="17"/>
      <c r="I865" s="17"/>
      <c r="J865" s="17" t="b">
        <v>0</v>
      </c>
    </row>
    <row r="866">
      <c r="A866" s="38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/>
      <c r="G866" s="17"/>
      <c r="H866" s="17"/>
      <c r="I866" s="17"/>
      <c r="J866" s="17" t="b">
        <v>0</v>
      </c>
    </row>
    <row r="867">
      <c r="A867" s="38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/>
      <c r="G867" s="17"/>
      <c r="H867" s="17"/>
      <c r="I867" s="17"/>
      <c r="J867" s="17" t="b">
        <v>0</v>
      </c>
    </row>
    <row r="868">
      <c r="A868" s="38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/>
      <c r="G868" s="17"/>
      <c r="H868" s="17"/>
      <c r="I868" s="17"/>
      <c r="J868" s="17" t="b">
        <v>0</v>
      </c>
    </row>
    <row r="869">
      <c r="A869" s="38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/>
      <c r="G869" s="17"/>
      <c r="H869" s="17"/>
      <c r="I869" s="17"/>
      <c r="J869" s="17" t="b">
        <v>0</v>
      </c>
    </row>
    <row r="870">
      <c r="A870" s="38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/>
      <c r="G870" s="17"/>
      <c r="H870" s="17"/>
      <c r="I870" s="17"/>
      <c r="J870" s="17" t="b">
        <v>0</v>
      </c>
    </row>
    <row r="871">
      <c r="A871" s="38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/>
      <c r="G871" s="17"/>
      <c r="H871" s="17"/>
      <c r="I871" s="17"/>
      <c r="J871" s="17" t="b">
        <v>0</v>
      </c>
    </row>
    <row r="872">
      <c r="A872" s="38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/>
      <c r="G872" s="17"/>
      <c r="H872" s="17"/>
      <c r="I872" s="17"/>
      <c r="J872" s="17" t="b">
        <v>0</v>
      </c>
    </row>
    <row r="873">
      <c r="A873" s="38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/>
      <c r="G873" s="17"/>
      <c r="H873" s="17"/>
      <c r="I873" s="17"/>
      <c r="J873" s="17" t="b">
        <v>0</v>
      </c>
    </row>
    <row r="874">
      <c r="A874" s="38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/>
      <c r="G874" s="17"/>
      <c r="H874" s="17"/>
      <c r="I874" s="17"/>
      <c r="J874" s="17" t="b">
        <v>0</v>
      </c>
    </row>
    <row r="875">
      <c r="A875" s="38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/>
      <c r="G875" s="17"/>
      <c r="H875" s="17"/>
      <c r="I875" s="17"/>
      <c r="J875" s="17" t="b">
        <v>0</v>
      </c>
    </row>
    <row r="876">
      <c r="A876" s="38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/>
      <c r="G876" s="17"/>
      <c r="H876" s="17"/>
      <c r="I876" s="17"/>
      <c r="J876" s="17" t="b">
        <v>0</v>
      </c>
    </row>
    <row r="877">
      <c r="A877" s="38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/>
      <c r="G877" s="17"/>
      <c r="H877" s="17"/>
      <c r="I877" s="17"/>
      <c r="J877" s="17" t="b">
        <v>0</v>
      </c>
    </row>
    <row r="878">
      <c r="A878" s="38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/>
      <c r="G878" s="17"/>
      <c r="H878" s="17"/>
      <c r="I878" s="17"/>
      <c r="J878" s="17" t="b">
        <v>0</v>
      </c>
    </row>
    <row r="879">
      <c r="A879" s="38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/>
      <c r="G879" s="17"/>
      <c r="H879" s="17"/>
      <c r="I879" s="17"/>
      <c r="J879" s="17" t="b">
        <v>0</v>
      </c>
    </row>
    <row r="880">
      <c r="A880" s="38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/>
      <c r="G880" s="17"/>
      <c r="H880" s="17"/>
      <c r="I880" s="17"/>
      <c r="J880" s="17" t="b">
        <v>0</v>
      </c>
    </row>
    <row r="881">
      <c r="A881" s="38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/>
      <c r="G881" s="17"/>
      <c r="H881" s="17"/>
      <c r="I881" s="17"/>
      <c r="J881" s="17" t="b">
        <v>0</v>
      </c>
    </row>
    <row r="882">
      <c r="A882" s="38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/>
      <c r="G882" s="17"/>
      <c r="H882" s="17"/>
      <c r="I882" s="17"/>
      <c r="J882" s="17" t="b">
        <v>0</v>
      </c>
    </row>
    <row r="883">
      <c r="A883" s="38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/>
      <c r="G883" s="17"/>
      <c r="H883" s="17"/>
      <c r="I883" s="17"/>
      <c r="J883" s="17" t="b">
        <v>0</v>
      </c>
    </row>
    <row r="884">
      <c r="A884" s="38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/>
      <c r="G884" s="17"/>
      <c r="H884" s="17"/>
      <c r="I884" s="17"/>
      <c r="J884" s="17" t="b">
        <v>0</v>
      </c>
    </row>
    <row r="885">
      <c r="A885" s="38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/>
      <c r="G885" s="17"/>
      <c r="H885" s="17"/>
      <c r="I885" s="17"/>
      <c r="J885" s="17" t="b">
        <v>0</v>
      </c>
    </row>
    <row r="886">
      <c r="A886" s="38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/>
      <c r="G886" s="17"/>
      <c r="H886" s="17"/>
      <c r="I886" s="17"/>
      <c r="J886" s="17" t="b">
        <v>0</v>
      </c>
    </row>
    <row r="887">
      <c r="A887" s="38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/>
      <c r="G887" s="17"/>
      <c r="H887" s="17"/>
      <c r="I887" s="17"/>
      <c r="J887" s="17" t="b">
        <v>0</v>
      </c>
    </row>
    <row r="888">
      <c r="A888" s="38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/>
      <c r="G888" s="17"/>
      <c r="H888" s="17"/>
      <c r="I888" s="17"/>
      <c r="J888" s="17" t="b">
        <v>0</v>
      </c>
    </row>
    <row r="889">
      <c r="A889" s="38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/>
      <c r="G889" s="17"/>
      <c r="H889" s="17"/>
      <c r="I889" s="17"/>
      <c r="J889" s="17" t="b">
        <v>0</v>
      </c>
    </row>
    <row r="890">
      <c r="A890" s="38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/>
      <c r="G890" s="17"/>
      <c r="H890" s="17"/>
      <c r="I890" s="17"/>
      <c r="J890" s="17" t="b">
        <v>0</v>
      </c>
    </row>
    <row r="891">
      <c r="A891" s="38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/>
      <c r="G891" s="17"/>
      <c r="H891" s="17"/>
      <c r="I891" s="17"/>
      <c r="J891" s="17" t="b">
        <v>0</v>
      </c>
    </row>
    <row r="892">
      <c r="A892" s="38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/>
      <c r="G892" s="17"/>
      <c r="H892" s="17"/>
      <c r="I892" s="17"/>
      <c r="J892" s="17" t="b">
        <v>0</v>
      </c>
    </row>
    <row r="893">
      <c r="A893" s="38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/>
      <c r="G893" s="17"/>
      <c r="H893" s="17"/>
      <c r="I893" s="17"/>
      <c r="J893" s="17" t="b">
        <v>0</v>
      </c>
    </row>
    <row r="894">
      <c r="A894" s="38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/>
      <c r="G894" s="17"/>
      <c r="H894" s="17"/>
      <c r="I894" s="17"/>
      <c r="J894" s="17" t="b">
        <v>0</v>
      </c>
    </row>
    <row r="895">
      <c r="A895" s="38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/>
      <c r="G895" s="17"/>
      <c r="H895" s="17"/>
      <c r="I895" s="17"/>
      <c r="J895" s="17" t="b">
        <v>0</v>
      </c>
    </row>
    <row r="896">
      <c r="A896" s="38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/>
      <c r="G896" s="17"/>
      <c r="H896" s="17"/>
      <c r="I896" s="17"/>
      <c r="J896" s="17" t="b">
        <v>0</v>
      </c>
    </row>
    <row r="897">
      <c r="A897" s="38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/>
      <c r="G897" s="17"/>
      <c r="H897" s="17"/>
      <c r="I897" s="17"/>
      <c r="J897" s="17" t="b">
        <v>0</v>
      </c>
    </row>
    <row r="898">
      <c r="A898" s="38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/>
      <c r="G898" s="17"/>
      <c r="H898" s="17"/>
      <c r="I898" s="17"/>
      <c r="J898" s="17" t="b">
        <v>0</v>
      </c>
    </row>
    <row r="899">
      <c r="A899" s="38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/>
      <c r="G899" s="17"/>
      <c r="H899" s="17"/>
      <c r="I899" s="17"/>
      <c r="J899" s="17" t="b">
        <v>0</v>
      </c>
    </row>
    <row r="900">
      <c r="A900" s="38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/>
      <c r="G900" s="17"/>
      <c r="H900" s="17"/>
      <c r="I900" s="17"/>
      <c r="J900" s="17" t="b">
        <v>0</v>
      </c>
    </row>
    <row r="901">
      <c r="A901" s="38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/>
      <c r="G901" s="17"/>
      <c r="H901" s="17"/>
      <c r="I901" s="17"/>
      <c r="J901" s="17" t="b">
        <v>0</v>
      </c>
    </row>
    <row r="902">
      <c r="A902" s="38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/>
      <c r="G902" s="17"/>
      <c r="H902" s="17"/>
      <c r="I902" s="17"/>
      <c r="J902" s="17" t="b">
        <v>0</v>
      </c>
    </row>
    <row r="903">
      <c r="A903" s="38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/>
      <c r="G903" s="17"/>
      <c r="H903" s="17"/>
      <c r="I903" s="17"/>
      <c r="J903" s="17" t="b">
        <v>0</v>
      </c>
    </row>
    <row r="904">
      <c r="A904" s="38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/>
      <c r="G904" s="17"/>
      <c r="H904" s="17"/>
      <c r="I904" s="17"/>
      <c r="J904" s="17" t="b">
        <v>0</v>
      </c>
    </row>
    <row r="905">
      <c r="A905" s="38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/>
      <c r="G905" s="17"/>
      <c r="H905" s="17"/>
      <c r="I905" s="17"/>
      <c r="J905" s="17" t="b">
        <v>0</v>
      </c>
    </row>
    <row r="906">
      <c r="A906" s="38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/>
      <c r="G906" s="17"/>
      <c r="H906" s="17"/>
      <c r="I906" s="17"/>
      <c r="J906" s="17" t="b">
        <v>0</v>
      </c>
    </row>
    <row r="907">
      <c r="A907" s="38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/>
      <c r="G907" s="17"/>
      <c r="H907" s="17"/>
      <c r="I907" s="17"/>
      <c r="J907" s="17" t="b">
        <v>0</v>
      </c>
    </row>
    <row r="908">
      <c r="A908" s="38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/>
      <c r="G908" s="17"/>
      <c r="H908" s="17"/>
      <c r="I908" s="17"/>
      <c r="J908" s="17" t="b">
        <v>0</v>
      </c>
    </row>
    <row r="909">
      <c r="A909" s="38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/>
      <c r="G909" s="17"/>
      <c r="H909" s="17"/>
      <c r="I909" s="17"/>
      <c r="J909" s="17" t="b">
        <v>0</v>
      </c>
    </row>
    <row r="910">
      <c r="A910" s="38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/>
      <c r="G910" s="17"/>
      <c r="H910" s="17"/>
      <c r="I910" s="17"/>
      <c r="J910" s="17" t="b">
        <v>0</v>
      </c>
    </row>
    <row r="911">
      <c r="A911" s="38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/>
      <c r="G911" s="17"/>
      <c r="H911" s="17"/>
      <c r="I911" s="17"/>
      <c r="J911" s="17" t="b">
        <v>0</v>
      </c>
    </row>
    <row r="912">
      <c r="A912" s="38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/>
      <c r="G912" s="17"/>
      <c r="H912" s="17"/>
      <c r="I912" s="17"/>
      <c r="J912" s="17" t="b">
        <v>0</v>
      </c>
    </row>
    <row r="913">
      <c r="A913" s="38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/>
      <c r="G913" s="17"/>
      <c r="H913" s="17"/>
      <c r="I913" s="17"/>
      <c r="J913" s="17" t="b">
        <v>0</v>
      </c>
    </row>
    <row r="914">
      <c r="A914" s="38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/>
      <c r="G914" s="17"/>
      <c r="H914" s="17"/>
      <c r="I914" s="17"/>
      <c r="J914" s="17" t="b">
        <v>0</v>
      </c>
    </row>
    <row r="915">
      <c r="A915" s="38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/>
      <c r="G915" s="17"/>
      <c r="H915" s="17"/>
      <c r="I915" s="17"/>
      <c r="J915" s="17" t="b">
        <v>0</v>
      </c>
    </row>
    <row r="916">
      <c r="A916" s="38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/>
      <c r="G916" s="17"/>
      <c r="H916" s="17"/>
      <c r="I916" s="17"/>
      <c r="J916" s="17" t="b">
        <v>0</v>
      </c>
    </row>
    <row r="917">
      <c r="A917" s="38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/>
      <c r="G917" s="17"/>
      <c r="H917" s="17"/>
      <c r="I917" s="17"/>
      <c r="J917" s="17" t="b">
        <v>0</v>
      </c>
    </row>
    <row r="918">
      <c r="A918" s="38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/>
      <c r="G918" s="17"/>
      <c r="H918" s="17"/>
      <c r="I918" s="17"/>
      <c r="J918" s="17" t="b">
        <v>0</v>
      </c>
    </row>
    <row r="919">
      <c r="A919" s="38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/>
      <c r="G919" s="17"/>
      <c r="H919" s="17"/>
      <c r="I919" s="17"/>
      <c r="J919" s="17" t="b">
        <v>0</v>
      </c>
    </row>
    <row r="920">
      <c r="A920" s="38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/>
      <c r="G920" s="17"/>
      <c r="H920" s="17"/>
      <c r="I920" s="17"/>
      <c r="J920" s="17" t="b">
        <v>0</v>
      </c>
    </row>
    <row r="921">
      <c r="A921" s="38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/>
      <c r="G921" s="17"/>
      <c r="H921" s="17"/>
      <c r="I921" s="17"/>
      <c r="J921" s="17" t="b">
        <v>0</v>
      </c>
    </row>
    <row r="922">
      <c r="A922" s="38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/>
      <c r="G922" s="17"/>
      <c r="H922" s="17"/>
      <c r="I922" s="17"/>
      <c r="J922" s="17" t="b">
        <v>0</v>
      </c>
    </row>
    <row r="923">
      <c r="A923" s="38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/>
      <c r="G923" s="17"/>
      <c r="H923" s="17"/>
      <c r="I923" s="17"/>
      <c r="J923" s="17" t="b">
        <v>0</v>
      </c>
    </row>
    <row r="924">
      <c r="A924" s="38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/>
      <c r="G924" s="17"/>
      <c r="H924" s="17"/>
      <c r="I924" s="17"/>
      <c r="J924" s="17" t="b">
        <v>0</v>
      </c>
    </row>
    <row r="925">
      <c r="A925" s="38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/>
      <c r="G925" s="17"/>
      <c r="H925" s="17"/>
      <c r="I925" s="17"/>
      <c r="J925" s="17" t="b">
        <v>0</v>
      </c>
    </row>
    <row r="926">
      <c r="A926" s="38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/>
      <c r="G926" s="17"/>
      <c r="H926" s="17"/>
      <c r="I926" s="17"/>
      <c r="J926" s="17" t="b">
        <v>0</v>
      </c>
    </row>
    <row r="927">
      <c r="A927" s="38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/>
      <c r="G927" s="17"/>
      <c r="H927" s="17"/>
      <c r="I927" s="17"/>
      <c r="J927" s="17" t="b">
        <v>0</v>
      </c>
    </row>
    <row r="928">
      <c r="A928" s="38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/>
      <c r="G928" s="17"/>
      <c r="H928" s="17"/>
      <c r="I928" s="17"/>
      <c r="J928" s="17" t="b">
        <v>0</v>
      </c>
    </row>
    <row r="929">
      <c r="A929" s="38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/>
      <c r="G929" s="17"/>
      <c r="H929" s="17"/>
      <c r="I929" s="17"/>
      <c r="J929" s="17" t="b">
        <v>0</v>
      </c>
    </row>
    <row r="930">
      <c r="A930" s="38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/>
      <c r="G930" s="17"/>
      <c r="H930" s="17"/>
      <c r="I930" s="17"/>
      <c r="J930" s="17" t="b">
        <v>0</v>
      </c>
    </row>
    <row r="931">
      <c r="A931" s="38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/>
      <c r="G931" s="17"/>
      <c r="H931" s="17"/>
      <c r="I931" s="17"/>
      <c r="J931" s="17" t="b">
        <v>0</v>
      </c>
    </row>
    <row r="932">
      <c r="A932" s="38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/>
      <c r="G932" s="17"/>
      <c r="H932" s="17"/>
      <c r="I932" s="17"/>
      <c r="J932" s="17" t="b">
        <v>0</v>
      </c>
    </row>
    <row r="933">
      <c r="A933" s="38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/>
      <c r="G933" s="17"/>
      <c r="H933" s="17"/>
      <c r="I933" s="17"/>
      <c r="J933" s="17" t="b">
        <v>0</v>
      </c>
    </row>
    <row r="934">
      <c r="A934" s="38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/>
      <c r="G934" s="17"/>
      <c r="H934" s="17"/>
      <c r="I934" s="17"/>
      <c r="J934" s="17" t="b">
        <v>0</v>
      </c>
    </row>
    <row r="935">
      <c r="A935" s="38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/>
      <c r="G935" s="17"/>
      <c r="H935" s="17"/>
      <c r="I935" s="17"/>
      <c r="J935" s="17" t="b">
        <v>0</v>
      </c>
    </row>
    <row r="936">
      <c r="A936" s="38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/>
      <c r="G936" s="17"/>
      <c r="H936" s="17"/>
      <c r="I936" s="17"/>
      <c r="J936" s="17" t="b">
        <v>0</v>
      </c>
    </row>
    <row r="937">
      <c r="A937" s="38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/>
      <c r="G937" s="17"/>
      <c r="H937" s="17"/>
      <c r="I937" s="17"/>
      <c r="J937" s="17" t="b">
        <v>0</v>
      </c>
    </row>
    <row r="938">
      <c r="A938" s="38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/>
      <c r="G938" s="17"/>
      <c r="H938" s="17"/>
      <c r="I938" s="17"/>
      <c r="J938" s="17" t="b">
        <v>0</v>
      </c>
    </row>
    <row r="939">
      <c r="A939" s="38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/>
      <c r="G939" s="17"/>
      <c r="H939" s="17"/>
      <c r="I939" s="17"/>
      <c r="J939" s="17" t="b">
        <v>0</v>
      </c>
    </row>
    <row r="940">
      <c r="A940" s="38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/>
      <c r="G940" s="17"/>
      <c r="H940" s="17"/>
      <c r="I940" s="17"/>
      <c r="J940" s="17" t="b">
        <v>0</v>
      </c>
    </row>
    <row r="941">
      <c r="A941" s="38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/>
      <c r="G941" s="17"/>
      <c r="H941" s="17"/>
      <c r="I941" s="17"/>
      <c r="J941" s="17" t="b">
        <v>0</v>
      </c>
    </row>
    <row r="942">
      <c r="A942" s="38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/>
      <c r="G942" s="17"/>
      <c r="H942" s="17"/>
      <c r="I942" s="17"/>
      <c r="J942" s="17" t="b">
        <v>0</v>
      </c>
    </row>
    <row r="943">
      <c r="A943" s="38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/>
      <c r="G943" s="17"/>
      <c r="H943" s="17"/>
      <c r="I943" s="17"/>
      <c r="J943" s="17" t="b">
        <v>0</v>
      </c>
    </row>
    <row r="944">
      <c r="A944" s="38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/>
      <c r="G944" s="17"/>
      <c r="H944" s="17"/>
      <c r="I944" s="17"/>
      <c r="J944" s="17" t="b">
        <v>0</v>
      </c>
    </row>
    <row r="945">
      <c r="A945" s="38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/>
      <c r="G945" s="17"/>
      <c r="H945" s="17"/>
      <c r="I945" s="17"/>
      <c r="J945" s="17" t="b">
        <v>0</v>
      </c>
    </row>
    <row r="946">
      <c r="A946" s="38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/>
      <c r="G946" s="17"/>
      <c r="H946" s="17"/>
      <c r="I946" s="17"/>
      <c r="J946" s="17" t="b">
        <v>0</v>
      </c>
    </row>
    <row r="947">
      <c r="A947" s="38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/>
      <c r="G947" s="17"/>
      <c r="H947" s="17"/>
      <c r="I947" s="17"/>
      <c r="J947" s="17" t="b">
        <v>0</v>
      </c>
    </row>
    <row r="948">
      <c r="A948" s="38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/>
      <c r="G948" s="17"/>
      <c r="H948" s="17"/>
      <c r="I948" s="17"/>
      <c r="J948" s="17" t="b">
        <v>0</v>
      </c>
    </row>
    <row r="949">
      <c r="A949" s="38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/>
      <c r="G949" s="17"/>
      <c r="H949" s="17"/>
      <c r="I949" s="17"/>
      <c r="J949" s="17" t="b">
        <v>0</v>
      </c>
    </row>
    <row r="950">
      <c r="A950" s="38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/>
      <c r="G950" s="17"/>
      <c r="H950" s="17"/>
      <c r="I950" s="17"/>
      <c r="J950" s="17" t="b">
        <v>0</v>
      </c>
    </row>
    <row r="951">
      <c r="A951" s="38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/>
      <c r="G951" s="17"/>
      <c r="H951" s="17"/>
      <c r="I951" s="17"/>
      <c r="J951" s="17" t="b">
        <v>0</v>
      </c>
    </row>
    <row r="952">
      <c r="A952" s="38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/>
      <c r="G952" s="17"/>
      <c r="H952" s="17"/>
      <c r="I952" s="17"/>
      <c r="J952" s="17" t="b">
        <v>0</v>
      </c>
    </row>
    <row r="953">
      <c r="A953" s="38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/>
      <c r="G953" s="17"/>
      <c r="H953" s="17"/>
      <c r="I953" s="17"/>
      <c r="J953" s="17" t="b">
        <v>0</v>
      </c>
    </row>
    <row r="954">
      <c r="A954" s="38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/>
      <c r="G954" s="17"/>
      <c r="H954" s="17"/>
      <c r="I954" s="17"/>
      <c r="J954" s="17" t="b">
        <v>0</v>
      </c>
    </row>
    <row r="955">
      <c r="A955" s="38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/>
      <c r="G955" s="17"/>
      <c r="H955" s="17"/>
      <c r="I955" s="17"/>
      <c r="J955" s="17" t="b">
        <v>0</v>
      </c>
    </row>
    <row r="956">
      <c r="A956" s="38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/>
      <c r="G956" s="17"/>
      <c r="H956" s="17"/>
      <c r="I956" s="17"/>
      <c r="J956" s="17" t="b">
        <v>0</v>
      </c>
    </row>
    <row r="957">
      <c r="A957" s="38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/>
      <c r="G957" s="17"/>
      <c r="H957" s="17"/>
      <c r="I957" s="17"/>
      <c r="J957" s="17" t="b">
        <v>0</v>
      </c>
    </row>
    <row r="958">
      <c r="A958" s="38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/>
      <c r="G958" s="17"/>
      <c r="H958" s="17"/>
      <c r="I958" s="17"/>
      <c r="J958" s="17" t="b">
        <v>0</v>
      </c>
    </row>
    <row r="959">
      <c r="A959" s="38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/>
      <c r="G959" s="17"/>
      <c r="H959" s="17"/>
      <c r="I959" s="17"/>
      <c r="J959" s="17" t="b">
        <v>0</v>
      </c>
    </row>
    <row r="960">
      <c r="A960" s="38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/>
      <c r="G960" s="17"/>
      <c r="H960" s="17"/>
      <c r="I960" s="17"/>
      <c r="J960" s="17" t="b">
        <v>0</v>
      </c>
    </row>
    <row r="961">
      <c r="A961" s="38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/>
      <c r="G961" s="17"/>
      <c r="H961" s="17"/>
      <c r="I961" s="17"/>
      <c r="J961" s="17" t="b">
        <v>0</v>
      </c>
    </row>
    <row r="962">
      <c r="A962" s="38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/>
      <c r="G962" s="17"/>
      <c r="H962" s="17"/>
      <c r="I962" s="17"/>
      <c r="J962" s="17" t="b">
        <v>0</v>
      </c>
    </row>
    <row r="963">
      <c r="A963" s="38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/>
      <c r="G963" s="17"/>
      <c r="H963" s="17"/>
      <c r="I963" s="17"/>
      <c r="J963" s="17" t="b">
        <v>0</v>
      </c>
    </row>
    <row r="964">
      <c r="A964" s="38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/>
      <c r="G964" s="17"/>
      <c r="H964" s="17"/>
      <c r="I964" s="17"/>
      <c r="J964" s="17" t="b">
        <v>0</v>
      </c>
    </row>
    <row r="965">
      <c r="A965" s="38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/>
      <c r="G965" s="17"/>
      <c r="H965" s="17"/>
      <c r="I965" s="17"/>
      <c r="J965" s="17" t="b">
        <v>0</v>
      </c>
    </row>
    <row r="966">
      <c r="A966" s="38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/>
      <c r="G966" s="17"/>
      <c r="H966" s="17"/>
      <c r="I966" s="17"/>
      <c r="J966" s="17" t="b">
        <v>0</v>
      </c>
    </row>
    <row r="967">
      <c r="A967" s="38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/>
      <c r="G967" s="17"/>
      <c r="H967" s="17"/>
      <c r="I967" s="17"/>
      <c r="J967" s="17" t="b">
        <v>0</v>
      </c>
    </row>
    <row r="968">
      <c r="A968" s="38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/>
      <c r="G968" s="17"/>
      <c r="H968" s="17"/>
      <c r="I968" s="17"/>
      <c r="J968" s="17" t="b">
        <v>0</v>
      </c>
    </row>
    <row r="969">
      <c r="A969" s="38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/>
      <c r="G969" s="17"/>
      <c r="H969" s="17"/>
      <c r="I969" s="17"/>
      <c r="J969" s="17" t="b">
        <v>0</v>
      </c>
    </row>
    <row r="970">
      <c r="A970" s="38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/>
      <c r="G970" s="17"/>
      <c r="H970" s="17"/>
      <c r="I970" s="17"/>
      <c r="J970" s="17" t="b">
        <v>0</v>
      </c>
    </row>
    <row r="971">
      <c r="A971" s="38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/>
      <c r="G971" s="17"/>
      <c r="H971" s="17"/>
      <c r="I971" s="17"/>
      <c r="J971" s="17" t="b">
        <v>0</v>
      </c>
    </row>
    <row r="972">
      <c r="A972" s="38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/>
      <c r="G972" s="17"/>
      <c r="H972" s="17"/>
      <c r="I972" s="17"/>
      <c r="J972" s="17" t="b">
        <v>0</v>
      </c>
    </row>
    <row r="973">
      <c r="A973" s="38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/>
      <c r="G973" s="17"/>
      <c r="H973" s="17"/>
      <c r="I973" s="17"/>
      <c r="J973" s="17" t="b">
        <v>0</v>
      </c>
    </row>
    <row r="974">
      <c r="A974" s="38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/>
      <c r="G974" s="17"/>
      <c r="H974" s="17"/>
      <c r="I974" s="17"/>
      <c r="J974" s="17" t="b">
        <v>0</v>
      </c>
    </row>
    <row r="975">
      <c r="A975" s="38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/>
      <c r="G975" s="17"/>
      <c r="H975" s="17"/>
      <c r="I975" s="17"/>
      <c r="J975" s="17" t="b">
        <v>0</v>
      </c>
    </row>
    <row r="976">
      <c r="A976" s="38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/>
      <c r="G976" s="17"/>
      <c r="H976" s="17"/>
      <c r="I976" s="17"/>
      <c r="J976" s="17" t="b">
        <v>0</v>
      </c>
    </row>
    <row r="977">
      <c r="A977" s="38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/>
      <c r="G977" s="17"/>
      <c r="H977" s="17"/>
      <c r="I977" s="17"/>
      <c r="J977" s="17" t="b">
        <v>0</v>
      </c>
    </row>
    <row r="978">
      <c r="A978" s="38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/>
      <c r="G978" s="17"/>
      <c r="H978" s="17"/>
      <c r="I978" s="17"/>
      <c r="J978" s="17" t="b">
        <v>0</v>
      </c>
    </row>
    <row r="979">
      <c r="A979" s="38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/>
      <c r="G979" s="17"/>
      <c r="H979" s="17"/>
      <c r="I979" s="17"/>
      <c r="J979" s="17" t="b">
        <v>0</v>
      </c>
    </row>
    <row r="980">
      <c r="A980" s="38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/>
      <c r="G980" s="17"/>
      <c r="H980" s="17"/>
      <c r="I980" s="17"/>
      <c r="J980" s="17" t="b">
        <v>0</v>
      </c>
    </row>
    <row r="981">
      <c r="A981" s="38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/>
      <c r="G981" s="17"/>
      <c r="H981" s="17"/>
      <c r="I981" s="17"/>
      <c r="J981" s="17" t="b">
        <v>0</v>
      </c>
    </row>
    <row r="982">
      <c r="A982" s="38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/>
      <c r="G982" s="17"/>
      <c r="H982" s="17"/>
      <c r="I982" s="17"/>
      <c r="J982" s="17" t="b">
        <v>0</v>
      </c>
    </row>
    <row r="983">
      <c r="A983" s="38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/>
      <c r="G983" s="17"/>
      <c r="H983" s="17"/>
      <c r="I983" s="17"/>
      <c r="J983" s="17" t="b">
        <v>0</v>
      </c>
    </row>
    <row r="984">
      <c r="A984" s="38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/>
      <c r="G984" s="17"/>
      <c r="H984" s="17"/>
      <c r="I984" s="17"/>
      <c r="J984" s="17" t="b">
        <v>0</v>
      </c>
    </row>
    <row r="985">
      <c r="A985" s="38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/>
      <c r="G985" s="17"/>
      <c r="H985" s="17"/>
      <c r="I985" s="17"/>
      <c r="J985" s="17" t="b">
        <v>0</v>
      </c>
    </row>
    <row r="986">
      <c r="A986" s="38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/>
      <c r="G986" s="17"/>
      <c r="H986" s="17"/>
      <c r="I986" s="17"/>
      <c r="J986" s="17" t="b">
        <v>0</v>
      </c>
    </row>
    <row r="987">
      <c r="A987" s="38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/>
      <c r="G987" s="17"/>
      <c r="H987" s="17"/>
      <c r="I987" s="17"/>
      <c r="J987" s="17" t="b">
        <v>0</v>
      </c>
    </row>
    <row r="988">
      <c r="A988" s="38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/>
      <c r="G988" s="17"/>
      <c r="H988" s="17"/>
      <c r="I988" s="17"/>
      <c r="J988" s="17" t="b">
        <v>0</v>
      </c>
    </row>
    <row r="989">
      <c r="A989" s="38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/>
      <c r="G989" s="17"/>
      <c r="H989" s="17"/>
      <c r="I989" s="17"/>
      <c r="J989" s="17" t="b">
        <v>0</v>
      </c>
    </row>
    <row r="990">
      <c r="A990" s="38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/>
      <c r="G990" s="17"/>
      <c r="H990" s="17"/>
      <c r="I990" s="17"/>
      <c r="J990" s="17" t="b">
        <v>0</v>
      </c>
    </row>
    <row r="991">
      <c r="A991" s="38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/>
      <c r="G991" s="17"/>
      <c r="H991" s="17"/>
      <c r="I991" s="17"/>
      <c r="J991" s="17" t="b">
        <v>0</v>
      </c>
    </row>
    <row r="992">
      <c r="A992" s="38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/>
      <c r="G992" s="17"/>
      <c r="H992" s="17"/>
      <c r="I992" s="17"/>
      <c r="J992" s="17" t="b">
        <v>0</v>
      </c>
    </row>
    <row r="993">
      <c r="A993" s="38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/>
      <c r="G993" s="17"/>
      <c r="H993" s="17"/>
      <c r="I993" s="17"/>
      <c r="J993" s="17" t="b">
        <v>0</v>
      </c>
    </row>
    <row r="994">
      <c r="A994" s="38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/>
      <c r="G994" s="17"/>
      <c r="H994" s="17"/>
      <c r="I994" s="17"/>
      <c r="J994" s="17" t="b">
        <v>0</v>
      </c>
    </row>
    <row r="995">
      <c r="A995" s="38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/>
      <c r="G995" s="17"/>
      <c r="H995" s="17"/>
      <c r="I995" s="17"/>
      <c r="J995" s="17" t="b">
        <v>0</v>
      </c>
    </row>
    <row r="996">
      <c r="A996" s="38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/>
      <c r="G996" s="17"/>
      <c r="H996" s="17"/>
      <c r="I996" s="17"/>
      <c r="J996" s="17" t="b">
        <v>0</v>
      </c>
    </row>
    <row r="997">
      <c r="A997" s="38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/>
      <c r="G997" s="17"/>
      <c r="H997" s="17"/>
      <c r="I997" s="17"/>
      <c r="J997" s="17" t="b">
        <v>0</v>
      </c>
    </row>
    <row r="998">
      <c r="A998" s="38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/>
      <c r="G998" s="17"/>
      <c r="H998" s="17"/>
      <c r="I998" s="17"/>
      <c r="J998" s="17" t="b">
        <v>0</v>
      </c>
    </row>
    <row r="999">
      <c r="A999" s="38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/>
      <c r="G999" s="17"/>
      <c r="H999" s="17"/>
      <c r="I999" s="17"/>
      <c r="J999" s="17" t="b">
        <v>0</v>
      </c>
    </row>
    <row r="1000">
      <c r="A1000" s="38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/>
      <c r="G1000" s="17"/>
      <c r="H1000" s="17"/>
      <c r="I1000" s="17"/>
      <c r="J1000" s="17" t="b">
        <v>0</v>
      </c>
    </row>
  </sheetData>
  <mergeCells count="4">
    <mergeCell ref="A1:J1"/>
    <mergeCell ref="A2:J2"/>
    <mergeCell ref="A3:J3"/>
    <mergeCell ref="A4:J4"/>
  </mergeCells>
  <dataValidations>
    <dataValidation type="list" allowBlank="1" showDropDown="1" showErrorMessage="1" sqref="B7:B28 B30:B73 B75:B97 B99:B111 B113:B1000">
      <formula1>'MASTER DATA'!$A$2:$A$215</formula1>
    </dataValidation>
    <dataValidation type="list" allowBlank="1" showErrorMessage="1" sqref="I7:I1000">
      <formula1>"Waste,Spoil,Training,Discontinued,Test food/kalibrasi"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2.86"/>
    <col customWidth="1" min="3" max="4" width="13.0"/>
    <col customWidth="1" min="5" max="5" width="27.29"/>
    <col customWidth="1" min="6" max="6" width="13.14"/>
    <col customWidth="1" min="7" max="7" width="11.86"/>
    <col customWidth="1" min="8" max="8" width="21.0"/>
    <col customWidth="1" min="9" max="9" width="16.71"/>
    <col customWidth="1" min="10" max="10" width="12.86"/>
    <col customWidth="1" min="11" max="27" width="8.71"/>
  </cols>
  <sheetData>
    <row r="1">
      <c r="A1" s="2" t="s">
        <v>2</v>
      </c>
      <c r="B1" s="2" t="s">
        <v>6</v>
      </c>
      <c r="C1" s="2"/>
      <c r="D1" s="2"/>
      <c r="E1" s="2" t="s">
        <v>8</v>
      </c>
      <c r="F1" s="2"/>
      <c r="G1" s="2" t="s">
        <v>10</v>
      </c>
      <c r="H1" s="2" t="s">
        <v>11</v>
      </c>
      <c r="I1" s="2" t="s">
        <v>12</v>
      </c>
      <c r="J1" s="20" t="s">
        <v>865</v>
      </c>
    </row>
    <row r="2">
      <c r="A2" s="29">
        <v>46028.0</v>
      </c>
      <c r="B2" s="27" t="s">
        <v>108</v>
      </c>
      <c r="C2" s="6" t="str">
        <f>IFERROR(VLOOKUP(B2,'MASTER DATA'!$A$1:$E$212,2),"")</f>
        <v>BB-100503</v>
      </c>
      <c r="D2" s="6"/>
      <c r="E2" s="6" t="str">
        <f>VLOOKUP(B2,Sheet3!$B$2:$E$311,3,)</f>
        <v>BAHAN BAKU LUUCA</v>
      </c>
      <c r="F2" s="6" t="str">
        <f>VLOOKUP(B2,Sheet3!$B$2:$E$311,4,)</f>
        <v>GR</v>
      </c>
      <c r="G2" s="28" t="s">
        <v>790</v>
      </c>
      <c r="H2" s="28" t="s">
        <v>791</v>
      </c>
      <c r="I2" s="28" t="s">
        <v>561</v>
      </c>
      <c r="J2" s="20" t="s">
        <v>661</v>
      </c>
    </row>
    <row r="3">
      <c r="A3" s="29"/>
      <c r="B3" s="27" t="s">
        <v>53</v>
      </c>
      <c r="C3" s="6"/>
      <c r="D3" s="6"/>
      <c r="E3" s="6" t="str">
        <f>VLOOKUP(B3,Sheet3!$B$2:$E$311,3,)</f>
        <v>BAHAN BAKU LUUCA</v>
      </c>
      <c r="F3" s="6" t="str">
        <f>VLOOKUP(B3,Sheet3!$B$2:$E$311,4,)</f>
        <v>GR</v>
      </c>
      <c r="G3" s="28">
        <v>98.0</v>
      </c>
      <c r="H3" s="28" t="s">
        <v>793</v>
      </c>
      <c r="I3" s="28" t="s">
        <v>561</v>
      </c>
      <c r="J3" s="20" t="s">
        <v>661</v>
      </c>
    </row>
    <row r="4">
      <c r="A4" s="29"/>
      <c r="B4" s="27" t="s">
        <v>108</v>
      </c>
      <c r="C4" s="6"/>
      <c r="D4" s="6"/>
      <c r="E4" s="6" t="str">
        <f>VLOOKUP(B4,Sheet3!$B$2:$E$311,3,)</f>
        <v>BAHAN BAKU LUUCA</v>
      </c>
      <c r="F4" s="6" t="str">
        <f>VLOOKUP(B4,Sheet3!$B$2:$E$311,4,)</f>
        <v>GR</v>
      </c>
      <c r="G4" s="28" t="s">
        <v>794</v>
      </c>
      <c r="H4" s="28" t="s">
        <v>792</v>
      </c>
      <c r="I4" s="28" t="s">
        <v>561</v>
      </c>
      <c r="J4" s="20" t="s">
        <v>661</v>
      </c>
    </row>
    <row r="5">
      <c r="A5" s="27"/>
      <c r="B5" s="27" t="s">
        <v>33</v>
      </c>
      <c r="C5" s="6"/>
      <c r="D5" s="6"/>
      <c r="E5" s="6" t="str">
        <f>VLOOKUP(B5,Sheet3!$B$2:$E$311,3,)</f>
        <v>BAHAN BAKU LUUCA</v>
      </c>
      <c r="F5" s="6" t="str">
        <f>VLOOKUP(B5,Sheet3!$B$2:$E$311,4,)</f>
        <v>GR</v>
      </c>
      <c r="G5" s="28">
        <v>448.0</v>
      </c>
      <c r="H5" s="28" t="s">
        <v>703</v>
      </c>
      <c r="I5" s="28" t="s">
        <v>561</v>
      </c>
      <c r="J5" s="20" t="s">
        <v>661</v>
      </c>
    </row>
    <row r="6">
      <c r="A6" s="27"/>
      <c r="B6" s="27" t="s">
        <v>108</v>
      </c>
      <c r="C6" s="6"/>
      <c r="D6" s="6"/>
      <c r="E6" s="6" t="str">
        <f>VLOOKUP(B6,Sheet3!$B$2:$E$311,3,)</f>
        <v>BAHAN BAKU LUUCA</v>
      </c>
      <c r="F6" s="6" t="str">
        <f>VLOOKUP(B6,Sheet3!$B$2:$E$311,4,)</f>
        <v>GR</v>
      </c>
      <c r="G6" s="28" t="s">
        <v>634</v>
      </c>
      <c r="H6" s="28" t="s">
        <v>792</v>
      </c>
      <c r="I6" s="28" t="s">
        <v>541</v>
      </c>
      <c r="J6" s="20" t="s">
        <v>661</v>
      </c>
    </row>
    <row r="7">
      <c r="A7" s="27"/>
      <c r="B7" s="27" t="s">
        <v>53</v>
      </c>
      <c r="C7" s="6"/>
      <c r="D7" s="6"/>
      <c r="E7" s="6" t="str">
        <f>VLOOKUP(B7,Sheet3!$B$2:$E$311,3,)</f>
        <v>BAHAN BAKU LUUCA</v>
      </c>
      <c r="F7" s="6" t="str">
        <f>VLOOKUP(B7,Sheet3!$B$2:$E$311,4,)</f>
        <v>GR</v>
      </c>
      <c r="G7" s="28" t="s">
        <v>795</v>
      </c>
      <c r="H7" s="28" t="s">
        <v>796</v>
      </c>
      <c r="I7" s="28" t="s">
        <v>541</v>
      </c>
      <c r="J7" s="20" t="s">
        <v>661</v>
      </c>
    </row>
    <row r="8">
      <c r="A8" s="29">
        <v>46059.0</v>
      </c>
      <c r="B8" s="27" t="s">
        <v>108</v>
      </c>
      <c r="C8" s="6"/>
      <c r="D8" s="6"/>
      <c r="E8" s="6" t="str">
        <f>VLOOKUP(B8,Sheet3!$B$2:$E$311,3,)</f>
        <v>BAHAN BAKU LUUCA</v>
      </c>
      <c r="F8" s="6" t="str">
        <f>VLOOKUP(B8,Sheet3!$B$2:$E$311,4,)</f>
        <v>GR</v>
      </c>
      <c r="G8" s="28" t="s">
        <v>642</v>
      </c>
      <c r="H8" s="28" t="s">
        <v>797</v>
      </c>
      <c r="I8" s="28" t="s">
        <v>522</v>
      </c>
      <c r="J8" s="20" t="s">
        <v>661</v>
      </c>
    </row>
    <row r="9">
      <c r="A9" s="27"/>
      <c r="B9" s="27" t="s">
        <v>109</v>
      </c>
      <c r="C9" s="6"/>
      <c r="D9" s="6"/>
      <c r="E9" s="6" t="str">
        <f>VLOOKUP(B9,Sheet3!$B$2:$E$311,3,)</f>
        <v>BAHAN BAKU LUUCA</v>
      </c>
      <c r="F9" s="6" t="str">
        <f>VLOOKUP(B9,Sheet3!$B$2:$E$311,4,)</f>
        <v>GR</v>
      </c>
      <c r="G9" s="28">
        <v>10.0</v>
      </c>
      <c r="H9" s="28" t="s">
        <v>588</v>
      </c>
      <c r="I9" s="28" t="s">
        <v>522</v>
      </c>
      <c r="J9" s="20" t="s">
        <v>661</v>
      </c>
    </row>
    <row r="10">
      <c r="A10" s="27"/>
      <c r="B10" s="27" t="s">
        <v>108</v>
      </c>
      <c r="C10" s="6"/>
      <c r="D10" s="6"/>
      <c r="E10" s="6" t="str">
        <f>VLOOKUP(B10,Sheet3!$B$2:$E$311,3,)</f>
        <v>BAHAN BAKU LUUCA</v>
      </c>
      <c r="F10" s="6" t="str">
        <f>VLOOKUP(B10,Sheet3!$B$2:$E$311,4,)</f>
        <v>GR</v>
      </c>
      <c r="G10" s="28" t="s">
        <v>798</v>
      </c>
      <c r="H10" s="28" t="s">
        <v>791</v>
      </c>
      <c r="I10" s="28" t="s">
        <v>522</v>
      </c>
      <c r="J10" s="20" t="s">
        <v>661</v>
      </c>
    </row>
    <row r="11">
      <c r="A11" s="27"/>
      <c r="B11" s="27" t="s">
        <v>109</v>
      </c>
      <c r="C11" s="6"/>
      <c r="D11" s="6"/>
      <c r="E11" s="6" t="str">
        <f>VLOOKUP(B11,Sheet3!$B$2:$E$311,3,)</f>
        <v>BAHAN BAKU LUUCA</v>
      </c>
      <c r="F11" s="6" t="str">
        <f>VLOOKUP(B11,Sheet3!$B$2:$E$311,4,)</f>
        <v>GR</v>
      </c>
      <c r="G11" s="28" t="s">
        <v>799</v>
      </c>
      <c r="H11" s="28" t="s">
        <v>791</v>
      </c>
      <c r="I11" s="28" t="s">
        <v>522</v>
      </c>
      <c r="J11" s="20" t="s">
        <v>661</v>
      </c>
    </row>
    <row r="12">
      <c r="A12" s="29"/>
      <c r="B12" s="27" t="s">
        <v>33</v>
      </c>
      <c r="C12" s="6"/>
      <c r="D12" s="6"/>
      <c r="E12" s="6" t="str">
        <f>VLOOKUP(B12,Sheet3!$B$2:$E$311,3,)</f>
        <v>BAHAN BAKU LUUCA</v>
      </c>
      <c r="F12" s="6" t="str">
        <f>VLOOKUP(B12,Sheet3!$B$2:$E$311,4,)</f>
        <v>GR</v>
      </c>
      <c r="G12" s="28">
        <v>647.0</v>
      </c>
      <c r="H12" s="28" t="s">
        <v>703</v>
      </c>
      <c r="I12" s="28" t="s">
        <v>522</v>
      </c>
      <c r="J12" s="20" t="s">
        <v>661</v>
      </c>
    </row>
    <row r="13">
      <c r="A13" s="29"/>
      <c r="B13" s="27" t="s">
        <v>179</v>
      </c>
      <c r="C13" s="6"/>
      <c r="D13" s="6"/>
      <c r="E13" s="6" t="str">
        <f>VLOOKUP(B13,Sheet3!$B$2:$E$311,3,)</f>
        <v>PRODUKSI STOK LUUCA</v>
      </c>
      <c r="F13" s="6" t="str">
        <f>VLOOKUP(B13,Sheet3!$B$2:$E$311,4,)</f>
        <v>GR</v>
      </c>
      <c r="G13" s="28">
        <v>150.0</v>
      </c>
      <c r="H13" s="28" t="s">
        <v>532</v>
      </c>
      <c r="I13" s="28" t="s">
        <v>541</v>
      </c>
      <c r="J13" s="20" t="s">
        <v>661</v>
      </c>
    </row>
    <row r="14">
      <c r="A14" s="29"/>
      <c r="B14" s="27" t="s">
        <v>104</v>
      </c>
      <c r="C14" s="6"/>
      <c r="D14" s="6"/>
      <c r="E14" s="6" t="str">
        <f>VLOOKUP(B14,Sheet3!$B$2:$E$311,3,)</f>
        <v>BAHAN BAKU LUUCA</v>
      </c>
      <c r="F14" s="6" t="str">
        <f>VLOOKUP(B14,Sheet3!$B$2:$E$311,4,)</f>
        <v>GR</v>
      </c>
      <c r="G14" s="28" t="s">
        <v>802</v>
      </c>
      <c r="H14" s="28" t="s">
        <v>532</v>
      </c>
      <c r="I14" s="28" t="s">
        <v>541</v>
      </c>
      <c r="J14" s="20" t="s">
        <v>661</v>
      </c>
    </row>
    <row r="15">
      <c r="A15" s="29">
        <v>46087.0</v>
      </c>
      <c r="B15" s="27" t="s">
        <v>179</v>
      </c>
      <c r="C15" s="6"/>
      <c r="D15" s="6"/>
      <c r="E15" s="6" t="str">
        <f>VLOOKUP(B15,Sheet3!$B$2:$E$311,3,)</f>
        <v>PRODUKSI STOK LUUCA</v>
      </c>
      <c r="F15" s="6" t="str">
        <f>VLOOKUP(B15,Sheet3!$B$2:$E$311,4,)</f>
        <v>GR</v>
      </c>
      <c r="G15" s="28">
        <v>2129.0</v>
      </c>
      <c r="H15" s="28" t="s">
        <v>370</v>
      </c>
      <c r="I15" s="28" t="s">
        <v>522</v>
      </c>
      <c r="J15" s="20" t="s">
        <v>661</v>
      </c>
    </row>
    <row r="16">
      <c r="A16" s="29"/>
      <c r="B16" s="27" t="s">
        <v>34</v>
      </c>
      <c r="C16" s="6"/>
      <c r="D16" s="6"/>
      <c r="E16" s="6" t="str">
        <f>VLOOKUP(B16,Sheet3!$B$2:$E$311,3,)</f>
        <v>BAHAN BAKU LUUCA</v>
      </c>
      <c r="F16" s="6" t="str">
        <f>VLOOKUP(B16,Sheet3!$B$2:$E$311,4,)</f>
        <v>GR</v>
      </c>
      <c r="G16" s="28">
        <v>230.0</v>
      </c>
      <c r="H16" s="28" t="s">
        <v>703</v>
      </c>
      <c r="I16" s="28" t="s">
        <v>522</v>
      </c>
      <c r="J16" s="20" t="s">
        <v>661</v>
      </c>
    </row>
    <row r="17">
      <c r="A17" s="45"/>
      <c r="B17" s="27" t="s">
        <v>53</v>
      </c>
      <c r="C17" s="6"/>
      <c r="D17" s="6"/>
      <c r="E17" s="6" t="str">
        <f>VLOOKUP(B17,Sheet3!$B$2:$E$311,3,)</f>
        <v>BAHAN BAKU LUUCA</v>
      </c>
      <c r="F17" s="6" t="str">
        <f>VLOOKUP(B17,Sheet3!$B$2:$E$311,4,)</f>
        <v>GR</v>
      </c>
      <c r="G17" s="28" t="s">
        <v>806</v>
      </c>
      <c r="H17" s="28" t="s">
        <v>793</v>
      </c>
      <c r="I17" s="28" t="s">
        <v>522</v>
      </c>
      <c r="J17" s="20" t="s">
        <v>661</v>
      </c>
    </row>
    <row r="18">
      <c r="A18" s="29"/>
      <c r="B18" s="27" t="s">
        <v>107</v>
      </c>
      <c r="C18" s="6"/>
      <c r="D18" s="6"/>
      <c r="E18" s="6" t="str">
        <f>VLOOKUP(B18,Sheet3!$B$2:$E$311,3,)</f>
        <v>BAHAN BAKU LUUCA</v>
      </c>
      <c r="F18" s="6" t="str">
        <f>VLOOKUP(B18,Sheet3!$B$2:$E$311,4,)</f>
        <v>GR</v>
      </c>
      <c r="G18" s="28">
        <v>18.0</v>
      </c>
      <c r="H18" s="28" t="s">
        <v>559</v>
      </c>
      <c r="I18" s="28" t="s">
        <v>522</v>
      </c>
      <c r="J18" s="20" t="s">
        <v>661</v>
      </c>
    </row>
    <row r="19">
      <c r="A19" s="29">
        <v>46118.0</v>
      </c>
      <c r="B19" s="27" t="s">
        <v>34</v>
      </c>
      <c r="C19" s="6"/>
      <c r="D19" s="6"/>
      <c r="E19" s="6" t="str">
        <f>VLOOKUP(B19,Sheet3!$B$2:$E$311,3,)</f>
        <v>BAHAN BAKU LUUCA</v>
      </c>
      <c r="F19" s="6" t="str">
        <f>VLOOKUP(B19,Sheet3!$B$2:$E$311,4,)</f>
        <v>GR</v>
      </c>
      <c r="G19" s="28">
        <v>555.0</v>
      </c>
      <c r="H19" s="46" t="s">
        <v>703</v>
      </c>
      <c r="I19" s="28" t="s">
        <v>553</v>
      </c>
      <c r="J19" s="20" t="s">
        <v>661</v>
      </c>
    </row>
    <row r="20" ht="15.75" customHeight="1">
      <c r="A20" s="29">
        <v>46148.0</v>
      </c>
      <c r="B20" s="27" t="s">
        <v>36</v>
      </c>
      <c r="C20" s="6"/>
      <c r="D20" s="6"/>
      <c r="E20" s="6" t="str">
        <f>VLOOKUP(B20,Sheet3!$B$2:$E$311,3,)</f>
        <v>BAHAN BAKU LUUCA</v>
      </c>
      <c r="F20" s="6" t="str">
        <f>VLOOKUP(B20,Sheet3!$B$2:$E$311,4,)</f>
        <v>PCS</v>
      </c>
      <c r="G20" s="28">
        <v>1.0</v>
      </c>
      <c r="H20" s="28" t="s">
        <v>813</v>
      </c>
      <c r="I20" s="28" t="s">
        <v>522</v>
      </c>
      <c r="J20" s="20" t="s">
        <v>661</v>
      </c>
    </row>
    <row r="21" ht="15.75" customHeight="1">
      <c r="A21" s="29"/>
      <c r="B21" s="27" t="s">
        <v>32</v>
      </c>
      <c r="C21" s="6"/>
      <c r="D21" s="6"/>
      <c r="E21" s="6" t="str">
        <f>VLOOKUP(B21,Sheet3!$B$2:$E$311,3,)</f>
        <v>BAHAN BAKU LUUCA</v>
      </c>
      <c r="F21" s="6" t="str">
        <f>VLOOKUP(B21,Sheet3!$B$2:$E$311,4,)</f>
        <v>GR</v>
      </c>
      <c r="G21" s="28">
        <v>12.0</v>
      </c>
      <c r="H21" s="28" t="s">
        <v>813</v>
      </c>
      <c r="I21" s="28" t="s">
        <v>522</v>
      </c>
      <c r="J21" s="20" t="s">
        <v>661</v>
      </c>
    </row>
    <row r="22" ht="15.75" customHeight="1">
      <c r="A22" s="29"/>
      <c r="B22" s="27" t="s">
        <v>108</v>
      </c>
      <c r="C22" s="6"/>
      <c r="D22" s="6"/>
      <c r="E22" s="6" t="str">
        <f>VLOOKUP(B22,Sheet3!$B$2:$E$311,3,)</f>
        <v>BAHAN BAKU LUUCA</v>
      </c>
      <c r="F22" s="6" t="str">
        <f>VLOOKUP(B22,Sheet3!$B$2:$E$311,4,)</f>
        <v>GR</v>
      </c>
      <c r="G22" s="28" t="s">
        <v>818</v>
      </c>
      <c r="H22" s="28" t="s">
        <v>819</v>
      </c>
      <c r="I22" s="28" t="s">
        <v>522</v>
      </c>
      <c r="J22" s="20" t="s">
        <v>661</v>
      </c>
    </row>
    <row r="23" ht="15.75" customHeight="1">
      <c r="A23" s="29"/>
      <c r="B23" s="27" t="s">
        <v>108</v>
      </c>
      <c r="C23" s="6"/>
      <c r="D23" s="6"/>
      <c r="E23" s="6" t="str">
        <f>VLOOKUP(B23,Sheet3!$B$2:$E$311,3,)</f>
        <v>BAHAN BAKU LUUCA</v>
      </c>
      <c r="F23" s="6" t="str">
        <f>VLOOKUP(B23,Sheet3!$B$2:$E$311,4,)</f>
        <v>GR</v>
      </c>
      <c r="G23" s="46">
        <v>3.0</v>
      </c>
      <c r="H23" s="46" t="s">
        <v>792</v>
      </c>
      <c r="I23" s="28" t="s">
        <v>553</v>
      </c>
      <c r="J23" s="20" t="s">
        <v>661</v>
      </c>
    </row>
    <row r="24" ht="15.75" customHeight="1">
      <c r="A24" s="31"/>
      <c r="B24" s="27" t="s">
        <v>131</v>
      </c>
      <c r="C24" s="6"/>
      <c r="D24" s="6"/>
      <c r="E24" s="6" t="str">
        <f>VLOOKUP(B24,Sheet3!$B$2:$E$311,3,)</f>
        <v>LUCCA MENU</v>
      </c>
      <c r="F24" s="6" t="str">
        <f>VLOOKUP(B24,Sheet3!$B$2:$E$311,4,)</f>
        <v>PRS</v>
      </c>
      <c r="G24" s="46">
        <v>1.0</v>
      </c>
      <c r="H24" s="46" t="s">
        <v>825</v>
      </c>
      <c r="I24" s="28" t="s">
        <v>522</v>
      </c>
      <c r="J24" s="20" t="s">
        <v>661</v>
      </c>
    </row>
    <row r="25" ht="15.75" customHeight="1">
      <c r="B25" s="32" t="s">
        <v>109</v>
      </c>
      <c r="C25" s="6"/>
      <c r="D25" s="6"/>
      <c r="E25" s="6" t="str">
        <f>VLOOKUP(B25,Sheet3!$B$2:$E$311,3,)</f>
        <v>BAHAN BAKU LUUCA</v>
      </c>
      <c r="F25" s="6" t="str">
        <f>VLOOKUP(B25,Sheet3!$B$2:$E$311,4,)</f>
        <v>GR</v>
      </c>
      <c r="G25" s="28">
        <v>37.5</v>
      </c>
      <c r="H25" s="28" t="s">
        <v>826</v>
      </c>
      <c r="I25" s="28" t="s">
        <v>522</v>
      </c>
      <c r="J25" s="20" t="s">
        <v>661</v>
      </c>
    </row>
    <row r="26" ht="15.75" customHeight="1">
      <c r="A26" s="36">
        <v>46179.0</v>
      </c>
      <c r="B26" s="27" t="s">
        <v>53</v>
      </c>
      <c r="C26" s="6"/>
      <c r="D26" s="6"/>
      <c r="E26" s="6" t="str">
        <f>VLOOKUP(B26,Sheet3!$B$2:$E$311,3,)</f>
        <v>BAHAN BAKU LUUCA</v>
      </c>
      <c r="F26" s="6" t="str">
        <f>VLOOKUP(B26,Sheet3!$B$2:$E$311,4,)</f>
        <v>GR</v>
      </c>
      <c r="G26" s="28">
        <v>73.2</v>
      </c>
      <c r="H26" s="28" t="s">
        <v>793</v>
      </c>
      <c r="I26" s="28" t="s">
        <v>828</v>
      </c>
      <c r="J26" s="20" t="s">
        <v>661</v>
      </c>
    </row>
    <row r="27" ht="15.75" customHeight="1">
      <c r="B27" s="27" t="s">
        <v>53</v>
      </c>
      <c r="C27" s="6"/>
      <c r="D27" s="6"/>
      <c r="E27" s="6" t="str">
        <f>VLOOKUP(B27,Sheet3!$B$2:$E$311,3,)</f>
        <v>BAHAN BAKU LUUCA</v>
      </c>
      <c r="F27" s="6" t="str">
        <f>VLOOKUP(B27,Sheet3!$B$2:$E$311,4,)</f>
        <v>GR</v>
      </c>
      <c r="G27" s="28">
        <v>68.0</v>
      </c>
      <c r="H27" s="28" t="s">
        <v>496</v>
      </c>
      <c r="I27" s="28" t="s">
        <v>595</v>
      </c>
      <c r="J27" s="20" t="s">
        <v>661</v>
      </c>
    </row>
    <row r="28" ht="15.75" customHeight="1">
      <c r="A28" s="36"/>
      <c r="B28" s="27" t="s">
        <v>108</v>
      </c>
      <c r="C28" s="6"/>
      <c r="D28" s="6"/>
      <c r="E28" s="6" t="str">
        <f>VLOOKUP(B28,Sheet3!$B$2:$E$311,3,)</f>
        <v>BAHAN BAKU LUUCA</v>
      </c>
      <c r="F28" s="6" t="str">
        <f>VLOOKUP(B28,Sheet3!$B$2:$E$311,4,)</f>
        <v>GR</v>
      </c>
      <c r="G28" s="28">
        <v>12.9</v>
      </c>
      <c r="H28" s="28" t="s">
        <v>792</v>
      </c>
      <c r="I28" s="28" t="s">
        <v>553</v>
      </c>
      <c r="J28" s="20" t="s">
        <v>661</v>
      </c>
    </row>
    <row r="29" ht="15.75" customHeight="1">
      <c r="A29" s="36"/>
      <c r="B29" s="27" t="s">
        <v>108</v>
      </c>
      <c r="C29" s="6"/>
      <c r="D29" s="6"/>
      <c r="E29" s="6" t="str">
        <f>VLOOKUP(B29,Sheet3!$B$2:$E$311,3,)</f>
        <v>BAHAN BAKU LUUCA</v>
      </c>
      <c r="F29" s="6" t="str">
        <f>VLOOKUP(B29,Sheet3!$B$2:$E$311,4,)</f>
        <v>GR</v>
      </c>
      <c r="G29" s="28">
        <v>39.7</v>
      </c>
      <c r="H29" s="28" t="s">
        <v>792</v>
      </c>
      <c r="I29" s="28" t="s">
        <v>553</v>
      </c>
      <c r="J29" s="20" t="s">
        <v>661</v>
      </c>
    </row>
    <row r="30" ht="15.75" customHeight="1">
      <c r="A30" s="36"/>
      <c r="B30" s="27" t="s">
        <v>33</v>
      </c>
      <c r="C30" s="6"/>
      <c r="D30" s="6"/>
      <c r="E30" s="6" t="str">
        <f>VLOOKUP(B30,Sheet3!$B$2:$E$311,3,)</f>
        <v>BAHAN BAKU LUUCA</v>
      </c>
      <c r="F30" s="6" t="str">
        <f>VLOOKUP(B30,Sheet3!$B$2:$E$311,4,)</f>
        <v>GR</v>
      </c>
      <c r="G30" s="28">
        <v>1137.0</v>
      </c>
      <c r="H30" s="28" t="s">
        <v>703</v>
      </c>
      <c r="I30" s="28" t="s">
        <v>522</v>
      </c>
      <c r="J30" s="20" t="s">
        <v>661</v>
      </c>
    </row>
    <row r="31" ht="15.75" customHeight="1">
      <c r="A31" s="36"/>
      <c r="B31" s="27" t="s">
        <v>34</v>
      </c>
      <c r="C31" s="6"/>
      <c r="D31" s="6"/>
      <c r="E31" s="6" t="str">
        <f>VLOOKUP(B31,Sheet3!$B$2:$E$311,3,)</f>
        <v>BAHAN BAKU LUUCA</v>
      </c>
      <c r="F31" s="6" t="str">
        <f>VLOOKUP(B31,Sheet3!$B$2:$E$311,4,)</f>
        <v>GR</v>
      </c>
      <c r="G31" s="28">
        <v>1294.0</v>
      </c>
      <c r="H31" s="28" t="s">
        <v>703</v>
      </c>
      <c r="I31" s="28" t="s">
        <v>553</v>
      </c>
      <c r="J31" s="20" t="s">
        <v>661</v>
      </c>
    </row>
    <row r="32" ht="15.75" customHeight="1">
      <c r="A32" s="36">
        <v>46209.0</v>
      </c>
      <c r="B32" s="27" t="s">
        <v>53</v>
      </c>
      <c r="C32" s="6"/>
      <c r="D32" s="6"/>
      <c r="E32" s="6" t="str">
        <f>VLOOKUP(B32,Sheet3!$B$2:$E$311,3,)</f>
        <v>BAHAN BAKU LUUCA</v>
      </c>
      <c r="F32" s="6" t="str">
        <f>VLOOKUP(B32,Sheet3!$B$2:$E$311,4,)</f>
        <v>GR</v>
      </c>
      <c r="G32" s="28">
        <v>78.9</v>
      </c>
      <c r="H32" s="28" t="s">
        <v>793</v>
      </c>
      <c r="I32" s="28" t="s">
        <v>595</v>
      </c>
      <c r="J32" s="20" t="s">
        <v>661</v>
      </c>
    </row>
    <row r="33" ht="15.75" customHeight="1">
      <c r="A33" s="36"/>
      <c r="B33" s="27" t="s">
        <v>108</v>
      </c>
      <c r="C33" s="6"/>
      <c r="D33" s="6"/>
      <c r="E33" s="6" t="str">
        <f>VLOOKUP(B33,Sheet3!$B$2:$E$311,3,)</f>
        <v>BAHAN BAKU LUUCA</v>
      </c>
      <c r="F33" s="6" t="str">
        <f>VLOOKUP(B33,Sheet3!$B$2:$E$311,4,)</f>
        <v>GR</v>
      </c>
      <c r="G33" s="28">
        <v>15.2</v>
      </c>
      <c r="H33" s="28" t="s">
        <v>792</v>
      </c>
      <c r="I33" s="28" t="s">
        <v>553</v>
      </c>
      <c r="J33" s="20" t="s">
        <v>661</v>
      </c>
    </row>
    <row r="34" ht="15.75" customHeight="1">
      <c r="A34" s="31"/>
      <c r="B34" s="27" t="s">
        <v>33</v>
      </c>
      <c r="C34" s="6"/>
      <c r="D34" s="6"/>
      <c r="E34" s="6" t="str">
        <f>VLOOKUP(B34,Sheet3!$B$2:$E$311,3,)</f>
        <v>BAHAN BAKU LUUCA</v>
      </c>
      <c r="F34" s="6" t="str">
        <f>VLOOKUP(B34,Sheet3!$B$2:$E$311,4,)</f>
        <v>GR</v>
      </c>
      <c r="G34" s="28">
        <v>404.7</v>
      </c>
      <c r="H34" s="28" t="s">
        <v>703</v>
      </c>
      <c r="I34" s="28" t="s">
        <v>522</v>
      </c>
      <c r="J34" s="20" t="s">
        <v>661</v>
      </c>
    </row>
    <row r="35" ht="15.75" customHeight="1">
      <c r="A35" s="31">
        <v>46240.0</v>
      </c>
      <c r="B35" s="27" t="s">
        <v>108</v>
      </c>
      <c r="C35" s="6"/>
      <c r="D35" s="6"/>
      <c r="E35" s="6" t="str">
        <f>VLOOKUP(B35,Sheet3!$B$2:$E$311,3,)</f>
        <v>BAHAN BAKU LUUCA</v>
      </c>
      <c r="F35" s="6" t="str">
        <f>VLOOKUP(B35,Sheet3!$B$2:$E$311,4,)</f>
        <v>GR</v>
      </c>
      <c r="G35" s="28">
        <v>5.7</v>
      </c>
      <c r="H35" s="28" t="s">
        <v>792</v>
      </c>
      <c r="I35" s="28" t="s">
        <v>595</v>
      </c>
      <c r="J35" s="20" t="s">
        <v>661</v>
      </c>
    </row>
    <row r="36" ht="15.75" customHeight="1">
      <c r="A36" s="31"/>
      <c r="B36" s="27" t="s">
        <v>53</v>
      </c>
      <c r="C36" s="6"/>
      <c r="D36" s="6"/>
      <c r="E36" s="6" t="str">
        <f>VLOOKUP(B36,Sheet3!$B$2:$E$311,3,)</f>
        <v>BAHAN BAKU LUUCA</v>
      </c>
      <c r="F36" s="6" t="str">
        <f>VLOOKUP(B36,Sheet3!$B$2:$E$311,4,)</f>
        <v>GR</v>
      </c>
      <c r="G36" s="28" t="s">
        <v>841</v>
      </c>
      <c r="H36" s="28" t="s">
        <v>793</v>
      </c>
      <c r="I36" s="28" t="s">
        <v>541</v>
      </c>
      <c r="J36" s="20" t="s">
        <v>661</v>
      </c>
    </row>
    <row r="37" ht="15.75" customHeight="1">
      <c r="A37" s="31"/>
      <c r="B37" s="27" t="s">
        <v>33</v>
      </c>
      <c r="C37" s="6"/>
      <c r="D37" s="6"/>
      <c r="E37" s="6" t="str">
        <f>VLOOKUP(B37,Sheet3!$B$2:$E$311,3,)</f>
        <v>BAHAN BAKU LUUCA</v>
      </c>
      <c r="F37" s="6" t="str">
        <f>VLOOKUP(B37,Sheet3!$B$2:$E$311,4,)</f>
        <v>GR</v>
      </c>
      <c r="G37" s="28">
        <v>1072.0</v>
      </c>
      <c r="H37" s="28" t="s">
        <v>703</v>
      </c>
      <c r="I37" s="28" t="s">
        <v>522</v>
      </c>
      <c r="J37" s="20" t="s">
        <v>661</v>
      </c>
    </row>
    <row r="38" ht="15.75" customHeight="1">
      <c r="A38" s="31">
        <v>46271.0</v>
      </c>
      <c r="B38" s="27" t="s">
        <v>53</v>
      </c>
      <c r="C38" s="6"/>
      <c r="D38" s="6"/>
      <c r="E38" s="6" t="str">
        <f>VLOOKUP(B38,Sheet3!$B$2:$E$311,3,)</f>
        <v>BAHAN BAKU LUUCA</v>
      </c>
      <c r="F38" s="6" t="str">
        <f>VLOOKUP(B38,Sheet3!$B$2:$E$311,4,)</f>
        <v>GR</v>
      </c>
      <c r="G38" s="28" t="s">
        <v>846</v>
      </c>
      <c r="H38" s="28" t="s">
        <v>793</v>
      </c>
      <c r="I38" s="28" t="s">
        <v>522</v>
      </c>
      <c r="J38" s="20" t="s">
        <v>661</v>
      </c>
    </row>
    <row r="39" ht="15.75" customHeight="1">
      <c r="A39" s="31"/>
      <c r="B39" s="27" t="s">
        <v>53</v>
      </c>
      <c r="C39" s="6"/>
      <c r="D39" s="6"/>
      <c r="E39" s="6" t="str">
        <f>VLOOKUP(B39,Sheet3!$B$2:$E$311,3,)</f>
        <v>BAHAN BAKU LUUCA</v>
      </c>
      <c r="F39" s="6" t="str">
        <f>VLOOKUP(B39,Sheet3!$B$2:$E$311,4,)</f>
        <v>GR</v>
      </c>
      <c r="G39" s="28" t="s">
        <v>851</v>
      </c>
      <c r="H39" s="28" t="s">
        <v>793</v>
      </c>
      <c r="I39" s="28" t="s">
        <v>522</v>
      </c>
      <c r="J39" s="20" t="s">
        <v>661</v>
      </c>
    </row>
    <row r="40" ht="15.75" customHeight="1">
      <c r="A40" s="31"/>
      <c r="B40" s="27" t="s">
        <v>53</v>
      </c>
      <c r="C40" s="6"/>
      <c r="D40" s="6"/>
      <c r="E40" s="6" t="str">
        <f>VLOOKUP(B40,Sheet3!$B$2:$E$311,3,)</f>
        <v>BAHAN BAKU LUUCA</v>
      </c>
      <c r="F40" s="6" t="str">
        <f>VLOOKUP(B40,Sheet3!$B$2:$E$311,4,)</f>
        <v>GR</v>
      </c>
      <c r="G40" s="28">
        <v>32.0</v>
      </c>
      <c r="H40" s="28" t="s">
        <v>793</v>
      </c>
      <c r="I40" s="28" t="s">
        <v>522</v>
      </c>
      <c r="J40" s="20" t="s">
        <v>661</v>
      </c>
    </row>
    <row r="41" ht="15.75" customHeight="1">
      <c r="A41" s="31">
        <v>46332.0</v>
      </c>
      <c r="B41" s="32" t="s">
        <v>34</v>
      </c>
      <c r="C41" s="6"/>
      <c r="D41" s="6"/>
      <c r="E41" s="6" t="str">
        <f>VLOOKUP(B41,Sheet3!$B$2:$E$311,3,)</f>
        <v>BAHAN BAKU LUUCA</v>
      </c>
      <c r="F41" s="6" t="str">
        <f>VLOOKUP(B41,Sheet3!$B$2:$E$311,4,)</f>
        <v>GR</v>
      </c>
      <c r="G41" s="28">
        <v>343.0</v>
      </c>
      <c r="H41" s="28" t="s">
        <v>703</v>
      </c>
      <c r="I41" s="28" t="s">
        <v>561</v>
      </c>
      <c r="J41" s="20" t="s">
        <v>661</v>
      </c>
    </row>
    <row r="42" ht="15.75" customHeight="1">
      <c r="A42" s="17"/>
      <c r="B42" s="18" t="s">
        <v>108</v>
      </c>
      <c r="C42" s="6"/>
      <c r="D42" s="6"/>
      <c r="E42" s="6" t="str">
        <f>VLOOKUP(B41,Sheet3!$B$2:$E$311,3,)</f>
        <v>BAHAN BAKU LUUCA</v>
      </c>
      <c r="F42" s="6" t="str">
        <f>VLOOKUP(B41,Sheet3!$B$2:$E$311,4,)</f>
        <v>GR</v>
      </c>
      <c r="G42" s="28" t="s">
        <v>857</v>
      </c>
      <c r="H42" s="28" t="s">
        <v>792</v>
      </c>
      <c r="I42" s="28" t="s">
        <v>553</v>
      </c>
      <c r="J42" s="20" t="s">
        <v>661</v>
      </c>
    </row>
    <row r="43" ht="15.75" customHeight="1">
      <c r="A43" s="36"/>
      <c r="B43" s="27" t="s">
        <v>53</v>
      </c>
      <c r="C43" s="6"/>
      <c r="D43" s="6"/>
      <c r="E43" s="6" t="str">
        <f>VLOOKUP(B43,Sheet3!$B$2:$E$311,3,)</f>
        <v>BAHAN BAKU LUUCA</v>
      </c>
      <c r="F43" s="6" t="str">
        <f>VLOOKUP(B43,Sheet3!$B$2:$E$311,4,)</f>
        <v>GR</v>
      </c>
      <c r="G43" s="28" t="s">
        <v>860</v>
      </c>
      <c r="H43" s="28" t="s">
        <v>862</v>
      </c>
      <c r="I43" s="28" t="s">
        <v>541</v>
      </c>
      <c r="J43" s="20" t="s">
        <v>661</v>
      </c>
    </row>
    <row r="44" ht="15.75" customHeight="1">
      <c r="A44" s="31"/>
      <c r="B44" s="27" t="s">
        <v>108</v>
      </c>
      <c r="C44" s="6"/>
      <c r="D44" s="6"/>
      <c r="E44" s="6" t="str">
        <f>VLOOKUP(B44,Sheet3!$B$2:$E$311,3,)</f>
        <v>BAHAN BAKU LUUCA</v>
      </c>
      <c r="F44" s="6" t="str">
        <f>VLOOKUP(B44,Sheet3!$B$2:$E$311,4,)</f>
        <v>GR</v>
      </c>
      <c r="G44" s="28" t="s">
        <v>847</v>
      </c>
      <c r="H44" s="28" t="s">
        <v>496</v>
      </c>
      <c r="I44" s="28" t="s">
        <v>864</v>
      </c>
      <c r="J44" s="20" t="s">
        <v>661</v>
      </c>
    </row>
    <row r="45" ht="15.75" customHeight="1">
      <c r="A45" s="36">
        <v>46362.0</v>
      </c>
      <c r="B45" s="27" t="s">
        <v>108</v>
      </c>
      <c r="C45" s="6"/>
      <c r="D45" s="6"/>
      <c r="E45" s="6" t="str">
        <f>VLOOKUP(B45,Sheet3!$B$2:$E$311,3,)</f>
        <v>BAHAN BAKU LUUCA</v>
      </c>
      <c r="F45" s="6" t="str">
        <f>VLOOKUP(B45,Sheet3!$B$2:$E$311,4,)</f>
        <v>GR</v>
      </c>
      <c r="G45" s="28">
        <v>85.0</v>
      </c>
      <c r="H45" s="28" t="s">
        <v>496</v>
      </c>
      <c r="I45" s="28" t="s">
        <v>615</v>
      </c>
      <c r="J45" s="20" t="s">
        <v>661</v>
      </c>
    </row>
    <row r="46" ht="15.75" customHeight="1">
      <c r="A46" s="36"/>
      <c r="B46" s="27" t="s">
        <v>108</v>
      </c>
      <c r="C46" s="6"/>
      <c r="D46" s="6"/>
      <c r="E46" s="6" t="str">
        <f>VLOOKUP(B46,Sheet3!$B$2:$E$311,3,)</f>
        <v>BAHAN BAKU LUUCA</v>
      </c>
      <c r="F46" s="6" t="str">
        <f>VLOOKUP(B46,Sheet3!$B$2:$E$311,4,)</f>
        <v>GR</v>
      </c>
      <c r="G46" s="28" t="s">
        <v>868</v>
      </c>
      <c r="H46" s="28" t="s">
        <v>496</v>
      </c>
      <c r="I46" s="28" t="s">
        <v>615</v>
      </c>
      <c r="J46" s="20" t="s">
        <v>661</v>
      </c>
    </row>
    <row r="47" ht="15.75" customHeight="1">
      <c r="A47" s="36"/>
      <c r="B47" s="27" t="s">
        <v>34</v>
      </c>
      <c r="C47" s="6"/>
      <c r="D47" s="6"/>
      <c r="E47" s="6" t="str">
        <f>VLOOKUP(B47,Sheet3!$B$2:$E$311,3,)</f>
        <v>BAHAN BAKU LUUCA</v>
      </c>
      <c r="F47" s="6" t="str">
        <f>VLOOKUP(B47,Sheet3!$B$2:$E$311,4,)</f>
        <v>GR</v>
      </c>
      <c r="G47" s="28">
        <v>756.0</v>
      </c>
      <c r="H47" s="28" t="s">
        <v>703</v>
      </c>
      <c r="I47" s="28" t="s">
        <v>615</v>
      </c>
      <c r="J47" s="20" t="s">
        <v>661</v>
      </c>
    </row>
    <row r="48" ht="15.75" customHeight="1">
      <c r="A48" s="36"/>
      <c r="B48" s="27" t="s">
        <v>108</v>
      </c>
      <c r="C48" s="6"/>
      <c r="D48" s="6"/>
      <c r="E48" s="6" t="str">
        <f>VLOOKUP(B48,Sheet3!$B$2:$E$311,3,)</f>
        <v>BAHAN BAKU LUUCA</v>
      </c>
      <c r="F48" s="6" t="str">
        <f>VLOOKUP(B48,Sheet3!$B$2:$E$311,4,)</f>
        <v>GR</v>
      </c>
      <c r="G48" s="28" t="s">
        <v>872</v>
      </c>
      <c r="H48" s="28" t="s">
        <v>496</v>
      </c>
      <c r="I48" s="28" t="s">
        <v>561</v>
      </c>
      <c r="J48" s="20" t="s">
        <v>661</v>
      </c>
    </row>
    <row r="49" ht="15.75" customHeight="1">
      <c r="A49" s="36"/>
      <c r="B49" s="27" t="s">
        <v>108</v>
      </c>
      <c r="C49" s="6"/>
      <c r="D49" s="6"/>
      <c r="E49" s="6" t="str">
        <f>VLOOKUP(B49,Sheet3!$B$2:$E$311,3,)</f>
        <v>BAHAN BAKU LUUCA</v>
      </c>
      <c r="F49" s="6" t="str">
        <f>VLOOKUP(B49,Sheet3!$B$2:$E$311,4,)</f>
        <v>GR</v>
      </c>
      <c r="G49" s="28">
        <v>12.0</v>
      </c>
      <c r="H49" s="28" t="s">
        <v>792</v>
      </c>
      <c r="I49" s="28" t="s">
        <v>561</v>
      </c>
      <c r="J49" s="20" t="s">
        <v>661</v>
      </c>
    </row>
    <row r="50" ht="15.75" customHeight="1">
      <c r="A50" s="36"/>
      <c r="B50" s="27" t="s">
        <v>33</v>
      </c>
      <c r="C50" s="6"/>
      <c r="D50" s="6"/>
      <c r="E50" s="6" t="str">
        <f>VLOOKUP(B50,Sheet3!$B$2:$E$311,3,)</f>
        <v>BAHAN BAKU LUUCA</v>
      </c>
      <c r="F50" s="6" t="str">
        <f>VLOOKUP(B50,Sheet3!$B$2:$E$311,4,)</f>
        <v>GR</v>
      </c>
      <c r="G50" s="28" t="s">
        <v>876</v>
      </c>
      <c r="H50" s="28" t="s">
        <v>703</v>
      </c>
      <c r="I50" s="28" t="s">
        <v>561</v>
      </c>
      <c r="J50" s="20" t="s">
        <v>661</v>
      </c>
    </row>
    <row r="51" ht="15.75" customHeight="1">
      <c r="A51" s="36"/>
      <c r="B51" s="27" t="s">
        <v>34</v>
      </c>
      <c r="C51" s="6"/>
      <c r="D51" s="6"/>
      <c r="E51" s="6" t="str">
        <f>VLOOKUP(B51,Sheet3!$B$2:$E$311,3,)</f>
        <v>BAHAN BAKU LUUCA</v>
      </c>
      <c r="F51" s="6" t="str">
        <f>VLOOKUP(B51,Sheet3!$B$2:$E$311,4,)</f>
        <v>GR</v>
      </c>
      <c r="G51" s="28">
        <v>670.0</v>
      </c>
      <c r="H51" s="28" t="s">
        <v>703</v>
      </c>
      <c r="I51" s="28" t="s">
        <v>615</v>
      </c>
      <c r="J51" s="20" t="s">
        <v>661</v>
      </c>
    </row>
    <row r="52" ht="15.75" customHeight="1">
      <c r="A52" s="36"/>
      <c r="B52" s="27" t="s">
        <v>109</v>
      </c>
      <c r="C52" s="6"/>
      <c r="D52" s="6"/>
      <c r="E52" s="6" t="str">
        <f>VLOOKUP(B52,Sheet3!$B$2:$E$311,3,)</f>
        <v>BAHAN BAKU LUUCA</v>
      </c>
      <c r="F52" s="6" t="str">
        <f>VLOOKUP(B52,Sheet3!$B$2:$E$311,4,)</f>
        <v>GR</v>
      </c>
      <c r="G52" s="46" t="s">
        <v>879</v>
      </c>
      <c r="H52" s="46" t="s">
        <v>496</v>
      </c>
      <c r="I52" s="46" t="s">
        <v>561</v>
      </c>
      <c r="J52" s="20" t="s">
        <v>661</v>
      </c>
    </row>
    <row r="53" ht="15.75" customHeight="1">
      <c r="A53" s="36"/>
      <c r="B53" s="27" t="s">
        <v>30</v>
      </c>
      <c r="C53" s="6"/>
      <c r="D53" s="6"/>
      <c r="E53" s="6" t="str">
        <f>VLOOKUP(B53,Sheet3!$B$2:$E$311,3,)</f>
        <v>BAHAN BAKU LUUCA</v>
      </c>
      <c r="F53" s="27" t="s">
        <v>37</v>
      </c>
      <c r="G53" s="28">
        <v>7.0</v>
      </c>
      <c r="H53" s="28" t="s">
        <v>528</v>
      </c>
      <c r="I53" s="28" t="s">
        <v>561</v>
      </c>
      <c r="J53" s="20" t="s">
        <v>661</v>
      </c>
    </row>
    <row r="54" ht="15.75" customHeight="1">
      <c r="A54" s="36"/>
      <c r="B54" s="27" t="s">
        <v>65</v>
      </c>
      <c r="C54" s="6"/>
      <c r="D54" s="6"/>
      <c r="E54" s="6" t="str">
        <f>VLOOKUP(B54,Sheet3!$B$2:$E$311,3,)</f>
        <v>PACKAGING LUUCA</v>
      </c>
      <c r="F54" s="6" t="str">
        <f>VLOOKUP(B54,Sheet3!$B$2:$E$311,4,)</f>
        <v>PCS</v>
      </c>
      <c r="G54" s="28">
        <v>3.0</v>
      </c>
      <c r="H54" s="28" t="s">
        <v>882</v>
      </c>
      <c r="I54" s="28" t="s">
        <v>522</v>
      </c>
      <c r="J54" s="20" t="s">
        <v>661</v>
      </c>
    </row>
    <row r="55" ht="15.75" customHeight="1">
      <c r="A55" s="36"/>
      <c r="B55" s="27" t="s">
        <v>100</v>
      </c>
      <c r="C55" s="6"/>
      <c r="D55" s="6"/>
      <c r="E55" s="6" t="str">
        <f>VLOOKUP(B55,Sheet3!$B$2:$E$311,3,)</f>
        <v>PACKAGING LUUCA</v>
      </c>
      <c r="F55" s="6" t="str">
        <f>VLOOKUP(B55,Sheet3!$B$2:$E$311,4,)</f>
        <v>PCS</v>
      </c>
      <c r="G55" s="28">
        <v>3.0</v>
      </c>
      <c r="H55" s="28" t="s">
        <v>882</v>
      </c>
      <c r="I55" s="28" t="s">
        <v>522</v>
      </c>
      <c r="J55" s="20" t="s">
        <v>661</v>
      </c>
    </row>
    <row r="56" ht="15.75" customHeight="1">
      <c r="A56" s="36"/>
      <c r="B56" s="27" t="s">
        <v>45</v>
      </c>
      <c r="C56" s="6"/>
      <c r="D56" s="6"/>
      <c r="E56" s="6" t="str">
        <f>VLOOKUP(B56,Sheet3!$B$2:$E$311,3,)</f>
        <v>PACKAGING LUUCA</v>
      </c>
      <c r="F56" s="6" t="str">
        <f>VLOOKUP(B56,Sheet3!$B$2:$E$311,4,)</f>
        <v>PCS</v>
      </c>
      <c r="G56" s="28">
        <v>3.0</v>
      </c>
      <c r="H56" s="28" t="s">
        <v>882</v>
      </c>
      <c r="I56" s="28" t="s">
        <v>522</v>
      </c>
      <c r="J56" s="20" t="s">
        <v>661</v>
      </c>
    </row>
    <row r="57" ht="15.75" customHeight="1">
      <c r="A57" s="36">
        <v>46186.0</v>
      </c>
      <c r="B57" s="27" t="s">
        <v>108</v>
      </c>
      <c r="C57" s="6"/>
      <c r="D57" s="6"/>
      <c r="E57" s="6" t="str">
        <f>VLOOKUP(B57,Sheet3!$B$2:$E$311,3,)</f>
        <v>BAHAN BAKU LUUCA</v>
      </c>
      <c r="F57" s="6" t="str">
        <f>VLOOKUP(B57,Sheet3!$B$2:$E$311,4,)</f>
        <v>GR</v>
      </c>
      <c r="G57" s="28">
        <v>20.0</v>
      </c>
      <c r="H57" s="28" t="s">
        <v>797</v>
      </c>
      <c r="I57" s="28" t="s">
        <v>541</v>
      </c>
      <c r="J57" s="20" t="s">
        <v>661</v>
      </c>
    </row>
    <row r="58" ht="15.75" customHeight="1">
      <c r="A58" s="36"/>
      <c r="B58" s="27" t="s">
        <v>109</v>
      </c>
      <c r="C58" s="6"/>
      <c r="D58" s="6"/>
      <c r="E58" s="6" t="str">
        <f>VLOOKUP(B58,Sheet3!$B$2:$E$311,3,)</f>
        <v>BAHAN BAKU LUUCA</v>
      </c>
      <c r="F58" s="6" t="str">
        <f>VLOOKUP(B58,Sheet3!$B$2:$E$311,4,)</f>
        <v>GR</v>
      </c>
      <c r="G58" s="28">
        <v>15.0</v>
      </c>
      <c r="H58" s="28" t="s">
        <v>588</v>
      </c>
      <c r="I58" s="28" t="s">
        <v>541</v>
      </c>
      <c r="J58" s="20" t="s">
        <v>661</v>
      </c>
    </row>
    <row r="59" ht="15.75" customHeight="1">
      <c r="A59" s="36"/>
      <c r="B59" s="27" t="s">
        <v>109</v>
      </c>
      <c r="C59" s="6"/>
      <c r="D59" s="6"/>
      <c r="E59" s="6" t="str">
        <f>VLOOKUP(B59,Sheet3!$B$2:$E$311,3,)</f>
        <v>BAHAN BAKU LUUCA</v>
      </c>
      <c r="F59" s="6" t="str">
        <f>VLOOKUP(B59,Sheet3!$B$2:$E$311,4,)</f>
        <v>GR</v>
      </c>
      <c r="G59" s="28" t="s">
        <v>890</v>
      </c>
      <c r="H59" s="28" t="s">
        <v>496</v>
      </c>
      <c r="I59" s="28" t="s">
        <v>541</v>
      </c>
      <c r="J59" s="20" t="s">
        <v>661</v>
      </c>
    </row>
    <row r="60" ht="15.75" customHeight="1">
      <c r="A60" s="36"/>
      <c r="B60" s="27" t="s">
        <v>34</v>
      </c>
      <c r="C60" s="6"/>
      <c r="D60" s="6"/>
      <c r="E60" s="6" t="str">
        <f>VLOOKUP(B60,Sheet3!$B$2:$E$311,3,)</f>
        <v>BAHAN BAKU LUUCA</v>
      </c>
      <c r="F60" s="6" t="str">
        <f>VLOOKUP(B60,Sheet3!$B$2:$E$311,4,)</f>
        <v>GR</v>
      </c>
      <c r="G60" s="28" t="s">
        <v>892</v>
      </c>
      <c r="H60" s="28" t="s">
        <v>703</v>
      </c>
      <c r="I60" s="28" t="s">
        <v>864</v>
      </c>
      <c r="J60" s="20" t="s">
        <v>661</v>
      </c>
    </row>
    <row r="61" ht="15.75" customHeight="1">
      <c r="A61" s="36"/>
      <c r="B61" s="27" t="s">
        <v>175</v>
      </c>
      <c r="C61" s="6"/>
      <c r="D61" s="6"/>
      <c r="E61" s="6" t="str">
        <f>VLOOKUP(B61,Sheet3!$B$2:$E$311,3,)</f>
        <v>PRODUKSI STOK LUUCA</v>
      </c>
      <c r="F61" s="6" t="str">
        <f>VLOOKUP(B61,Sheet3!$B$2:$E$311,4,)</f>
        <v>GR</v>
      </c>
      <c r="G61" s="28" t="s">
        <v>895</v>
      </c>
      <c r="H61" s="28" t="s">
        <v>529</v>
      </c>
      <c r="I61" s="28" t="s">
        <v>561</v>
      </c>
      <c r="J61" s="20" t="s">
        <v>661</v>
      </c>
    </row>
    <row r="62" ht="15.75" customHeight="1">
      <c r="A62" s="36"/>
      <c r="B62" s="27" t="s">
        <v>33</v>
      </c>
      <c r="C62" s="6"/>
      <c r="D62" s="6"/>
      <c r="E62" s="6" t="str">
        <f>VLOOKUP(B62,Sheet3!$B$2:$E$311,3,)</f>
        <v>BAHAN BAKU LUUCA</v>
      </c>
      <c r="F62" s="6" t="str">
        <f>VLOOKUP(B62,Sheet3!$B$2:$E$311,4,)</f>
        <v>GR</v>
      </c>
      <c r="G62" s="28" t="s">
        <v>896</v>
      </c>
      <c r="H62" s="28" t="s">
        <v>703</v>
      </c>
      <c r="I62" s="28" t="s">
        <v>522</v>
      </c>
      <c r="J62" s="20" t="s">
        <v>661</v>
      </c>
    </row>
    <row r="63" ht="15.75" customHeight="1">
      <c r="A63" s="36"/>
      <c r="B63" s="27" t="s">
        <v>53</v>
      </c>
      <c r="C63" s="6"/>
      <c r="D63" s="6"/>
      <c r="E63" s="6" t="str">
        <f>VLOOKUP(B63,Sheet3!$B$2:$E$311,3,)</f>
        <v>BAHAN BAKU LUUCA</v>
      </c>
      <c r="F63" s="6" t="str">
        <f>VLOOKUP(B63,Sheet3!$B$2:$E$311,4,)</f>
        <v>GR</v>
      </c>
      <c r="G63" s="46" t="s">
        <v>898</v>
      </c>
      <c r="H63" s="46" t="s">
        <v>496</v>
      </c>
      <c r="I63" s="46" t="s">
        <v>522</v>
      </c>
      <c r="J63" s="20" t="s">
        <v>661</v>
      </c>
    </row>
    <row r="64" ht="15.75" customHeight="1">
      <c r="A64" s="36"/>
      <c r="B64" s="27" t="s">
        <v>109</v>
      </c>
      <c r="C64" s="6"/>
      <c r="D64" s="6"/>
      <c r="E64" s="6" t="str">
        <f>VLOOKUP(B64,Sheet3!$B$2:$E$311,3,)</f>
        <v>BAHAN BAKU LUUCA</v>
      </c>
      <c r="F64" s="6" t="str">
        <f>VLOOKUP(B64,Sheet3!$B$2:$E$311,4,)</f>
        <v>GR</v>
      </c>
      <c r="G64" s="28">
        <v>19.0</v>
      </c>
      <c r="H64" s="28" t="s">
        <v>496</v>
      </c>
      <c r="I64" s="28" t="s">
        <v>541</v>
      </c>
      <c r="J64" s="20" t="s">
        <v>661</v>
      </c>
    </row>
    <row r="65" ht="15.75" customHeight="1">
      <c r="A65" s="36"/>
      <c r="B65" s="27" t="s">
        <v>53</v>
      </c>
      <c r="C65" s="6"/>
      <c r="D65" s="6"/>
      <c r="E65" s="6" t="str">
        <f>VLOOKUP(B65,Sheet3!$B$2:$E$311,3,)</f>
        <v>BAHAN BAKU LUUCA</v>
      </c>
      <c r="F65" s="6" t="str">
        <f>VLOOKUP(B65,Sheet3!$B$2:$E$311,4,)</f>
        <v>GR</v>
      </c>
      <c r="G65" s="28" t="s">
        <v>901</v>
      </c>
      <c r="H65" s="28" t="s">
        <v>793</v>
      </c>
      <c r="I65" s="28" t="s">
        <v>541</v>
      </c>
      <c r="J65" s="20" t="s">
        <v>661</v>
      </c>
    </row>
    <row r="66" ht="15.75" customHeight="1">
      <c r="A66" s="36"/>
      <c r="B66" s="27" t="s">
        <v>53</v>
      </c>
      <c r="C66" s="6"/>
      <c r="D66" s="6"/>
      <c r="E66" s="6" t="str">
        <f>VLOOKUP(B66,Sheet3!$B$2:$E$311,3,)</f>
        <v>BAHAN BAKU LUUCA</v>
      </c>
      <c r="F66" s="6" t="str">
        <f>VLOOKUP(B66,Sheet3!$B$2:$E$311,4,)</f>
        <v>GR</v>
      </c>
      <c r="G66" s="28" t="s">
        <v>903</v>
      </c>
      <c r="H66" s="28" t="s">
        <v>496</v>
      </c>
      <c r="I66" s="28" t="s">
        <v>541</v>
      </c>
      <c r="J66" s="20" t="s">
        <v>661</v>
      </c>
    </row>
    <row r="67" ht="15.75" customHeight="1">
      <c r="A67" s="36"/>
      <c r="B67" s="27" t="s">
        <v>53</v>
      </c>
      <c r="C67" s="6"/>
      <c r="D67" s="6"/>
      <c r="E67" s="6" t="str">
        <f>VLOOKUP(B67,Sheet3!$B$2:$E$311,3,)</f>
        <v>BAHAN BAKU LUUCA</v>
      </c>
      <c r="F67" s="6" t="str">
        <f>VLOOKUP(B67,Sheet3!$B$2:$E$311,4,)</f>
        <v>GR</v>
      </c>
      <c r="G67" s="28" t="s">
        <v>904</v>
      </c>
      <c r="H67" s="28" t="s">
        <v>496</v>
      </c>
      <c r="I67" s="28" t="s">
        <v>541</v>
      </c>
      <c r="J67" s="20" t="s">
        <v>661</v>
      </c>
    </row>
    <row r="68" ht="15.75" customHeight="1">
      <c r="A68" s="36"/>
      <c r="B68" s="27" t="s">
        <v>109</v>
      </c>
      <c r="C68" s="6"/>
      <c r="D68" s="6"/>
      <c r="E68" s="6" t="str">
        <f>VLOOKUP(B68,Sheet3!$B$2:$E$311,3,)</f>
        <v>BAHAN BAKU LUUCA</v>
      </c>
      <c r="F68" s="6" t="str">
        <f>VLOOKUP(B68,Sheet3!$B$2:$E$311,4,)</f>
        <v>GR</v>
      </c>
      <c r="G68" s="28" t="s">
        <v>907</v>
      </c>
      <c r="H68" s="28" t="s">
        <v>826</v>
      </c>
      <c r="I68" s="28" t="s">
        <v>522</v>
      </c>
      <c r="J68" s="20" t="s">
        <v>661</v>
      </c>
    </row>
    <row r="69" ht="15.75" customHeight="1">
      <c r="A69" s="36"/>
      <c r="B69" s="27" t="s">
        <v>69</v>
      </c>
      <c r="C69" s="6"/>
      <c r="D69" s="6"/>
      <c r="E69" s="6" t="str">
        <f>VLOOKUP(B69,Sheet3!$B$2:$E$311,3,)</f>
        <v>BAHAN BAKU LUUCA</v>
      </c>
      <c r="F69" s="6" t="str">
        <f>VLOOKUP(B69,Sheet3!$B$2:$E$311,4,)</f>
        <v>GR</v>
      </c>
      <c r="G69" s="28">
        <v>2.0</v>
      </c>
      <c r="H69" s="28" t="s">
        <v>528</v>
      </c>
      <c r="I69" s="28" t="s">
        <v>522</v>
      </c>
      <c r="J69" s="20" t="s">
        <v>661</v>
      </c>
    </row>
    <row r="70" ht="15.75" customHeight="1">
      <c r="A70" s="36"/>
      <c r="B70" s="27" t="s">
        <v>108</v>
      </c>
      <c r="C70" s="6"/>
      <c r="D70" s="6"/>
      <c r="E70" s="6" t="str">
        <f>VLOOKUP(B70,Sheet3!$B$2:$E$311,3,)</f>
        <v>BAHAN BAKU LUUCA</v>
      </c>
      <c r="F70" s="6" t="str">
        <f>VLOOKUP(B70,Sheet3!$B$2:$E$311,4,)</f>
        <v>GR</v>
      </c>
      <c r="G70" s="28" t="s">
        <v>909</v>
      </c>
      <c r="H70" s="28" t="s">
        <v>496</v>
      </c>
      <c r="I70" s="28" t="s">
        <v>522</v>
      </c>
      <c r="J70" s="20" t="s">
        <v>661</v>
      </c>
    </row>
    <row r="71" ht="15.75" customHeight="1">
      <c r="A71" s="36"/>
      <c r="B71" s="27" t="s">
        <v>34</v>
      </c>
      <c r="C71" s="6"/>
      <c r="D71" s="6"/>
      <c r="E71" s="6" t="str">
        <f>VLOOKUP(B71,Sheet3!$B$2:$E$311,3,)</f>
        <v>BAHAN BAKU LUUCA</v>
      </c>
      <c r="F71" s="6" t="str">
        <f>VLOOKUP(B71,Sheet3!$B$2:$E$311,4,)</f>
        <v>GR</v>
      </c>
      <c r="G71" s="28" t="s">
        <v>910</v>
      </c>
      <c r="H71" s="28" t="s">
        <v>703</v>
      </c>
      <c r="I71" s="28" t="s">
        <v>522</v>
      </c>
      <c r="J71" s="20" t="s">
        <v>661</v>
      </c>
    </row>
    <row r="72" ht="15.75" customHeight="1">
      <c r="A72" s="36"/>
      <c r="B72" s="27" t="s">
        <v>53</v>
      </c>
      <c r="C72" s="6"/>
      <c r="D72" s="6"/>
      <c r="E72" s="6" t="str">
        <f>VLOOKUP(B72,Sheet3!$B$2:$E$311,3,)</f>
        <v>BAHAN BAKU LUUCA</v>
      </c>
      <c r="F72" s="6" t="str">
        <f>VLOOKUP(B72,Sheet3!$B$2:$E$311,4,)</f>
        <v>GR</v>
      </c>
      <c r="G72" s="28" t="s">
        <v>898</v>
      </c>
      <c r="H72" s="28" t="s">
        <v>496</v>
      </c>
      <c r="I72" s="28" t="s">
        <v>522</v>
      </c>
      <c r="J72" s="20" t="s">
        <v>661</v>
      </c>
    </row>
    <row r="73" ht="15.75" customHeight="1">
      <c r="A73" s="36">
        <v>46187.0</v>
      </c>
      <c r="B73" s="27" t="s">
        <v>108</v>
      </c>
      <c r="C73" s="6"/>
      <c r="D73" s="6"/>
      <c r="E73" s="6" t="str">
        <f>VLOOKUP(B73,Sheet3!$B$2:$E$311,3,)</f>
        <v>BAHAN BAKU LUUCA</v>
      </c>
      <c r="F73" s="6" t="str">
        <f>VLOOKUP(B73,Sheet3!$B$2:$E$311,4,)</f>
        <v>GR</v>
      </c>
      <c r="G73" s="28" t="s">
        <v>911</v>
      </c>
      <c r="H73" s="28" t="s">
        <v>792</v>
      </c>
      <c r="I73" s="28" t="s">
        <v>615</v>
      </c>
      <c r="J73" s="20" t="s">
        <v>661</v>
      </c>
    </row>
    <row r="74" ht="15.75" customHeight="1">
      <c r="A74" s="36"/>
      <c r="B74" s="27" t="s">
        <v>33</v>
      </c>
      <c r="C74" s="6"/>
      <c r="D74" s="6"/>
      <c r="E74" s="6" t="str">
        <f>VLOOKUP(B74,Sheet3!$B$2:$E$311,3,)</f>
        <v>BAHAN BAKU LUUCA</v>
      </c>
      <c r="F74" s="6" t="str">
        <f>VLOOKUP(B74,Sheet3!$B$2:$E$311,4,)</f>
        <v>GR</v>
      </c>
      <c r="G74" s="28" t="s">
        <v>912</v>
      </c>
      <c r="H74" s="28" t="s">
        <v>703</v>
      </c>
      <c r="I74" s="28" t="s">
        <v>615</v>
      </c>
      <c r="J74" s="20" t="s">
        <v>661</v>
      </c>
    </row>
    <row r="75" ht="15.75" customHeight="1">
      <c r="A75" s="36"/>
      <c r="B75" s="27" t="s">
        <v>108</v>
      </c>
      <c r="C75" s="6"/>
      <c r="D75" s="6"/>
      <c r="E75" s="6" t="str">
        <f>VLOOKUP(B75,Sheet3!$B$2:$E$311,3,)</f>
        <v>BAHAN BAKU LUUCA</v>
      </c>
      <c r="F75" s="6" t="str">
        <f>VLOOKUP(B75,Sheet3!$B$2:$E$311,4,)</f>
        <v>GR</v>
      </c>
      <c r="G75" s="28" t="s">
        <v>913</v>
      </c>
      <c r="H75" s="28" t="s">
        <v>792</v>
      </c>
      <c r="I75" s="28" t="s">
        <v>553</v>
      </c>
      <c r="J75" s="20" t="s">
        <v>661</v>
      </c>
    </row>
    <row r="76" ht="15.75" customHeight="1">
      <c r="A76" s="36"/>
      <c r="B76" s="27" t="s">
        <v>33</v>
      </c>
      <c r="C76" s="6"/>
      <c r="D76" s="6"/>
      <c r="E76" s="6" t="str">
        <f>VLOOKUP(B76,Sheet3!$B$2:$E$311,3,)</f>
        <v>BAHAN BAKU LUUCA</v>
      </c>
      <c r="F76" s="6" t="str">
        <f>VLOOKUP(B76,Sheet3!$B$2:$E$311,4,)</f>
        <v>GR</v>
      </c>
      <c r="G76" s="28" t="s">
        <v>914</v>
      </c>
      <c r="H76" s="28" t="s">
        <v>703</v>
      </c>
      <c r="I76" s="28" t="s">
        <v>522</v>
      </c>
      <c r="J76" s="20" t="s">
        <v>661</v>
      </c>
    </row>
    <row r="77" ht="15.75" customHeight="1">
      <c r="A77" s="36"/>
      <c r="B77" s="27" t="s">
        <v>34</v>
      </c>
      <c r="C77" s="6"/>
      <c r="D77" s="6"/>
      <c r="E77" s="6" t="str">
        <f>VLOOKUP(B77,Sheet3!$B$2:$E$311,3,)</f>
        <v>BAHAN BAKU LUUCA</v>
      </c>
      <c r="F77" s="6" t="str">
        <f>VLOOKUP(B77,Sheet3!$B$2:$E$311,4,)</f>
        <v>GR</v>
      </c>
      <c r="G77" s="28" t="s">
        <v>915</v>
      </c>
      <c r="H77" s="28" t="s">
        <v>703</v>
      </c>
      <c r="I77" s="28" t="s">
        <v>522</v>
      </c>
      <c r="J77" s="20" t="s">
        <v>661</v>
      </c>
    </row>
    <row r="78" ht="15.75" customHeight="1">
      <c r="A78" s="36"/>
      <c r="B78" s="27" t="s">
        <v>109</v>
      </c>
      <c r="C78" s="6"/>
      <c r="D78" s="6"/>
      <c r="E78" s="6" t="str">
        <f>VLOOKUP(B78,Sheet3!$B$2:$E$311,3,)</f>
        <v>BAHAN BAKU LUUCA</v>
      </c>
      <c r="F78" s="6" t="str">
        <f>VLOOKUP(B78,Sheet3!$B$2:$E$311,4,)</f>
        <v>GR</v>
      </c>
      <c r="G78" s="28" t="s">
        <v>916</v>
      </c>
      <c r="H78" s="28" t="s">
        <v>826</v>
      </c>
      <c r="I78" s="28" t="s">
        <v>522</v>
      </c>
      <c r="J78" s="20" t="s">
        <v>661</v>
      </c>
    </row>
    <row r="79" ht="15.75" customHeight="1">
      <c r="A79" s="36"/>
      <c r="B79" s="27" t="s">
        <v>109</v>
      </c>
      <c r="C79" s="6"/>
      <c r="D79" s="6"/>
      <c r="E79" s="6" t="str">
        <f>VLOOKUP(B79,Sheet3!$B$2:$E$311,3,)</f>
        <v>BAHAN BAKU LUUCA</v>
      </c>
      <c r="F79" s="6" t="str">
        <f>VLOOKUP(B79,Sheet3!$B$2:$E$311,4,)</f>
        <v>GR</v>
      </c>
      <c r="G79" s="28" t="s">
        <v>918</v>
      </c>
      <c r="H79" s="28" t="s">
        <v>496</v>
      </c>
      <c r="I79" s="28" t="s">
        <v>522</v>
      </c>
      <c r="J79" s="20" t="s">
        <v>661</v>
      </c>
    </row>
    <row r="80" ht="15.75" customHeight="1">
      <c r="A80" s="36">
        <v>46188.0</v>
      </c>
      <c r="B80" s="27" t="s">
        <v>108</v>
      </c>
      <c r="C80" s="6"/>
      <c r="D80" s="6"/>
      <c r="E80" s="6" t="str">
        <f>VLOOKUP(B80,Sheet3!$B$2:$E$311,3,)</f>
        <v>BAHAN BAKU LUUCA</v>
      </c>
      <c r="F80" s="6" t="str">
        <f>VLOOKUP(B80,Sheet3!$B$2:$E$311,4,)</f>
        <v>GR</v>
      </c>
      <c r="G80" s="28" t="s">
        <v>920</v>
      </c>
      <c r="H80" s="28" t="s">
        <v>792</v>
      </c>
      <c r="I80" s="28" t="s">
        <v>553</v>
      </c>
      <c r="J80" s="20" t="s">
        <v>661</v>
      </c>
    </row>
    <row r="81" ht="15.75" customHeight="1">
      <c r="A81" s="36"/>
      <c r="B81" s="27" t="s">
        <v>53</v>
      </c>
      <c r="C81" s="6"/>
      <c r="D81" s="6"/>
      <c r="E81" s="6" t="str">
        <f>VLOOKUP(B81,Sheet3!$B$2:$E$311,3,)</f>
        <v>BAHAN BAKU LUUCA</v>
      </c>
      <c r="F81" s="6" t="str">
        <f>VLOOKUP(B81,Sheet3!$B$2:$E$311,4,)</f>
        <v>GR</v>
      </c>
      <c r="G81" s="28">
        <v>81.0</v>
      </c>
      <c r="H81" s="28" t="s">
        <v>793</v>
      </c>
      <c r="I81" s="28" t="s">
        <v>561</v>
      </c>
      <c r="J81" s="20" t="s">
        <v>661</v>
      </c>
    </row>
    <row r="82" ht="15.75" customHeight="1">
      <c r="A82" s="36">
        <v>46189.0</v>
      </c>
      <c r="B82" s="27" t="s">
        <v>108</v>
      </c>
      <c r="C82" s="6"/>
      <c r="D82" s="6"/>
      <c r="E82" s="6" t="str">
        <f>VLOOKUP(B82,Sheet3!$B$2:$E$311,3,)</f>
        <v>BAHAN BAKU LUUCA</v>
      </c>
      <c r="F82" s="6" t="str">
        <f>VLOOKUP(B82,Sheet3!$B$2:$E$311,4,)</f>
        <v>GR</v>
      </c>
      <c r="G82" s="28" t="s">
        <v>924</v>
      </c>
      <c r="H82" s="28" t="s">
        <v>792</v>
      </c>
      <c r="I82" s="28" t="s">
        <v>615</v>
      </c>
      <c r="J82" s="20" t="s">
        <v>661</v>
      </c>
    </row>
    <row r="83" ht="15.75" customHeight="1">
      <c r="A83" s="36"/>
      <c r="B83" s="27" t="s">
        <v>53</v>
      </c>
      <c r="C83" s="6"/>
      <c r="D83" s="6"/>
      <c r="E83" s="6" t="str">
        <f>VLOOKUP(B83,Sheet3!$B$2:$E$311,3,)</f>
        <v>BAHAN BAKU LUUCA</v>
      </c>
      <c r="F83" s="6" t="str">
        <f>VLOOKUP(B83,Sheet3!$B$2:$E$311,4,)</f>
        <v>GR</v>
      </c>
      <c r="G83" s="28" t="s">
        <v>925</v>
      </c>
      <c r="H83" s="28" t="s">
        <v>793</v>
      </c>
      <c r="I83" s="28" t="s">
        <v>615</v>
      </c>
      <c r="J83" s="20" t="s">
        <v>661</v>
      </c>
    </row>
    <row r="84" ht="15.75" customHeight="1">
      <c r="A84" s="36"/>
      <c r="B84" s="27" t="s">
        <v>34</v>
      </c>
      <c r="C84" s="6"/>
      <c r="D84" s="6"/>
      <c r="E84" s="6" t="str">
        <f>VLOOKUP(B84,Sheet3!$B$2:$E$311,3,)</f>
        <v>BAHAN BAKU LUUCA</v>
      </c>
      <c r="F84" s="6" t="str">
        <f>VLOOKUP(B84,Sheet3!$B$2:$E$311,4,)</f>
        <v>GR</v>
      </c>
      <c r="G84" s="28" t="s">
        <v>928</v>
      </c>
      <c r="H84" s="28" t="s">
        <v>703</v>
      </c>
      <c r="I84" s="28" t="s">
        <v>615</v>
      </c>
      <c r="J84" s="20" t="s">
        <v>661</v>
      </c>
    </row>
    <row r="85" ht="15.75" customHeight="1">
      <c r="A85" s="36"/>
      <c r="B85" s="27" t="s">
        <v>53</v>
      </c>
      <c r="C85" s="6"/>
      <c r="D85" s="6"/>
      <c r="E85" s="6" t="str">
        <f>VLOOKUP(B85,Sheet3!$B$2:$E$311,3,)</f>
        <v>BAHAN BAKU LUUCA</v>
      </c>
      <c r="F85" s="6" t="str">
        <f>VLOOKUP(B85,Sheet3!$B$2:$E$311,4,)</f>
        <v>GR</v>
      </c>
      <c r="G85" s="28" t="s">
        <v>931</v>
      </c>
      <c r="H85" s="28" t="s">
        <v>793</v>
      </c>
      <c r="I85" s="28" t="s">
        <v>615</v>
      </c>
      <c r="J85" s="20" t="s">
        <v>661</v>
      </c>
    </row>
    <row r="86" ht="15.75" customHeight="1">
      <c r="A86" s="36"/>
      <c r="B86" s="27" t="s">
        <v>33</v>
      </c>
      <c r="C86" s="6"/>
      <c r="D86" s="6"/>
      <c r="E86" s="6" t="str">
        <f>VLOOKUP(B86,Sheet3!$B$2:$E$311,3,)</f>
        <v>BAHAN BAKU LUUCA</v>
      </c>
      <c r="F86" s="6" t="str">
        <f>VLOOKUP(B86,Sheet3!$B$2:$E$311,4,)</f>
        <v>GR</v>
      </c>
      <c r="G86" s="28">
        <v>340.0</v>
      </c>
      <c r="H86" s="28" t="s">
        <v>703</v>
      </c>
      <c r="I86" s="28" t="s">
        <v>615</v>
      </c>
      <c r="J86" s="20" t="s">
        <v>661</v>
      </c>
    </row>
    <row r="87" ht="15.75" customHeight="1">
      <c r="A87" s="36"/>
      <c r="B87" s="27" t="s">
        <v>108</v>
      </c>
      <c r="C87" s="6"/>
      <c r="D87" s="6"/>
      <c r="E87" s="6" t="str">
        <f>VLOOKUP(B87,Sheet3!$B$2:$E$311,3,)</f>
        <v>BAHAN BAKU LUUCA</v>
      </c>
      <c r="F87" s="6" t="str">
        <f>VLOOKUP(B87,Sheet3!$B$2:$E$311,4,)</f>
        <v>GR</v>
      </c>
      <c r="G87" s="28" t="s">
        <v>934</v>
      </c>
      <c r="H87" s="28" t="s">
        <v>792</v>
      </c>
      <c r="I87" s="28" t="s">
        <v>615</v>
      </c>
      <c r="J87" s="20" t="s">
        <v>661</v>
      </c>
    </row>
    <row r="88" ht="15.75" customHeight="1">
      <c r="A88" s="36"/>
      <c r="B88" s="27" t="s">
        <v>34</v>
      </c>
      <c r="C88" s="6"/>
      <c r="D88" s="6"/>
      <c r="E88" s="6" t="str">
        <f>VLOOKUP(B88,Sheet3!$B$2:$E$311,3,)</f>
        <v>BAHAN BAKU LUUCA</v>
      </c>
      <c r="F88" s="6" t="str">
        <f>VLOOKUP(B88,Sheet3!$B$2:$E$311,4,)</f>
        <v>GR</v>
      </c>
      <c r="G88" s="28">
        <v>533.0</v>
      </c>
      <c r="H88" s="28" t="s">
        <v>703</v>
      </c>
      <c r="I88" s="28" t="s">
        <v>615</v>
      </c>
      <c r="J88" s="20" t="s">
        <v>661</v>
      </c>
    </row>
    <row r="89" ht="15.75" customHeight="1">
      <c r="A89" s="36"/>
      <c r="B89" s="27" t="s">
        <v>108</v>
      </c>
      <c r="C89" s="6"/>
      <c r="D89" s="6"/>
      <c r="E89" s="6" t="str">
        <f>VLOOKUP(B89,Sheet3!$B$2:$E$311,3,)</f>
        <v>BAHAN BAKU LUUCA</v>
      </c>
      <c r="F89" s="6" t="str">
        <f>VLOOKUP(B89,Sheet3!$B$2:$E$311,4,)</f>
        <v>GR</v>
      </c>
      <c r="G89" s="28" t="s">
        <v>937</v>
      </c>
      <c r="H89" s="28" t="s">
        <v>792</v>
      </c>
      <c r="I89" s="28" t="s">
        <v>541</v>
      </c>
      <c r="J89" s="20" t="s">
        <v>661</v>
      </c>
    </row>
    <row r="90" ht="15.75" customHeight="1">
      <c r="A90" s="36"/>
      <c r="B90" s="27" t="s">
        <v>53</v>
      </c>
      <c r="C90" s="6"/>
      <c r="D90" s="6"/>
      <c r="E90" s="6" t="str">
        <f>VLOOKUP(B90,Sheet3!$B$2:$E$311,3,)</f>
        <v>BAHAN BAKU LUUCA</v>
      </c>
      <c r="F90" s="6" t="str">
        <f>VLOOKUP(B90,Sheet3!$B$2:$E$311,4,)</f>
        <v>GR</v>
      </c>
      <c r="G90" s="28" t="s">
        <v>939</v>
      </c>
      <c r="H90" s="28" t="s">
        <v>793</v>
      </c>
      <c r="I90" s="28" t="s">
        <v>541</v>
      </c>
      <c r="J90" s="20" t="s">
        <v>661</v>
      </c>
    </row>
    <row r="91" ht="15.75" customHeight="1">
      <c r="A91" s="36"/>
      <c r="B91" s="27" t="s">
        <v>33</v>
      </c>
      <c r="C91" s="6"/>
      <c r="D91" s="6"/>
      <c r="E91" s="6" t="str">
        <f>VLOOKUP(B91,Sheet3!$B$2:$E$311,3,)</f>
        <v>BAHAN BAKU LUUCA</v>
      </c>
      <c r="F91" s="6" t="str">
        <f>VLOOKUP(B91,Sheet3!$B$2:$E$311,4,)</f>
        <v>GR</v>
      </c>
      <c r="G91" s="28" t="s">
        <v>942</v>
      </c>
      <c r="H91" s="28" t="s">
        <v>703</v>
      </c>
      <c r="I91" s="28" t="s">
        <v>522</v>
      </c>
      <c r="J91" s="20" t="s">
        <v>661</v>
      </c>
    </row>
    <row r="92" ht="15.75" customHeight="1">
      <c r="A92" s="36">
        <v>46190.0</v>
      </c>
      <c r="B92" s="27" t="s">
        <v>53</v>
      </c>
      <c r="C92" s="6"/>
      <c r="D92" s="6"/>
      <c r="E92" s="6" t="str">
        <f>VLOOKUP(B92,Sheet3!$B$2:$E$311,3,)</f>
        <v>BAHAN BAKU LUUCA</v>
      </c>
      <c r="F92" s="6" t="str">
        <f>VLOOKUP(B92,Sheet3!$B$2:$E$311,4,)</f>
        <v>GR</v>
      </c>
      <c r="G92" s="28" t="s">
        <v>944</v>
      </c>
      <c r="H92" s="28" t="s">
        <v>793</v>
      </c>
      <c r="I92" s="28" t="s">
        <v>561</v>
      </c>
      <c r="J92" s="20" t="s">
        <v>661</v>
      </c>
    </row>
    <row r="93" ht="15.75" customHeight="1">
      <c r="A93" s="36"/>
      <c r="B93" s="27" t="s">
        <v>30</v>
      </c>
      <c r="C93" s="6"/>
      <c r="D93" s="6"/>
      <c r="E93" s="6" t="str">
        <f>VLOOKUP(B93,Sheet3!$B$2:$E$311,3,)</f>
        <v>BAHAN BAKU LUUCA</v>
      </c>
      <c r="F93" s="27" t="s">
        <v>37</v>
      </c>
      <c r="G93" s="28">
        <v>2.0</v>
      </c>
      <c r="H93" s="28" t="s">
        <v>528</v>
      </c>
      <c r="I93" s="28" t="s">
        <v>595</v>
      </c>
      <c r="J93" s="20" t="s">
        <v>661</v>
      </c>
    </row>
    <row r="94" ht="15.75" customHeight="1">
      <c r="A94" s="36"/>
      <c r="B94" s="27" t="s">
        <v>108</v>
      </c>
      <c r="C94" s="6"/>
      <c r="D94" s="6"/>
      <c r="E94" s="6" t="str">
        <f>VLOOKUP(B94,Sheet3!$B$2:$E$311,3,)</f>
        <v>BAHAN BAKU LUUCA</v>
      </c>
      <c r="F94" s="6" t="str">
        <f>VLOOKUP(B94,Sheet3!$B$2:$E$311,4,)</f>
        <v>GR</v>
      </c>
      <c r="G94" s="28" t="s">
        <v>946</v>
      </c>
      <c r="H94" s="28" t="s">
        <v>496</v>
      </c>
      <c r="I94" s="28" t="s">
        <v>522</v>
      </c>
      <c r="J94" s="20" t="s">
        <v>661</v>
      </c>
    </row>
    <row r="95" ht="15.75" customHeight="1">
      <c r="A95" s="36"/>
      <c r="B95" s="27" t="s">
        <v>109</v>
      </c>
      <c r="C95" s="6"/>
      <c r="D95" s="6"/>
      <c r="E95" s="6" t="str">
        <f>VLOOKUP(B95,Sheet3!$B$2:$E$311,3,)</f>
        <v>BAHAN BAKU LUUCA</v>
      </c>
      <c r="F95" s="6" t="str">
        <f>VLOOKUP(B95,Sheet3!$B$2:$E$311,4,)</f>
        <v>GR</v>
      </c>
      <c r="G95" s="28">
        <v>100.0</v>
      </c>
      <c r="H95" s="28" t="s">
        <v>496</v>
      </c>
      <c r="I95" s="28" t="s">
        <v>522</v>
      </c>
      <c r="J95" s="20" t="s">
        <v>661</v>
      </c>
    </row>
    <row r="96" ht="15.75" customHeight="1">
      <c r="A96" s="36"/>
      <c r="B96" s="27" t="s">
        <v>109</v>
      </c>
      <c r="C96" s="6"/>
      <c r="D96" s="6"/>
      <c r="E96" s="6" t="str">
        <f>VLOOKUP(B96,Sheet3!$B$2:$E$311,3,)</f>
        <v>BAHAN BAKU LUUCA</v>
      </c>
      <c r="F96" s="6" t="str">
        <f>VLOOKUP(B96,Sheet3!$B$2:$E$311,4,)</f>
        <v>GR</v>
      </c>
      <c r="G96" s="28" t="s">
        <v>948</v>
      </c>
      <c r="H96" s="28" t="s">
        <v>826</v>
      </c>
      <c r="I96" s="28" t="s">
        <v>522</v>
      </c>
      <c r="J96" s="20" t="s">
        <v>661</v>
      </c>
    </row>
    <row r="97" ht="15.75" customHeight="1">
      <c r="A97" s="36"/>
      <c r="B97" s="27" t="s">
        <v>34</v>
      </c>
      <c r="C97" s="6"/>
      <c r="D97" s="6"/>
      <c r="E97" s="6" t="str">
        <f>VLOOKUP(B97,Sheet3!$B$2:$E$311,3,)</f>
        <v>BAHAN BAKU LUUCA</v>
      </c>
      <c r="F97" s="6" t="str">
        <f>VLOOKUP(B97,Sheet3!$B$2:$E$311,4,)</f>
        <v>GR</v>
      </c>
      <c r="G97" s="28" t="s">
        <v>949</v>
      </c>
      <c r="H97" s="28" t="s">
        <v>703</v>
      </c>
      <c r="I97" s="28" t="s">
        <v>522</v>
      </c>
      <c r="J97" s="20" t="s">
        <v>661</v>
      </c>
    </row>
    <row r="98" ht="15.75" customHeight="1">
      <c r="A98" s="36"/>
      <c r="B98" s="27" t="s">
        <v>33</v>
      </c>
      <c r="C98" s="6"/>
      <c r="D98" s="6"/>
      <c r="E98" s="6" t="str">
        <f>VLOOKUP(B98,Sheet3!$B$2:$E$311,3,)</f>
        <v>BAHAN BAKU LUUCA</v>
      </c>
      <c r="F98" s="6" t="str">
        <f>VLOOKUP(B98,Sheet3!$B$2:$E$311,4,)</f>
        <v>GR</v>
      </c>
      <c r="G98" s="28">
        <v>619.0</v>
      </c>
      <c r="H98" s="28" t="s">
        <v>703</v>
      </c>
      <c r="I98" s="28" t="s">
        <v>522</v>
      </c>
      <c r="J98" s="20" t="s">
        <v>661</v>
      </c>
    </row>
    <row r="99" ht="15.75" customHeight="1">
      <c r="A99" s="18" t="s">
        <v>950</v>
      </c>
      <c r="B99" s="27" t="s">
        <v>34</v>
      </c>
      <c r="C99" s="6"/>
      <c r="D99" s="6"/>
      <c r="E99" s="6" t="str">
        <f>VLOOKUP(B99,Sheet3!$B$2:$E$311,3,)</f>
        <v>BAHAN BAKU LUUCA</v>
      </c>
      <c r="F99" s="6" t="str">
        <f>VLOOKUP(B99,Sheet3!$B$2:$E$311,4,)</f>
        <v>GR</v>
      </c>
      <c r="G99" s="28">
        <v>1044.0</v>
      </c>
      <c r="H99" s="28" t="s">
        <v>703</v>
      </c>
      <c r="I99" s="28" t="s">
        <v>561</v>
      </c>
      <c r="J99" s="20" t="s">
        <v>661</v>
      </c>
    </row>
    <row r="100" ht="15.75" customHeight="1">
      <c r="A100" s="36"/>
      <c r="B100" s="27" t="s">
        <v>53</v>
      </c>
      <c r="C100" s="6"/>
      <c r="D100" s="6"/>
      <c r="E100" s="6" t="str">
        <f>VLOOKUP(B100,Sheet3!$B$2:$E$311,3,)</f>
        <v>BAHAN BAKU LUUCA</v>
      </c>
      <c r="F100" s="6" t="str">
        <f>VLOOKUP(B100,Sheet3!$B$2:$E$311,4,)</f>
        <v>GR</v>
      </c>
      <c r="G100" s="28" t="s">
        <v>953</v>
      </c>
      <c r="H100" s="28" t="s">
        <v>793</v>
      </c>
      <c r="I100" s="28" t="s">
        <v>561</v>
      </c>
      <c r="J100" s="20" t="s">
        <v>661</v>
      </c>
    </row>
    <row r="101" ht="15.75" customHeight="1">
      <c r="A101" s="36"/>
      <c r="B101" s="27" t="s">
        <v>64</v>
      </c>
      <c r="C101" s="6"/>
      <c r="D101" s="6"/>
      <c r="E101" s="6" t="str">
        <f>VLOOKUP(B101,Sheet3!$B$2:$E$311,3,)</f>
        <v>BAHAN BAKU LUUCA</v>
      </c>
      <c r="F101" s="6" t="str">
        <f>VLOOKUP(B101,Sheet3!$B$2:$E$311,4,)</f>
        <v>GR</v>
      </c>
      <c r="G101" s="28" t="s">
        <v>955</v>
      </c>
      <c r="H101" s="28" t="s">
        <v>956</v>
      </c>
      <c r="I101" s="28" t="s">
        <v>561</v>
      </c>
      <c r="J101" s="20" t="s">
        <v>661</v>
      </c>
    </row>
    <row r="102" ht="15.75" customHeight="1">
      <c r="A102" s="18" t="s">
        <v>957</v>
      </c>
      <c r="B102" s="27" t="s">
        <v>108</v>
      </c>
      <c r="C102" s="6"/>
      <c r="D102" s="6"/>
      <c r="E102" s="6" t="str">
        <f>VLOOKUP(B102,Sheet3!$B$2:$E$311,3,)</f>
        <v>BAHAN BAKU LUUCA</v>
      </c>
      <c r="F102" s="6" t="str">
        <f>VLOOKUP(B102,Sheet3!$B$2:$E$311,4,)</f>
        <v>GR</v>
      </c>
      <c r="G102" s="28" t="s">
        <v>959</v>
      </c>
      <c r="H102" s="28" t="s">
        <v>792</v>
      </c>
      <c r="I102" s="28" t="s">
        <v>541</v>
      </c>
      <c r="J102" s="20" t="s">
        <v>661</v>
      </c>
    </row>
    <row r="103" ht="15.75" customHeight="1">
      <c r="A103" s="18"/>
      <c r="B103" s="27" t="s">
        <v>53</v>
      </c>
      <c r="C103" s="6"/>
      <c r="D103" s="6"/>
      <c r="E103" s="6" t="str">
        <f>VLOOKUP(B103,Sheet3!$B$2:$E$311,3,)</f>
        <v>BAHAN BAKU LUUCA</v>
      </c>
      <c r="F103" s="6" t="str">
        <f>VLOOKUP(B103,Sheet3!$B$2:$E$311,4,)</f>
        <v>GR</v>
      </c>
      <c r="G103" s="28" t="s">
        <v>757</v>
      </c>
      <c r="H103" s="28" t="s">
        <v>793</v>
      </c>
      <c r="I103" s="28" t="s">
        <v>541</v>
      </c>
      <c r="J103" s="20" t="s">
        <v>661</v>
      </c>
    </row>
    <row r="104" ht="15.75" customHeight="1">
      <c r="A104" s="36"/>
      <c r="B104" s="27" t="s">
        <v>34</v>
      </c>
      <c r="C104" s="6"/>
      <c r="D104" s="6"/>
      <c r="E104" s="6" t="str">
        <f>VLOOKUP(B104,Sheet3!$B$2:$E$311,3,)</f>
        <v>BAHAN BAKU LUUCA</v>
      </c>
      <c r="F104" s="6" t="str">
        <f>VLOOKUP(B104,Sheet3!$B$2:$E$311,4,)</f>
        <v>GR</v>
      </c>
      <c r="G104" s="28">
        <v>615.0</v>
      </c>
      <c r="H104" s="28" t="s">
        <v>703</v>
      </c>
      <c r="I104" s="28" t="s">
        <v>541</v>
      </c>
      <c r="J104" s="20" t="s">
        <v>661</v>
      </c>
    </row>
    <row r="105" ht="15.75" customHeight="1">
      <c r="A105" s="36"/>
      <c r="B105" s="27" t="s">
        <v>108</v>
      </c>
      <c r="C105" s="6"/>
      <c r="D105" s="6"/>
      <c r="E105" s="6" t="str">
        <f>VLOOKUP(B105,Sheet3!$B$2:$E$311,3,)</f>
        <v>BAHAN BAKU LUUCA</v>
      </c>
      <c r="F105" s="6" t="str">
        <f>VLOOKUP(B105,Sheet3!$B$2:$E$311,4,)</f>
        <v>GR</v>
      </c>
      <c r="G105" s="28" t="s">
        <v>962</v>
      </c>
      <c r="H105" s="28" t="s">
        <v>792</v>
      </c>
      <c r="I105" s="28" t="s">
        <v>553</v>
      </c>
      <c r="J105" s="20" t="s">
        <v>661</v>
      </c>
    </row>
    <row r="106" ht="15.75" customHeight="1">
      <c r="A106" s="36"/>
      <c r="B106" s="27" t="s">
        <v>34</v>
      </c>
      <c r="C106" s="6"/>
      <c r="D106" s="6"/>
      <c r="E106" s="6" t="str">
        <f>VLOOKUP(B106,Sheet3!$B$2:$E$311,3,)</f>
        <v>BAHAN BAKU LUUCA</v>
      </c>
      <c r="F106" s="6" t="str">
        <f>VLOOKUP(B106,Sheet3!$B$2:$E$311,4,)</f>
        <v>GR</v>
      </c>
      <c r="G106" s="28">
        <v>330.0</v>
      </c>
      <c r="H106" s="28" t="s">
        <v>703</v>
      </c>
      <c r="I106" s="28" t="s">
        <v>541</v>
      </c>
      <c r="J106" s="20" t="s">
        <v>661</v>
      </c>
    </row>
    <row r="107" ht="15.75" customHeight="1">
      <c r="A107" s="36"/>
      <c r="B107" s="18" t="s">
        <v>570</v>
      </c>
      <c r="C107" s="6"/>
      <c r="D107" s="6"/>
      <c r="E107" s="27" t="s">
        <v>16</v>
      </c>
      <c r="F107" s="27" t="s">
        <v>816</v>
      </c>
      <c r="G107" s="28" t="s">
        <v>963</v>
      </c>
      <c r="H107" s="28" t="s">
        <v>964</v>
      </c>
      <c r="I107" s="28" t="s">
        <v>615</v>
      </c>
      <c r="J107" s="20" t="s">
        <v>661</v>
      </c>
    </row>
    <row r="108" ht="15.75" customHeight="1">
      <c r="A108" s="18"/>
      <c r="B108" s="8" t="s">
        <v>514</v>
      </c>
      <c r="C108" s="6"/>
      <c r="D108" s="6"/>
      <c r="E108" s="27" t="s">
        <v>16</v>
      </c>
      <c r="F108" s="27" t="s">
        <v>17</v>
      </c>
      <c r="G108" s="28">
        <v>1460.0</v>
      </c>
      <c r="H108" s="28" t="s">
        <v>529</v>
      </c>
      <c r="I108" s="28" t="s">
        <v>522</v>
      </c>
      <c r="J108" s="20" t="s">
        <v>661</v>
      </c>
    </row>
    <row r="109" ht="15.75" customHeight="1">
      <c r="A109" s="36"/>
      <c r="B109" s="27" t="s">
        <v>108</v>
      </c>
      <c r="C109" s="6"/>
      <c r="D109" s="6"/>
      <c r="E109" s="6" t="str">
        <f>VLOOKUP(B109,Sheet3!$B$2:$E$311,3,)</f>
        <v>BAHAN BAKU LUUCA</v>
      </c>
      <c r="F109" s="6" t="str">
        <f>VLOOKUP(B109,Sheet3!$B$2:$E$311,4,)</f>
        <v>GR</v>
      </c>
      <c r="G109" s="28">
        <v>15.4</v>
      </c>
      <c r="H109" s="28" t="s">
        <v>496</v>
      </c>
      <c r="I109" s="28" t="s">
        <v>522</v>
      </c>
      <c r="J109" s="20" t="s">
        <v>661</v>
      </c>
    </row>
    <row r="110" ht="15.75" customHeight="1">
      <c r="A110" s="26">
        <v>46193.0</v>
      </c>
      <c r="B110" s="27" t="s">
        <v>30</v>
      </c>
      <c r="C110" s="6"/>
      <c r="D110" s="6"/>
      <c r="E110" s="6" t="str">
        <f>VLOOKUP(B110,Sheet3!$B$2:$E$311,3,)</f>
        <v>BAHAN BAKU LUUCA</v>
      </c>
      <c r="F110" s="6" t="str">
        <f>VLOOKUP(B110,Sheet3!$B$2:$E$311,4,)</f>
        <v>GR</v>
      </c>
      <c r="G110" s="28">
        <v>8.0</v>
      </c>
      <c r="H110" s="28" t="s">
        <v>528</v>
      </c>
      <c r="I110" s="28" t="s">
        <v>522</v>
      </c>
      <c r="J110" s="20" t="s">
        <v>661</v>
      </c>
    </row>
    <row r="111" ht="15.75" customHeight="1">
      <c r="A111" s="23"/>
      <c r="B111" s="27" t="s">
        <v>69</v>
      </c>
      <c r="C111" s="6"/>
      <c r="D111" s="6"/>
      <c r="E111" s="6" t="str">
        <f>VLOOKUP(B111,Sheet3!$B$2:$E$311,3,)</f>
        <v>BAHAN BAKU LUUCA</v>
      </c>
      <c r="F111" s="6" t="str">
        <f>VLOOKUP(B111,Sheet3!$B$2:$E$311,4,)</f>
        <v>GR</v>
      </c>
      <c r="G111" s="28">
        <v>4.0</v>
      </c>
      <c r="H111" s="28" t="s">
        <v>528</v>
      </c>
      <c r="I111" s="28" t="s">
        <v>522</v>
      </c>
      <c r="J111" s="20" t="s">
        <v>661</v>
      </c>
    </row>
    <row r="112" ht="15.75" customHeight="1">
      <c r="A112" s="23"/>
      <c r="B112" s="27" t="s">
        <v>33</v>
      </c>
      <c r="C112" s="6"/>
      <c r="D112" s="6"/>
      <c r="E112" s="6" t="str">
        <f>VLOOKUP(B112,Sheet3!$B$2:$E$311,3,)</f>
        <v>BAHAN BAKU LUUCA</v>
      </c>
      <c r="F112" s="6" t="str">
        <f>VLOOKUP(B112,Sheet3!$B$2:$E$311,4,)</f>
        <v>GR</v>
      </c>
      <c r="G112" s="28">
        <v>541.0</v>
      </c>
      <c r="H112" s="28" t="s">
        <v>703</v>
      </c>
      <c r="I112" s="28" t="s">
        <v>522</v>
      </c>
      <c r="J112" s="20" t="s">
        <v>661</v>
      </c>
    </row>
    <row r="113" ht="15.75" customHeight="1">
      <c r="A113" s="23"/>
      <c r="B113" s="27" t="s">
        <v>34</v>
      </c>
      <c r="C113" s="6"/>
      <c r="D113" s="6"/>
      <c r="E113" s="6" t="str">
        <f>VLOOKUP(B113,Sheet3!$B$2:$E$311,3,)</f>
        <v>BAHAN BAKU LUUCA</v>
      </c>
      <c r="F113" s="6" t="str">
        <f>VLOOKUP(B113,Sheet3!$B$2:$E$311,4,)</f>
        <v>GR</v>
      </c>
      <c r="G113" s="28">
        <v>1257.0</v>
      </c>
      <c r="H113" s="28" t="s">
        <v>703</v>
      </c>
      <c r="I113" s="28" t="s">
        <v>522</v>
      </c>
      <c r="J113" s="20" t="s">
        <v>661</v>
      </c>
    </row>
    <row r="114" ht="15.75" customHeight="1">
      <c r="A114" s="23"/>
      <c r="B114" s="27" t="s">
        <v>33</v>
      </c>
      <c r="C114" s="6"/>
      <c r="D114" s="6"/>
      <c r="E114" s="6" t="str">
        <f>VLOOKUP(B114,Sheet3!$B$2:$E$311,3,)</f>
        <v>BAHAN BAKU LUUCA</v>
      </c>
      <c r="F114" s="6" t="str">
        <f>VLOOKUP(B114,Sheet3!$B$2:$E$311,4,)</f>
        <v>GR</v>
      </c>
      <c r="G114" s="28" t="s">
        <v>967</v>
      </c>
      <c r="H114" s="28" t="s">
        <v>591</v>
      </c>
      <c r="I114" s="28" t="s">
        <v>553</v>
      </c>
      <c r="J114" s="20" t="s">
        <v>661</v>
      </c>
    </row>
    <row r="115" ht="15.75" customHeight="1">
      <c r="A115" s="23"/>
      <c r="B115" s="27" t="s">
        <v>108</v>
      </c>
      <c r="C115" s="6"/>
      <c r="D115" s="6"/>
      <c r="E115" s="6" t="str">
        <f>VLOOKUP(B115,Sheet3!$B$2:$E$311,3,)</f>
        <v>BAHAN BAKU LUUCA</v>
      </c>
      <c r="F115" s="6" t="str">
        <f>VLOOKUP(B115,Sheet3!$B$2:$E$311,4,)</f>
        <v>GR</v>
      </c>
      <c r="G115" s="28">
        <v>11.0</v>
      </c>
      <c r="H115" s="28" t="s">
        <v>792</v>
      </c>
      <c r="I115" s="28" t="s">
        <v>553</v>
      </c>
      <c r="J115" s="20" t="s">
        <v>661</v>
      </c>
    </row>
    <row r="116" ht="15.75" customHeight="1">
      <c r="A116" s="23"/>
      <c r="B116" s="27" t="s">
        <v>53</v>
      </c>
      <c r="C116" s="6"/>
      <c r="D116" s="6"/>
      <c r="E116" s="6" t="str">
        <f>VLOOKUP(B116,Sheet3!$B$2:$E$311,3,)</f>
        <v>BAHAN BAKU LUUCA</v>
      </c>
      <c r="F116" s="6" t="str">
        <f>VLOOKUP(B116,Sheet3!$B$2:$E$311,4,)</f>
        <v>GR</v>
      </c>
      <c r="G116" s="28" t="s">
        <v>969</v>
      </c>
      <c r="H116" s="28" t="s">
        <v>793</v>
      </c>
      <c r="I116" s="28" t="s">
        <v>553</v>
      </c>
      <c r="J116" s="20" t="s">
        <v>661</v>
      </c>
    </row>
    <row r="117" ht="15.75" customHeight="1">
      <c r="A117" s="23"/>
      <c r="B117" s="27" t="s">
        <v>53</v>
      </c>
      <c r="C117" s="6"/>
      <c r="D117" s="6"/>
      <c r="E117" s="6" t="str">
        <f>VLOOKUP(B117,Sheet3!$B$2:$E$311,3,)</f>
        <v>BAHAN BAKU LUUCA</v>
      </c>
      <c r="F117" s="6" t="str">
        <f>VLOOKUP(B117,Sheet3!$B$2:$E$311,4,)</f>
        <v>GR</v>
      </c>
      <c r="G117" s="28" t="s">
        <v>739</v>
      </c>
      <c r="H117" s="28" t="s">
        <v>496</v>
      </c>
      <c r="I117" s="28" t="s">
        <v>541</v>
      </c>
      <c r="J117" s="20" t="s">
        <v>661</v>
      </c>
    </row>
    <row r="118" ht="15.75" customHeight="1">
      <c r="A118" s="23"/>
      <c r="B118" s="27" t="s">
        <v>53</v>
      </c>
      <c r="C118" s="6"/>
      <c r="D118" s="6"/>
      <c r="E118" s="6" t="str">
        <f>VLOOKUP(B118,Sheet3!$B$2:$E$311,3,)</f>
        <v>BAHAN BAKU LUUCA</v>
      </c>
      <c r="F118" s="6" t="str">
        <f>VLOOKUP(B118,Sheet3!$B$2:$E$311,4,)</f>
        <v>GR</v>
      </c>
      <c r="G118" s="28">
        <v>62.0</v>
      </c>
      <c r="H118" s="28" t="s">
        <v>793</v>
      </c>
      <c r="I118" s="28" t="s">
        <v>541</v>
      </c>
      <c r="J118" s="20" t="s">
        <v>661</v>
      </c>
    </row>
    <row r="119" ht="15.75" customHeight="1">
      <c r="A119" s="23"/>
      <c r="B119" s="27" t="s">
        <v>53</v>
      </c>
      <c r="C119" s="6"/>
      <c r="D119" s="6"/>
      <c r="E119" s="6" t="str">
        <f>VLOOKUP(B119,Sheet3!$B$2:$E$311,3,)</f>
        <v>BAHAN BAKU LUUCA</v>
      </c>
      <c r="F119" s="6" t="str">
        <f>VLOOKUP(B119,Sheet3!$B$2:$E$311,4,)</f>
        <v>GR</v>
      </c>
      <c r="G119" s="28" t="s">
        <v>972</v>
      </c>
      <c r="H119" s="28" t="s">
        <v>496</v>
      </c>
      <c r="I119" s="28" t="s">
        <v>541</v>
      </c>
      <c r="J119" s="20" t="s">
        <v>661</v>
      </c>
    </row>
    <row r="120" ht="15.75" customHeight="1">
      <c r="A120" s="29"/>
      <c r="B120" s="27" t="s">
        <v>108</v>
      </c>
      <c r="C120" s="6"/>
      <c r="D120" s="6"/>
      <c r="E120" s="6" t="str">
        <f>VLOOKUP(B120,Sheet3!$B$2:$E$311,3,)</f>
        <v>BAHAN BAKU LUUCA</v>
      </c>
      <c r="F120" s="6" t="str">
        <f>VLOOKUP(B120,Sheet3!$B$2:$E$311,4,)</f>
        <v>GR</v>
      </c>
      <c r="G120" s="28">
        <v>16.0</v>
      </c>
      <c r="H120" s="28" t="s">
        <v>792</v>
      </c>
      <c r="I120" s="28" t="s">
        <v>615</v>
      </c>
      <c r="J120" s="20" t="s">
        <v>661</v>
      </c>
    </row>
    <row r="121" ht="15.75" customHeight="1">
      <c r="A121" s="23"/>
      <c r="B121" s="27" t="s">
        <v>108</v>
      </c>
      <c r="C121" s="6"/>
      <c r="D121" s="6"/>
      <c r="E121" s="6" t="str">
        <f>VLOOKUP(B121,Sheet3!$B$2:$E$311,3,)</f>
        <v>BAHAN BAKU LUUCA</v>
      </c>
      <c r="F121" s="6" t="str">
        <f>VLOOKUP(B121,Sheet3!$B$2:$E$311,4,)</f>
        <v>GR</v>
      </c>
      <c r="G121" s="28" t="s">
        <v>974</v>
      </c>
      <c r="H121" s="28" t="s">
        <v>496</v>
      </c>
      <c r="I121" s="28" t="s">
        <v>615</v>
      </c>
      <c r="J121" s="20" t="s">
        <v>661</v>
      </c>
    </row>
    <row r="122" ht="15.75" customHeight="1">
      <c r="A122" s="23"/>
      <c r="B122" s="27" t="s">
        <v>53</v>
      </c>
      <c r="C122" s="6"/>
      <c r="D122" s="6"/>
      <c r="E122" s="6" t="str">
        <f>VLOOKUP(B122,Sheet3!$B$2:$E$311,3,)</f>
        <v>BAHAN BAKU LUUCA</v>
      </c>
      <c r="F122" s="6" t="str">
        <f>VLOOKUP(B122,Sheet3!$B$2:$E$311,4,)</f>
        <v>GR</v>
      </c>
      <c r="G122" s="28">
        <v>71.0</v>
      </c>
      <c r="H122" s="28" t="s">
        <v>496</v>
      </c>
      <c r="I122" s="28" t="s">
        <v>615</v>
      </c>
      <c r="J122" s="20" t="s">
        <v>661</v>
      </c>
    </row>
    <row r="123" ht="15.75" customHeight="1">
      <c r="A123" s="23"/>
      <c r="B123" s="27" t="s">
        <v>30</v>
      </c>
      <c r="C123" s="6"/>
      <c r="D123" s="6"/>
      <c r="E123" s="6" t="str">
        <f>VLOOKUP(B123,Sheet3!$B$2:$E$311,3,)</f>
        <v>BAHAN BAKU LUUCA</v>
      </c>
      <c r="F123" s="27" t="s">
        <v>37</v>
      </c>
      <c r="G123" s="28">
        <v>5.0</v>
      </c>
      <c r="H123" s="28" t="s">
        <v>528</v>
      </c>
      <c r="I123" s="28" t="s">
        <v>615</v>
      </c>
      <c r="J123" s="20" t="s">
        <v>661</v>
      </c>
    </row>
    <row r="124" ht="15.75" customHeight="1">
      <c r="A124" s="23"/>
      <c r="B124" s="27" t="s">
        <v>570</v>
      </c>
      <c r="C124" s="6"/>
      <c r="D124" s="6"/>
      <c r="E124" s="27" t="s">
        <v>16</v>
      </c>
      <c r="F124" s="27" t="s">
        <v>816</v>
      </c>
      <c r="G124" s="28" t="s">
        <v>976</v>
      </c>
      <c r="H124" s="28" t="s">
        <v>964</v>
      </c>
      <c r="I124" s="28" t="s">
        <v>615</v>
      </c>
      <c r="J124" s="20" t="s">
        <v>661</v>
      </c>
    </row>
    <row r="125" ht="15.75" customHeight="1">
      <c r="A125" s="27"/>
      <c r="B125" s="27" t="s">
        <v>36</v>
      </c>
      <c r="C125" s="6"/>
      <c r="D125" s="6"/>
      <c r="E125" s="6" t="str">
        <f>VLOOKUP(B125,Sheet3!$B$2:$E$311,3,)</f>
        <v>BAHAN BAKU LUUCA</v>
      </c>
      <c r="F125" s="6" t="str">
        <f>VLOOKUP(B125,Sheet3!$B$2:$E$311,4,)</f>
        <v>PCS</v>
      </c>
      <c r="G125" s="28">
        <v>1.0</v>
      </c>
      <c r="H125" s="28" t="s">
        <v>581</v>
      </c>
      <c r="I125" s="28" t="s">
        <v>615</v>
      </c>
      <c r="J125" s="20" t="s">
        <v>661</v>
      </c>
    </row>
    <row r="126" ht="15.75" customHeight="1">
      <c r="A126" s="26">
        <v>46194.0</v>
      </c>
      <c r="B126" s="27" t="s">
        <v>53</v>
      </c>
      <c r="C126" s="6"/>
      <c r="D126" s="6"/>
      <c r="E126" s="6" t="str">
        <f>VLOOKUP(B126,Sheet3!$B$2:$E$311,3,)</f>
        <v>BAHAN BAKU LUUCA</v>
      </c>
      <c r="F126" s="6" t="str">
        <f>VLOOKUP(B126,Sheet3!$B$2:$E$311,4,)</f>
        <v>GR</v>
      </c>
      <c r="G126" s="28" t="s">
        <v>977</v>
      </c>
      <c r="H126" s="28" t="s">
        <v>555</v>
      </c>
      <c r="I126" s="28" t="s">
        <v>561</v>
      </c>
      <c r="J126" s="20" t="s">
        <v>661</v>
      </c>
    </row>
    <row r="127" ht="15.75" customHeight="1">
      <c r="A127" s="23"/>
      <c r="B127" s="27" t="s">
        <v>53</v>
      </c>
      <c r="C127" s="6"/>
      <c r="D127" s="6"/>
      <c r="E127" s="6" t="str">
        <f>VLOOKUP(B127,Sheet3!$B$2:$E$311,3,)</f>
        <v>BAHAN BAKU LUUCA</v>
      </c>
      <c r="F127" s="6" t="str">
        <f>VLOOKUP(B127,Sheet3!$B$2:$E$311,4,)</f>
        <v>GR</v>
      </c>
      <c r="G127" s="28" t="s">
        <v>980</v>
      </c>
      <c r="H127" s="28" t="s">
        <v>793</v>
      </c>
      <c r="I127" s="28" t="s">
        <v>561</v>
      </c>
      <c r="J127" s="20" t="s">
        <v>661</v>
      </c>
    </row>
    <row r="128" ht="15.75" customHeight="1">
      <c r="A128" s="23"/>
      <c r="B128" s="27" t="s">
        <v>108</v>
      </c>
      <c r="C128" s="6"/>
      <c r="D128" s="6"/>
      <c r="E128" s="6" t="str">
        <f>VLOOKUP(B128,Sheet3!$B$2:$E$311,3,)</f>
        <v>BAHAN BAKU LUUCA</v>
      </c>
      <c r="F128" s="6" t="str">
        <f>VLOOKUP(B128,Sheet3!$B$2:$E$311,4,)</f>
        <v>GR</v>
      </c>
      <c r="G128" s="28" t="s">
        <v>903</v>
      </c>
      <c r="H128" s="28" t="s">
        <v>792</v>
      </c>
      <c r="I128" s="28" t="s">
        <v>561</v>
      </c>
      <c r="J128" s="20" t="s">
        <v>661</v>
      </c>
    </row>
    <row r="129" ht="15.75" customHeight="1">
      <c r="A129" s="23"/>
      <c r="B129" s="27" t="s">
        <v>108</v>
      </c>
      <c r="C129" s="6"/>
      <c r="D129" s="6"/>
      <c r="E129" s="6" t="str">
        <f>VLOOKUP(B129,Sheet3!$B$2:$E$311,3,)</f>
        <v>BAHAN BAKU LUUCA</v>
      </c>
      <c r="F129" s="6" t="str">
        <f>VLOOKUP(B129,Sheet3!$B$2:$E$311,4,)</f>
        <v>GR</v>
      </c>
      <c r="G129" s="28">
        <v>9.0</v>
      </c>
      <c r="H129" s="28" t="s">
        <v>792</v>
      </c>
      <c r="I129" s="28" t="s">
        <v>615</v>
      </c>
      <c r="J129" s="20" t="s">
        <v>661</v>
      </c>
    </row>
    <row r="130" ht="15.75" customHeight="1">
      <c r="A130" s="23"/>
      <c r="B130" s="27" t="s">
        <v>53</v>
      </c>
      <c r="C130" s="6"/>
      <c r="D130" s="6"/>
      <c r="E130" s="6" t="str">
        <f>VLOOKUP(B130,Sheet3!$B$2:$E$311,3,)</f>
        <v>BAHAN BAKU LUUCA</v>
      </c>
      <c r="F130" s="6" t="str">
        <f>VLOOKUP(B130,Sheet3!$B$2:$E$311,4,)</f>
        <v>GR</v>
      </c>
      <c r="G130" s="28" t="s">
        <v>984</v>
      </c>
      <c r="H130" s="28" t="s">
        <v>793</v>
      </c>
      <c r="I130" s="28" t="s">
        <v>615</v>
      </c>
      <c r="J130" s="20" t="s">
        <v>661</v>
      </c>
    </row>
    <row r="131" ht="15.75" customHeight="1">
      <c r="A131" s="23"/>
      <c r="B131" s="27" t="s">
        <v>109</v>
      </c>
      <c r="C131" s="6"/>
      <c r="D131" s="6"/>
      <c r="E131" s="6" t="str">
        <f>VLOOKUP(B131,Sheet3!$B$2:$E$311,3,)</f>
        <v>BAHAN BAKU LUUCA</v>
      </c>
      <c r="F131" s="6" t="str">
        <f>VLOOKUP(B131,Sheet3!$B$2:$E$311,4,)</f>
        <v>GR</v>
      </c>
      <c r="G131" s="28" t="s">
        <v>985</v>
      </c>
      <c r="H131" s="28" t="s">
        <v>986</v>
      </c>
      <c r="I131" s="28" t="s">
        <v>615</v>
      </c>
      <c r="J131" s="20" t="s">
        <v>661</v>
      </c>
    </row>
    <row r="132" ht="15.75" customHeight="1">
      <c r="A132" s="23"/>
      <c r="B132" s="27" t="s">
        <v>53</v>
      </c>
      <c r="C132" s="6"/>
      <c r="D132" s="6"/>
      <c r="E132" s="6" t="str">
        <f>VLOOKUP(B132,Sheet3!$B$2:$E$311,3,)</f>
        <v>BAHAN BAKU LUUCA</v>
      </c>
      <c r="F132" s="6" t="str">
        <f>VLOOKUP(B132,Sheet3!$B$2:$E$311,4,)</f>
        <v>GR</v>
      </c>
      <c r="G132" s="28" t="s">
        <v>925</v>
      </c>
      <c r="H132" s="28" t="s">
        <v>793</v>
      </c>
      <c r="I132" s="28" t="s">
        <v>615</v>
      </c>
      <c r="J132" s="20" t="s">
        <v>661</v>
      </c>
    </row>
    <row r="133" ht="15.75" customHeight="1">
      <c r="A133" s="26"/>
      <c r="B133" s="27" t="s">
        <v>53</v>
      </c>
      <c r="C133" s="6"/>
      <c r="D133" s="6"/>
      <c r="E133" s="6" t="str">
        <f>VLOOKUP(B133,Sheet3!$B$2:$E$311,3,)</f>
        <v>BAHAN BAKU LUUCA</v>
      </c>
      <c r="F133" s="6" t="str">
        <f>VLOOKUP(B133,Sheet3!$B$2:$E$311,4,)</f>
        <v>GR</v>
      </c>
      <c r="G133" s="28" t="s">
        <v>989</v>
      </c>
      <c r="H133" s="28" t="s">
        <v>793</v>
      </c>
      <c r="I133" s="28" t="s">
        <v>561</v>
      </c>
      <c r="J133" s="20" t="s">
        <v>661</v>
      </c>
    </row>
    <row r="134" ht="15.75" customHeight="1">
      <c r="A134" s="23"/>
      <c r="B134" s="27" t="s">
        <v>33</v>
      </c>
      <c r="C134" s="6"/>
      <c r="D134" s="6"/>
      <c r="E134" s="6" t="str">
        <f>VLOOKUP(B134,Sheet3!$B$2:$E$311,3,)</f>
        <v>BAHAN BAKU LUUCA</v>
      </c>
      <c r="F134" s="6" t="str">
        <f>VLOOKUP(B134,Sheet3!$B$2:$E$311,4,)</f>
        <v>GR</v>
      </c>
      <c r="G134" s="28">
        <v>908.0</v>
      </c>
      <c r="H134" s="28" t="s">
        <v>703</v>
      </c>
      <c r="I134" s="28" t="s">
        <v>561</v>
      </c>
      <c r="J134" s="20" t="s">
        <v>661</v>
      </c>
    </row>
    <row r="135" ht="15.75" customHeight="1">
      <c r="A135" s="23"/>
      <c r="B135" s="27" t="s">
        <v>34</v>
      </c>
      <c r="C135" s="6"/>
      <c r="D135" s="6"/>
      <c r="E135" s="6" t="str">
        <f>VLOOKUP(B135,Sheet3!$B$2:$E$311,3,)</f>
        <v>BAHAN BAKU LUUCA</v>
      </c>
      <c r="F135" s="6" t="str">
        <f>VLOOKUP(B135,Sheet3!$B$2:$E$311,4,)</f>
        <v>GR</v>
      </c>
      <c r="G135" s="28" t="s">
        <v>992</v>
      </c>
      <c r="H135" s="28" t="s">
        <v>703</v>
      </c>
      <c r="I135" s="28" t="s">
        <v>561</v>
      </c>
      <c r="J135" s="20" t="s">
        <v>661</v>
      </c>
    </row>
    <row r="136" ht="15.75" customHeight="1">
      <c r="A136" s="26">
        <v>46195.0</v>
      </c>
      <c r="B136" s="27" t="s">
        <v>108</v>
      </c>
      <c r="C136" s="6"/>
      <c r="D136" s="6"/>
      <c r="E136" s="6" t="str">
        <f>VLOOKUP(B136,Sheet3!$B$2:$E$311,3,)</f>
        <v>BAHAN BAKU LUUCA</v>
      </c>
      <c r="F136" s="6" t="str">
        <f>VLOOKUP(B136,Sheet3!$B$2:$E$311,4,)</f>
        <v>GR</v>
      </c>
      <c r="G136" s="28" t="s">
        <v>934</v>
      </c>
      <c r="H136" s="28" t="s">
        <v>797</v>
      </c>
      <c r="I136" s="28" t="s">
        <v>561</v>
      </c>
      <c r="J136" s="20" t="s">
        <v>661</v>
      </c>
    </row>
    <row r="137" ht="15.75" customHeight="1">
      <c r="A137" s="23"/>
      <c r="B137" s="27" t="s">
        <v>53</v>
      </c>
      <c r="C137" s="6"/>
      <c r="D137" s="6"/>
      <c r="E137" s="6" t="str">
        <f>VLOOKUP(B137,Sheet3!$B$2:$E$311,3,)</f>
        <v>BAHAN BAKU LUUCA</v>
      </c>
      <c r="F137" s="6" t="str">
        <f>VLOOKUP(B137,Sheet3!$B$2:$E$311,4,)</f>
        <v>GR</v>
      </c>
      <c r="G137" s="28" t="s">
        <v>993</v>
      </c>
      <c r="H137" s="28" t="s">
        <v>793</v>
      </c>
      <c r="I137" s="28" t="s">
        <v>595</v>
      </c>
      <c r="J137" s="20" t="s">
        <v>661</v>
      </c>
    </row>
    <row r="138" ht="15.75" customHeight="1">
      <c r="A138" s="23"/>
      <c r="B138" s="27" t="s">
        <v>53</v>
      </c>
      <c r="C138" s="6"/>
      <c r="D138" s="6"/>
      <c r="E138" s="6" t="str">
        <f>VLOOKUP(B138,Sheet3!$B$2:$E$311,3,)</f>
        <v>BAHAN BAKU LUUCA</v>
      </c>
      <c r="F138" s="6" t="str">
        <f>VLOOKUP(B138,Sheet3!$B$2:$E$311,4,)</f>
        <v>GR</v>
      </c>
      <c r="G138" s="28" t="s">
        <v>994</v>
      </c>
      <c r="H138" s="28" t="s">
        <v>496</v>
      </c>
      <c r="I138" s="28" t="s">
        <v>595</v>
      </c>
      <c r="J138" s="20" t="s">
        <v>661</v>
      </c>
    </row>
    <row r="139" ht="15.75" customHeight="1">
      <c r="A139" s="23"/>
      <c r="B139" s="27" t="s">
        <v>108</v>
      </c>
      <c r="C139" s="6"/>
      <c r="D139" s="6"/>
      <c r="E139" s="6" t="str">
        <f>VLOOKUP(B139,Sheet3!$B$2:$E$311,3,)</f>
        <v>BAHAN BAKU LUUCA</v>
      </c>
      <c r="F139" s="6" t="str">
        <f>VLOOKUP(B139,Sheet3!$B$2:$E$311,4,)</f>
        <v>GR</v>
      </c>
      <c r="G139" s="28" t="s">
        <v>995</v>
      </c>
      <c r="H139" s="28" t="s">
        <v>792</v>
      </c>
      <c r="I139" s="28" t="s">
        <v>595</v>
      </c>
      <c r="J139" s="20" t="s">
        <v>661</v>
      </c>
    </row>
    <row r="140" ht="15.75" customHeight="1">
      <c r="A140" s="23"/>
      <c r="B140" s="27" t="s">
        <v>34</v>
      </c>
      <c r="C140" s="6"/>
      <c r="D140" s="6"/>
      <c r="E140" s="6" t="str">
        <f>VLOOKUP(B140,Sheet3!$B$2:$E$311,3,)</f>
        <v>BAHAN BAKU LUUCA</v>
      </c>
      <c r="F140" s="6" t="str">
        <f>VLOOKUP(B140,Sheet3!$B$2:$E$311,4,)</f>
        <v>GR</v>
      </c>
      <c r="G140" s="28" t="s">
        <v>997</v>
      </c>
      <c r="H140" s="28" t="s">
        <v>703</v>
      </c>
      <c r="I140" s="28" t="s">
        <v>595</v>
      </c>
      <c r="J140" s="20" t="s">
        <v>661</v>
      </c>
    </row>
    <row r="141" ht="15.75" customHeight="1">
      <c r="A141" s="23"/>
      <c r="B141" s="27" t="s">
        <v>30</v>
      </c>
      <c r="C141" s="6"/>
      <c r="D141" s="6"/>
      <c r="E141" s="6" t="str">
        <f>VLOOKUP(B141,Sheet3!$B$2:$E$311,3,)</f>
        <v>BAHAN BAKU LUUCA</v>
      </c>
      <c r="F141" s="27" t="s">
        <v>37</v>
      </c>
      <c r="G141" s="28">
        <v>9.0</v>
      </c>
      <c r="H141" s="28" t="s">
        <v>528</v>
      </c>
      <c r="I141" s="28" t="s">
        <v>595</v>
      </c>
      <c r="J141" s="20" t="s">
        <v>661</v>
      </c>
    </row>
    <row r="142" ht="15.75" customHeight="1">
      <c r="A142" s="23"/>
      <c r="B142" s="27" t="s">
        <v>570</v>
      </c>
      <c r="C142" s="6"/>
      <c r="D142" s="6"/>
      <c r="E142" s="27" t="s">
        <v>16</v>
      </c>
      <c r="F142" s="27" t="s">
        <v>816</v>
      </c>
      <c r="G142" s="28" t="s">
        <v>998</v>
      </c>
      <c r="H142" s="28" t="s">
        <v>964</v>
      </c>
      <c r="I142" s="28" t="s">
        <v>595</v>
      </c>
      <c r="J142" s="20" t="s">
        <v>661</v>
      </c>
    </row>
    <row r="143" ht="15.75" customHeight="1">
      <c r="A143" s="23"/>
      <c r="B143" s="27" t="s">
        <v>36</v>
      </c>
      <c r="C143" s="6"/>
      <c r="D143" s="6"/>
      <c r="E143" s="6" t="str">
        <f>VLOOKUP(B143,Sheet3!$B$2:$E$311,3,)</f>
        <v>BAHAN BAKU LUUCA</v>
      </c>
      <c r="F143" s="6" t="str">
        <f>VLOOKUP(B143,Sheet3!$B$2:$E$311,4,)</f>
        <v>PCS</v>
      </c>
      <c r="G143" s="28">
        <v>2.0</v>
      </c>
      <c r="H143" s="28" t="s">
        <v>293</v>
      </c>
      <c r="I143" s="28" t="s">
        <v>522</v>
      </c>
      <c r="J143" s="20" t="s">
        <v>661</v>
      </c>
    </row>
    <row r="144" ht="15.75" customHeight="1">
      <c r="A144" s="23"/>
      <c r="B144" s="27" t="s">
        <v>109</v>
      </c>
      <c r="C144" s="6"/>
      <c r="D144" s="6"/>
      <c r="E144" s="6" t="str">
        <f>VLOOKUP(B144,Sheet3!$B$2:$E$311,3,)</f>
        <v>BAHAN BAKU LUUCA</v>
      </c>
      <c r="F144" s="6" t="str">
        <f>VLOOKUP(B144,Sheet3!$B$2:$E$311,4,)</f>
        <v>GR</v>
      </c>
      <c r="G144" s="28" t="s">
        <v>1000</v>
      </c>
      <c r="H144" s="28" t="s">
        <v>986</v>
      </c>
      <c r="I144" s="28" t="s">
        <v>522</v>
      </c>
      <c r="J144" s="20" t="s">
        <v>661</v>
      </c>
    </row>
    <row r="145" ht="15.75" customHeight="1">
      <c r="A145" s="26">
        <v>46196.0</v>
      </c>
      <c r="B145" s="27" t="s">
        <v>108</v>
      </c>
      <c r="C145" s="6"/>
      <c r="D145" s="6"/>
      <c r="E145" s="6" t="str">
        <f>VLOOKUP(B145,Sheet3!$B$2:$E$311,3,)</f>
        <v>BAHAN BAKU LUUCA</v>
      </c>
      <c r="F145" s="6" t="str">
        <f>VLOOKUP(B145,Sheet3!$B$2:$E$311,4,)</f>
        <v>GR</v>
      </c>
      <c r="G145" s="28" t="s">
        <v>1002</v>
      </c>
      <c r="H145" s="28" t="s">
        <v>792</v>
      </c>
      <c r="I145" s="28" t="s">
        <v>553</v>
      </c>
      <c r="J145" s="20" t="s">
        <v>661</v>
      </c>
    </row>
    <row r="146" ht="15.75" customHeight="1">
      <c r="A146" s="26"/>
      <c r="B146" s="27" t="s">
        <v>108</v>
      </c>
      <c r="C146" s="6"/>
      <c r="D146" s="6"/>
      <c r="E146" s="6" t="str">
        <f>VLOOKUP(B146,Sheet3!$B$2:$E$311,3,)</f>
        <v>BAHAN BAKU LUUCA</v>
      </c>
      <c r="F146" s="6" t="str">
        <f>VLOOKUP(B146,Sheet3!$B$2:$E$311,4,)</f>
        <v>GR</v>
      </c>
      <c r="G146" s="28">
        <v>37.0</v>
      </c>
      <c r="H146" s="28" t="s">
        <v>792</v>
      </c>
      <c r="I146" s="28" t="s">
        <v>522</v>
      </c>
      <c r="J146" s="20" t="s">
        <v>661</v>
      </c>
    </row>
    <row r="147" ht="15.75" customHeight="1">
      <c r="A147" s="23"/>
      <c r="B147" s="27" t="s">
        <v>33</v>
      </c>
      <c r="C147" s="6"/>
      <c r="D147" s="6"/>
      <c r="E147" s="6" t="str">
        <f>VLOOKUP(B147,Sheet3!$B$2:$E$311,3,)</f>
        <v>BAHAN BAKU LUUCA</v>
      </c>
      <c r="F147" s="6" t="str">
        <f>VLOOKUP(B147,Sheet3!$B$2:$E$311,4,)</f>
        <v>GR</v>
      </c>
      <c r="G147" s="28">
        <v>718.0</v>
      </c>
      <c r="H147" s="28" t="s">
        <v>703</v>
      </c>
      <c r="I147" s="28" t="s">
        <v>522</v>
      </c>
      <c r="J147" s="20" t="s">
        <v>661</v>
      </c>
    </row>
    <row r="148" ht="15.75" customHeight="1">
      <c r="A148" s="23"/>
      <c r="B148" s="27" t="s">
        <v>34</v>
      </c>
      <c r="C148" s="6"/>
      <c r="D148" s="6"/>
      <c r="E148" s="6" t="str">
        <f>VLOOKUP(B148,Sheet3!$B$2:$E$311,3,)</f>
        <v>BAHAN BAKU LUUCA</v>
      </c>
      <c r="F148" s="6" t="str">
        <f>VLOOKUP(B148,Sheet3!$B$2:$E$311,4,)</f>
        <v>GR</v>
      </c>
      <c r="G148" s="28">
        <v>746.5</v>
      </c>
      <c r="H148" s="28" t="s">
        <v>703</v>
      </c>
      <c r="I148" s="28" t="s">
        <v>522</v>
      </c>
      <c r="J148" s="20" t="s">
        <v>661</v>
      </c>
    </row>
    <row r="149" ht="15.75" customHeight="1">
      <c r="A149" s="23"/>
      <c r="B149" s="27" t="s">
        <v>108</v>
      </c>
      <c r="C149" s="6"/>
      <c r="D149" s="6"/>
      <c r="E149" s="6" t="str">
        <f>VLOOKUP(B149,Sheet3!$B$2:$E$311,3,)</f>
        <v>BAHAN BAKU LUUCA</v>
      </c>
      <c r="F149" s="6" t="str">
        <f>VLOOKUP(B149,Sheet3!$B$2:$E$311,4,)</f>
        <v>GR</v>
      </c>
      <c r="G149" s="28">
        <v>6.5</v>
      </c>
      <c r="H149" s="28" t="s">
        <v>792</v>
      </c>
      <c r="I149" s="28" t="s">
        <v>522</v>
      </c>
      <c r="J149" s="20" t="s">
        <v>661</v>
      </c>
    </row>
    <row r="150" ht="15.75" customHeight="1">
      <c r="A150" s="27" t="s">
        <v>1009</v>
      </c>
      <c r="B150" s="27" t="s">
        <v>109</v>
      </c>
      <c r="C150" s="6"/>
      <c r="D150" s="6"/>
      <c r="E150" s="6" t="str">
        <f>VLOOKUP(B150,Sheet3!$B$2:$E$311,3,)</f>
        <v>BAHAN BAKU LUUCA</v>
      </c>
      <c r="F150" s="6" t="str">
        <f>VLOOKUP(B150,Sheet3!$B$2:$E$311,4,)</f>
        <v>GR</v>
      </c>
      <c r="G150" s="28">
        <v>19.8</v>
      </c>
      <c r="H150" s="28" t="s">
        <v>656</v>
      </c>
      <c r="I150" s="28" t="s">
        <v>522</v>
      </c>
      <c r="J150" s="20" t="s">
        <v>661</v>
      </c>
    </row>
    <row r="151" ht="15.75" customHeight="1">
      <c r="A151" s="23"/>
      <c r="B151" s="27" t="s">
        <v>108</v>
      </c>
      <c r="C151" s="6"/>
      <c r="D151" s="6"/>
      <c r="E151" s="6" t="str">
        <f>VLOOKUP(B151,Sheet3!$B$2:$E$311,3,)</f>
        <v>BAHAN BAKU LUUCA</v>
      </c>
      <c r="F151" s="6" t="str">
        <f>VLOOKUP(B151,Sheet3!$B$2:$E$311,4,)</f>
        <v>GR</v>
      </c>
      <c r="G151" s="28">
        <v>11.0</v>
      </c>
      <c r="H151" s="28" t="s">
        <v>792</v>
      </c>
      <c r="I151" s="28" t="s">
        <v>522</v>
      </c>
      <c r="J151" s="20" t="s">
        <v>661</v>
      </c>
    </row>
    <row r="152" ht="15.75" customHeight="1">
      <c r="A152" s="23"/>
      <c r="B152" s="27" t="s">
        <v>53</v>
      </c>
      <c r="C152" s="6"/>
      <c r="D152" s="6"/>
      <c r="E152" s="6" t="str">
        <f>VLOOKUP(B156,Sheet3!$B$2:$E$311,3,)</f>
        <v>BAHAN BAKU LUUCA</v>
      </c>
      <c r="F152" s="6" t="str">
        <f>VLOOKUP(B156,Sheet3!$B$2:$E$311,4,)</f>
        <v>GR</v>
      </c>
      <c r="G152" s="54">
        <v>46196.0</v>
      </c>
      <c r="H152" s="28" t="s">
        <v>496</v>
      </c>
      <c r="I152" s="28" t="s">
        <v>522</v>
      </c>
      <c r="J152" s="20" t="s">
        <v>661</v>
      </c>
    </row>
    <row r="153" ht="15.75" customHeight="1">
      <c r="A153" s="23"/>
      <c r="B153" s="27" t="s">
        <v>33</v>
      </c>
      <c r="C153" s="6"/>
      <c r="D153" s="6"/>
      <c r="E153" s="55" t="str">
        <f>VLOOKUP(B153,Sheet3!$B$2:$E$311,3,)</f>
        <v>BAHAN BAKU LUUCA</v>
      </c>
      <c r="F153" s="55" t="str">
        <f>VLOOKUP(B153,Sheet3!$B$2:$E$311,4,)</f>
        <v>GR</v>
      </c>
      <c r="G153" s="28">
        <v>634.0</v>
      </c>
      <c r="H153" s="28" t="s">
        <v>703</v>
      </c>
      <c r="I153" s="28" t="s">
        <v>1010</v>
      </c>
      <c r="J153" s="20" t="s">
        <v>661</v>
      </c>
    </row>
    <row r="154" ht="15.75" customHeight="1">
      <c r="A154" s="23"/>
      <c r="B154" s="27" t="s">
        <v>181</v>
      </c>
      <c r="C154" s="6"/>
      <c r="D154" s="6"/>
      <c r="E154" s="55" t="str">
        <f>VLOOKUP(B154,Sheet3!$B$2:$E$311,3,)</f>
        <v>PRODUKSI STOK LUUCA</v>
      </c>
      <c r="F154" s="55" t="str">
        <f>VLOOKUP(B154,Sheet3!$B$2:$E$311,4,)</f>
        <v>GR</v>
      </c>
      <c r="G154" s="28">
        <v>1540.0</v>
      </c>
      <c r="H154" s="28" t="s">
        <v>1011</v>
      </c>
      <c r="I154" s="28" t="s">
        <v>522</v>
      </c>
      <c r="J154" s="20" t="s">
        <v>661</v>
      </c>
    </row>
    <row r="155" ht="15.75" customHeight="1">
      <c r="A155" s="23"/>
      <c r="B155" s="27" t="s">
        <v>34</v>
      </c>
      <c r="C155" s="6"/>
      <c r="D155" s="6"/>
      <c r="E155" s="55" t="str">
        <f>VLOOKUP(B155,Sheet3!$B$2:$E$311,3,)</f>
        <v>BAHAN BAKU LUUCA</v>
      </c>
      <c r="F155" s="55" t="str">
        <f>VLOOKUP(B155,Sheet3!$B$2:$E$311,4,)</f>
        <v>GR</v>
      </c>
      <c r="G155" s="28">
        <v>723.5</v>
      </c>
      <c r="H155" s="28" t="s">
        <v>703</v>
      </c>
      <c r="I155" s="28" t="s">
        <v>522</v>
      </c>
      <c r="J155" s="20" t="s">
        <v>661</v>
      </c>
    </row>
    <row r="156" ht="15.75" customHeight="1">
      <c r="A156" s="27" t="s">
        <v>1012</v>
      </c>
      <c r="B156" s="27" t="s">
        <v>53</v>
      </c>
      <c r="C156" s="6"/>
      <c r="D156" s="6"/>
      <c r="E156" s="6" t="str">
        <f>VLOOKUP(B156,Sheet3!$B$2:$E$311,3,)</f>
        <v>BAHAN BAKU LUUCA</v>
      </c>
      <c r="F156" s="56" t="str">
        <f>VLOOKUP(B156,Sheet3!$B$2:$E$311,4,)</f>
        <v>GR</v>
      </c>
      <c r="G156" s="28">
        <v>46.3</v>
      </c>
      <c r="H156" s="28" t="s">
        <v>793</v>
      </c>
      <c r="I156" s="28" t="s">
        <v>615</v>
      </c>
      <c r="J156" s="20" t="s">
        <v>661</v>
      </c>
    </row>
    <row r="157" ht="15.75" customHeight="1">
      <c r="A157" s="23"/>
      <c r="B157" s="27" t="s">
        <v>53</v>
      </c>
      <c r="C157" s="6"/>
      <c r="D157" s="6"/>
      <c r="E157" s="6" t="str">
        <f>VLOOKUP(B157,Sheet3!$B$2:$E$311,3,)</f>
        <v>BAHAN BAKU LUUCA</v>
      </c>
      <c r="F157" s="56" t="str">
        <f>VLOOKUP(B157,Sheet3!$B$2:$E$311,4,)</f>
        <v>GR</v>
      </c>
      <c r="G157" s="28">
        <v>86.5</v>
      </c>
      <c r="H157" s="28" t="s">
        <v>793</v>
      </c>
      <c r="I157" s="28" t="s">
        <v>595</v>
      </c>
      <c r="J157" s="20" t="s">
        <v>661</v>
      </c>
    </row>
    <row r="158" ht="15.75" customHeight="1">
      <c r="A158" s="27" t="s">
        <v>1013</v>
      </c>
      <c r="B158" s="27" t="s">
        <v>108</v>
      </c>
      <c r="C158" s="6"/>
      <c r="D158" s="6"/>
      <c r="E158" s="6" t="str">
        <f>VLOOKUP(B158,Sheet3!$B$2:$E$311,3,)</f>
        <v>BAHAN BAKU LUUCA</v>
      </c>
      <c r="F158" s="56" t="str">
        <f>VLOOKUP(B158,Sheet3!$B$2:$E$311,4,)</f>
        <v>GR</v>
      </c>
      <c r="G158" s="28">
        <v>39.7</v>
      </c>
      <c r="H158" s="28" t="s">
        <v>496</v>
      </c>
      <c r="I158" s="28" t="s">
        <v>595</v>
      </c>
      <c r="J158" s="20" t="s">
        <v>661</v>
      </c>
    </row>
    <row r="159" ht="15.75" customHeight="1">
      <c r="A159" s="18"/>
      <c r="B159" s="8" t="s">
        <v>514</v>
      </c>
      <c r="C159" s="6"/>
      <c r="D159" s="6"/>
      <c r="E159" s="27" t="s">
        <v>16</v>
      </c>
      <c r="F159" s="32" t="s">
        <v>17</v>
      </c>
      <c r="G159" s="28">
        <v>2877.0</v>
      </c>
      <c r="H159" s="28" t="s">
        <v>370</v>
      </c>
      <c r="I159" s="28" t="s">
        <v>615</v>
      </c>
      <c r="J159" s="20" t="s">
        <v>661</v>
      </c>
    </row>
    <row r="160" ht="15.75" customHeight="1">
      <c r="A160" s="27"/>
      <c r="B160" s="18" t="s">
        <v>570</v>
      </c>
      <c r="C160" s="6"/>
      <c r="D160" s="6"/>
      <c r="E160" s="27" t="s">
        <v>16</v>
      </c>
      <c r="F160" s="32" t="s">
        <v>816</v>
      </c>
      <c r="G160" s="28" t="s">
        <v>1014</v>
      </c>
      <c r="H160" s="28" t="s">
        <v>964</v>
      </c>
      <c r="I160" s="28" t="s">
        <v>615</v>
      </c>
      <c r="J160" s="20" t="s">
        <v>661</v>
      </c>
    </row>
    <row r="161" ht="15.75" customHeight="1">
      <c r="A161" s="26">
        <v>46200.0</v>
      </c>
      <c r="B161" s="27" t="s">
        <v>53</v>
      </c>
      <c r="C161" s="6"/>
      <c r="D161" s="6"/>
      <c r="E161" s="6" t="str">
        <f>VLOOKUP(B161,Sheet3!$B$2:$E$311,3,)</f>
        <v>BAHAN BAKU LUUCA</v>
      </c>
      <c r="F161" s="56" t="str">
        <f>VLOOKUP(B161,Sheet3!$B$2:$E$311,4,)</f>
        <v>GR</v>
      </c>
      <c r="G161" s="28" t="s">
        <v>1015</v>
      </c>
      <c r="H161" s="28" t="s">
        <v>793</v>
      </c>
      <c r="I161" s="28" t="s">
        <v>1016</v>
      </c>
      <c r="J161" s="20" t="s">
        <v>661</v>
      </c>
    </row>
    <row r="162" ht="15.75" customHeight="1">
      <c r="A162" s="23"/>
      <c r="B162" s="27" t="s">
        <v>109</v>
      </c>
      <c r="C162" s="6"/>
      <c r="D162" s="6"/>
      <c r="E162" s="6" t="str">
        <f>VLOOKUP(B162,Sheet3!$B$2:$E$311,3,)</f>
        <v>BAHAN BAKU LUUCA</v>
      </c>
      <c r="F162" s="56" t="str">
        <f>VLOOKUP(B162,Sheet3!$B$2:$E$311,4,)</f>
        <v>GR</v>
      </c>
      <c r="G162" s="28" t="s">
        <v>995</v>
      </c>
      <c r="H162" s="28" t="s">
        <v>656</v>
      </c>
      <c r="I162" s="28" t="s">
        <v>522</v>
      </c>
      <c r="J162" s="20" t="s">
        <v>661</v>
      </c>
    </row>
    <row r="163" ht="15.75" customHeight="1">
      <c r="A163" s="23"/>
      <c r="B163" s="27" t="s">
        <v>108</v>
      </c>
      <c r="C163" s="6"/>
      <c r="D163" s="6"/>
      <c r="E163" s="6" t="str">
        <f>VLOOKUP(B163,Sheet3!$B$2:$E$311,3,)</f>
        <v>BAHAN BAKU LUUCA</v>
      </c>
      <c r="F163" s="56" t="str">
        <f>VLOOKUP(B163,Sheet3!$B$2:$E$311,4,)</f>
        <v>GR</v>
      </c>
      <c r="G163" s="28" t="s">
        <v>580</v>
      </c>
      <c r="H163" s="28" t="s">
        <v>792</v>
      </c>
      <c r="I163" s="28" t="s">
        <v>522</v>
      </c>
      <c r="J163" s="20" t="s">
        <v>661</v>
      </c>
    </row>
    <row r="164" ht="15.75" customHeight="1">
      <c r="A164" s="23"/>
      <c r="B164" s="27" t="s">
        <v>108</v>
      </c>
      <c r="C164" s="6"/>
      <c r="D164" s="6"/>
      <c r="E164" s="6" t="str">
        <f>VLOOKUP(B164,Sheet3!$B$2:$E$311,3,)</f>
        <v>BAHAN BAKU LUUCA</v>
      </c>
      <c r="F164" s="56" t="str">
        <f>VLOOKUP(B164,Sheet3!$B$2:$E$311,4,)</f>
        <v>GR</v>
      </c>
      <c r="G164" s="28" t="s">
        <v>1017</v>
      </c>
      <c r="H164" s="28" t="s">
        <v>496</v>
      </c>
      <c r="I164" s="28" t="s">
        <v>522</v>
      </c>
      <c r="J164" s="20" t="s">
        <v>661</v>
      </c>
    </row>
    <row r="165" ht="15.75" customHeight="1">
      <c r="A165" s="23"/>
      <c r="B165" s="27" t="s">
        <v>33</v>
      </c>
      <c r="C165" s="6"/>
      <c r="D165" s="6"/>
      <c r="E165" s="6" t="str">
        <f>VLOOKUP(B165,Sheet3!$B$2:$E$311,3,)</f>
        <v>BAHAN BAKU LUUCA</v>
      </c>
      <c r="F165" s="56" t="str">
        <f>VLOOKUP(B165,Sheet3!$B$2:$E$311,4,)</f>
        <v>GR</v>
      </c>
      <c r="G165" s="28" t="s">
        <v>1018</v>
      </c>
      <c r="H165" s="28" t="s">
        <v>703</v>
      </c>
      <c r="I165" s="28" t="s">
        <v>522</v>
      </c>
      <c r="J165" s="20" t="s">
        <v>661</v>
      </c>
    </row>
    <row r="166" ht="15.75" customHeight="1">
      <c r="A166" s="23"/>
      <c r="B166" s="27" t="s">
        <v>53</v>
      </c>
      <c r="C166" s="6"/>
      <c r="D166" s="6"/>
      <c r="E166" s="6" t="str">
        <f>VLOOKUP(B166,Sheet3!$B$2:$E$311,3,)</f>
        <v>BAHAN BAKU LUUCA</v>
      </c>
      <c r="F166" s="56" t="str">
        <f>VLOOKUP(B166,Sheet3!$B$2:$E$311,4,)</f>
        <v>GR</v>
      </c>
      <c r="G166" s="28" t="s">
        <v>1019</v>
      </c>
      <c r="H166" s="28" t="s">
        <v>496</v>
      </c>
      <c r="I166" s="28" t="s">
        <v>522</v>
      </c>
      <c r="J166" s="20" t="s">
        <v>661</v>
      </c>
    </row>
    <row r="167" ht="15.75" customHeight="1">
      <c r="A167" s="23"/>
      <c r="B167" s="27" t="s">
        <v>34</v>
      </c>
      <c r="C167" s="6"/>
      <c r="D167" s="6"/>
      <c r="E167" s="6" t="str">
        <f>VLOOKUP(B167,Sheet3!$B$2:$E$311,3,)</f>
        <v>BAHAN BAKU LUUCA</v>
      </c>
      <c r="F167" s="56" t="str">
        <f>VLOOKUP(B167,Sheet3!$B$2:$E$311,4,)</f>
        <v>GR</v>
      </c>
      <c r="G167" s="28">
        <v>764.0</v>
      </c>
      <c r="H167" s="28" t="s">
        <v>703</v>
      </c>
      <c r="I167" s="28" t="s">
        <v>561</v>
      </c>
      <c r="J167" s="20" t="s">
        <v>661</v>
      </c>
    </row>
    <row r="168" ht="15.75" customHeight="1">
      <c r="A168" s="23"/>
      <c r="B168" s="27" t="s">
        <v>108</v>
      </c>
      <c r="C168" s="6"/>
      <c r="D168" s="6"/>
      <c r="E168" s="6" t="str">
        <f>VLOOKUP(B168,Sheet3!$B$2:$E$311,3,)</f>
        <v>BAHAN BAKU LUUCA</v>
      </c>
      <c r="F168" s="56" t="str">
        <f>VLOOKUP(B168,Sheet3!$B$2:$E$311,4,)</f>
        <v>GR</v>
      </c>
      <c r="G168" s="28">
        <v>30.3</v>
      </c>
      <c r="H168" s="28" t="s">
        <v>792</v>
      </c>
      <c r="I168" s="28" t="s">
        <v>561</v>
      </c>
      <c r="J168" s="20" t="s">
        <v>661</v>
      </c>
    </row>
    <row r="169" ht="15.75" customHeight="1">
      <c r="A169" s="29">
        <v>46201.0</v>
      </c>
      <c r="B169" s="27" t="s">
        <v>108</v>
      </c>
      <c r="C169" s="6"/>
      <c r="D169" s="6"/>
      <c r="E169" s="6" t="str">
        <f>VLOOKUP(B166,Sheet3!$B$2:$E$311,3,)</f>
        <v>BAHAN BAKU LUUCA</v>
      </c>
      <c r="F169" s="56" t="str">
        <f>VLOOKUP(B166,Sheet3!$B$2:$E$311,4,)</f>
        <v>GR</v>
      </c>
      <c r="G169" s="28" t="s">
        <v>1020</v>
      </c>
      <c r="H169" s="28" t="s">
        <v>792</v>
      </c>
      <c r="I169" s="28" t="s">
        <v>553</v>
      </c>
      <c r="J169" s="20" t="s">
        <v>661</v>
      </c>
    </row>
    <row r="170" ht="15.75" customHeight="1">
      <c r="A170" s="23"/>
      <c r="B170" s="27" t="s">
        <v>111</v>
      </c>
      <c r="C170" s="6"/>
      <c r="D170" s="6"/>
      <c r="E170" s="6" t="str">
        <f>VLOOKUP(B170,Sheet3!$B$2:$E$311,3,)</f>
        <v>BAHAN BAKU LUUCA</v>
      </c>
      <c r="F170" s="56" t="str">
        <f>VLOOKUP(B170,Sheet3!$B$2:$E$311,4,)</f>
        <v>GR</v>
      </c>
      <c r="G170" s="28" t="s">
        <v>1021</v>
      </c>
      <c r="H170" s="28" t="s">
        <v>1022</v>
      </c>
      <c r="I170" s="28" t="s">
        <v>1016</v>
      </c>
      <c r="J170" s="20" t="s">
        <v>661</v>
      </c>
    </row>
    <row r="171" ht="15.75" customHeight="1">
      <c r="A171" s="23"/>
      <c r="B171" s="27" t="s">
        <v>111</v>
      </c>
      <c r="C171" s="6"/>
      <c r="D171" s="6"/>
      <c r="E171" s="6" t="str">
        <f>VLOOKUP(B171,Sheet3!$B$2:$E$311,3,)</f>
        <v>BAHAN BAKU LUUCA</v>
      </c>
      <c r="F171" s="6" t="str">
        <f>VLOOKUP(B171,Sheet3!$B$2:$E$311,4,)</f>
        <v>GR</v>
      </c>
      <c r="G171" s="28">
        <v>10.0</v>
      </c>
      <c r="H171" s="28" t="s">
        <v>1022</v>
      </c>
      <c r="I171" s="28" t="s">
        <v>522</v>
      </c>
      <c r="J171" s="20" t="s">
        <v>661</v>
      </c>
    </row>
    <row r="172" ht="15.75" customHeight="1">
      <c r="A172" s="23"/>
      <c r="B172" s="27" t="s">
        <v>53</v>
      </c>
      <c r="C172" s="6"/>
      <c r="D172" s="6"/>
      <c r="E172" s="6" t="str">
        <f>VLOOKUP(B172,Sheet3!$B$2:$E$311,3,)</f>
        <v>BAHAN BAKU LUUCA</v>
      </c>
      <c r="F172" s="6" t="str">
        <f>VLOOKUP(B172,Sheet3!$B$2:$E$311,4,)</f>
        <v>GR</v>
      </c>
      <c r="G172" s="28" t="s">
        <v>1023</v>
      </c>
      <c r="H172" s="28" t="s">
        <v>1024</v>
      </c>
      <c r="I172" s="28" t="s">
        <v>522</v>
      </c>
      <c r="J172" s="20" t="s">
        <v>661</v>
      </c>
    </row>
    <row r="173" ht="15.75" customHeight="1">
      <c r="A173" s="23"/>
      <c r="B173" s="27" t="s">
        <v>53</v>
      </c>
      <c r="C173" s="6"/>
      <c r="D173" s="6"/>
      <c r="E173" s="6" t="str">
        <f>VLOOKUP(B170,Sheet3!$B$2:$E$311,3,)</f>
        <v>BAHAN BAKU LUUCA</v>
      </c>
      <c r="F173" s="6" t="str">
        <f>VLOOKUP(B170,Sheet3!$B$2:$E$311,4,)</f>
        <v>GR</v>
      </c>
      <c r="G173" s="28">
        <v>76.0</v>
      </c>
      <c r="H173" s="28" t="s">
        <v>1025</v>
      </c>
      <c r="I173" s="28" t="s">
        <v>522</v>
      </c>
      <c r="J173" s="20" t="s">
        <v>661</v>
      </c>
    </row>
    <row r="174" ht="15.75" customHeight="1">
      <c r="A174" s="27"/>
      <c r="B174" s="27" t="s">
        <v>36</v>
      </c>
      <c r="C174" s="6"/>
      <c r="D174" s="6"/>
      <c r="E174" s="6" t="str">
        <f>VLOOKUP(B174,Sheet3!$B$2:$E$311,3,)</f>
        <v>BAHAN BAKU LUUCA</v>
      </c>
      <c r="F174" s="6" t="str">
        <f>VLOOKUP(B174,Sheet3!$B$2:$E$311,4,)</f>
        <v>PCS</v>
      </c>
      <c r="G174" s="28">
        <v>1.0</v>
      </c>
      <c r="H174" s="28" t="s">
        <v>293</v>
      </c>
      <c r="I174" s="28" t="s">
        <v>522</v>
      </c>
      <c r="J174" s="20" t="s">
        <v>661</v>
      </c>
    </row>
    <row r="175" ht="15.75" customHeight="1">
      <c r="A175" s="27"/>
      <c r="B175" s="27" t="s">
        <v>38</v>
      </c>
      <c r="C175" s="6"/>
      <c r="D175" s="6"/>
      <c r="E175" s="6" t="str">
        <f>VLOOKUP(B175,Sheet3!$B$2:$E$311,3,)</f>
        <v>PACKAGING LUUCA</v>
      </c>
      <c r="F175" s="6" t="str">
        <f>VLOOKUP(B175,Sheet3!$B$2:$E$311,4,)</f>
        <v>PCS</v>
      </c>
      <c r="G175" s="28">
        <v>1.0</v>
      </c>
      <c r="H175" s="28" t="s">
        <v>293</v>
      </c>
      <c r="I175" s="28" t="s">
        <v>522</v>
      </c>
      <c r="J175" s="20" t="s">
        <v>661</v>
      </c>
    </row>
    <row r="176" ht="15.75" customHeight="1">
      <c r="A176" s="23"/>
      <c r="B176" s="27" t="s">
        <v>30</v>
      </c>
      <c r="C176" s="6"/>
      <c r="D176" s="6"/>
      <c r="E176" s="6" t="str">
        <f>VLOOKUP(B176,Sheet3!$B$2:$E$311,3,)</f>
        <v>BAHAN BAKU LUUCA</v>
      </c>
      <c r="F176" s="6" t="str">
        <f>VLOOKUP(B176,Sheet3!$B$2:$E$311,4,)</f>
        <v>GR</v>
      </c>
      <c r="G176" s="28">
        <v>13.0</v>
      </c>
      <c r="H176" s="28" t="s">
        <v>528</v>
      </c>
      <c r="I176" s="28" t="s">
        <v>522</v>
      </c>
      <c r="J176" s="20" t="s">
        <v>661</v>
      </c>
    </row>
    <row r="177" ht="15.75" customHeight="1">
      <c r="A177" s="23"/>
      <c r="B177" s="27" t="s">
        <v>108</v>
      </c>
      <c r="C177" s="6"/>
      <c r="D177" s="6"/>
      <c r="E177" s="6" t="str">
        <f>VLOOKUP(B174,Sheet3!$B$2:$E$311,3,)</f>
        <v>BAHAN BAKU LUUCA</v>
      </c>
      <c r="F177" s="6" t="str">
        <f>VLOOKUP(B174,Sheet3!$B$2:$E$311,4,)</f>
        <v>PCS</v>
      </c>
      <c r="G177" s="28">
        <v>36.0</v>
      </c>
      <c r="H177" s="28" t="s">
        <v>792</v>
      </c>
      <c r="I177" s="28" t="s">
        <v>522</v>
      </c>
      <c r="J177" s="20" t="s">
        <v>661</v>
      </c>
    </row>
    <row r="178" ht="15.75" customHeight="1">
      <c r="A178" s="23"/>
      <c r="B178" s="27" t="s">
        <v>53</v>
      </c>
      <c r="C178" s="6"/>
      <c r="D178" s="6"/>
      <c r="E178" s="6" t="str">
        <f>VLOOKUP(B178,Sheet3!$B$2:$E$311,3,)</f>
        <v>BAHAN BAKU LUUCA</v>
      </c>
      <c r="F178" s="6" t="str">
        <f>VLOOKUP(B178,Sheet3!$B$2:$E$311,4,)</f>
        <v>GR</v>
      </c>
      <c r="G178" s="28">
        <v>67.0</v>
      </c>
      <c r="H178" s="28" t="s">
        <v>793</v>
      </c>
      <c r="I178" s="28" t="s">
        <v>522</v>
      </c>
      <c r="J178" s="20" t="s">
        <v>661</v>
      </c>
    </row>
    <row r="179" ht="15.75" customHeight="1">
      <c r="A179" s="23"/>
      <c r="B179" s="27" t="s">
        <v>34</v>
      </c>
      <c r="C179" s="6"/>
      <c r="D179" s="6"/>
      <c r="E179" s="6" t="str">
        <f>VLOOKUP(B179,Sheet3!$B$2:$E$311,3,)</f>
        <v>BAHAN BAKU LUUCA</v>
      </c>
      <c r="F179" s="6" t="str">
        <f>VLOOKUP(B179,Sheet3!$B$2:$E$311,4,)</f>
        <v>GR</v>
      </c>
      <c r="G179" s="28">
        <v>1066.0</v>
      </c>
      <c r="H179" s="28" t="s">
        <v>703</v>
      </c>
      <c r="I179" s="28" t="s">
        <v>522</v>
      </c>
      <c r="J179" s="20" t="s">
        <v>661</v>
      </c>
    </row>
    <row r="180" ht="15.75" customHeight="1">
      <c r="A180" s="27"/>
      <c r="B180" s="27" t="s">
        <v>33</v>
      </c>
      <c r="C180" s="6"/>
      <c r="D180" s="6"/>
      <c r="E180" s="6" t="str">
        <f>VLOOKUP(B180,Sheet3!$B$2:$E$311,3,)</f>
        <v>BAHAN BAKU LUUCA</v>
      </c>
      <c r="F180" s="6" t="str">
        <f>VLOOKUP(B180,Sheet3!$B$2:$E$311,4,)</f>
        <v>GR</v>
      </c>
      <c r="G180" s="28" t="s">
        <v>1026</v>
      </c>
      <c r="H180" s="28" t="s">
        <v>703</v>
      </c>
      <c r="I180" s="28" t="s">
        <v>522</v>
      </c>
      <c r="J180" s="20" t="s">
        <v>661</v>
      </c>
    </row>
    <row r="181" ht="15.75" customHeight="1">
      <c r="A181" s="23"/>
      <c r="B181" s="27" t="s">
        <v>53</v>
      </c>
      <c r="C181" s="6"/>
      <c r="D181" s="6"/>
      <c r="E181" s="6" t="str">
        <f>VLOOKUP(B181,Sheet3!$B$2:$E$311,3,)</f>
        <v>BAHAN BAKU LUUCA</v>
      </c>
      <c r="F181" s="6" t="str">
        <f>VLOOKUP(B181,Sheet3!$B$2:$E$311,4,)</f>
        <v>GR</v>
      </c>
      <c r="G181" s="28" t="s">
        <v>1027</v>
      </c>
      <c r="H181" s="28" t="s">
        <v>496</v>
      </c>
      <c r="I181" s="28" t="s">
        <v>522</v>
      </c>
      <c r="J181" s="20" t="s">
        <v>661</v>
      </c>
    </row>
    <row r="182" ht="15.75" customHeight="1">
      <c r="A182" s="26">
        <v>46202.0</v>
      </c>
      <c r="B182" s="27" t="s">
        <v>109</v>
      </c>
      <c r="C182" s="6"/>
      <c r="D182" s="6"/>
      <c r="E182" s="6" t="str">
        <f>VLOOKUP(B182,Sheet3!$B$2:$E$311,3,)</f>
        <v>BAHAN BAKU LUUCA</v>
      </c>
      <c r="F182" s="6" t="str">
        <f>VLOOKUP(B182,Sheet3!$B$2:$E$311,4,)</f>
        <v>GR</v>
      </c>
      <c r="G182" s="28" t="s">
        <v>1028</v>
      </c>
      <c r="H182" s="28" t="s">
        <v>496</v>
      </c>
      <c r="I182" s="28" t="s">
        <v>522</v>
      </c>
      <c r="J182" s="20" t="s">
        <v>661</v>
      </c>
    </row>
    <row r="183" ht="15.75" customHeight="1">
      <c r="A183" s="27"/>
      <c r="B183" s="27" t="s">
        <v>109</v>
      </c>
      <c r="C183" s="6"/>
      <c r="D183" s="6"/>
      <c r="E183" s="6" t="str">
        <f>VLOOKUP(B183,Sheet3!$B$2:$E$311,3,)</f>
        <v>BAHAN BAKU LUUCA</v>
      </c>
      <c r="F183" s="6" t="str">
        <f>VLOOKUP(B183,Sheet3!$B$2:$E$311,4,)</f>
        <v>GR</v>
      </c>
      <c r="G183" s="28" t="s">
        <v>1029</v>
      </c>
      <c r="H183" s="28" t="s">
        <v>826</v>
      </c>
      <c r="I183" s="28" t="s">
        <v>522</v>
      </c>
      <c r="J183" s="20" t="s">
        <v>661</v>
      </c>
    </row>
    <row r="184" ht="15.75" customHeight="1">
      <c r="A184" s="23"/>
      <c r="B184" s="27" t="s">
        <v>108</v>
      </c>
      <c r="C184" s="6"/>
      <c r="D184" s="6"/>
      <c r="E184" s="6" t="str">
        <f>VLOOKUP(B184,Sheet3!$B$2:$E$311,3,)</f>
        <v>BAHAN BAKU LUUCA</v>
      </c>
      <c r="F184" s="6" t="str">
        <f>VLOOKUP(B184,Sheet3!$B$2:$E$311,4,)</f>
        <v>GR</v>
      </c>
      <c r="G184" s="28" t="s">
        <v>1030</v>
      </c>
      <c r="H184" s="28" t="s">
        <v>792</v>
      </c>
      <c r="I184" s="28" t="s">
        <v>522</v>
      </c>
      <c r="J184" s="20" t="s">
        <v>661</v>
      </c>
    </row>
    <row r="185" ht="15.75" customHeight="1">
      <c r="A185" s="27" t="s">
        <v>1031</v>
      </c>
      <c r="B185" s="27" t="s">
        <v>53</v>
      </c>
      <c r="C185" s="6"/>
      <c r="D185" s="6"/>
      <c r="E185" s="6" t="str">
        <f>VLOOKUP(B185,Sheet3!$B$2:$E$311,3,)</f>
        <v>BAHAN BAKU LUUCA</v>
      </c>
      <c r="F185" s="6" t="str">
        <f>VLOOKUP(B185,Sheet3!$B$2:$E$311,4,)</f>
        <v>GR</v>
      </c>
      <c r="G185" s="28">
        <v>49.2</v>
      </c>
      <c r="H185" s="28" t="s">
        <v>921</v>
      </c>
      <c r="I185" s="28" t="s">
        <v>595</v>
      </c>
      <c r="J185" s="20" t="s">
        <v>661</v>
      </c>
    </row>
    <row r="186" ht="15.75" customHeight="1">
      <c r="A186" s="23"/>
      <c r="B186" s="32" t="s">
        <v>30</v>
      </c>
      <c r="C186" s="6"/>
      <c r="D186" s="6"/>
      <c r="E186" s="6" t="str">
        <f>VLOOKUP(B186,Sheet3!$B$2:$E$311,3,)</f>
        <v>BAHAN BAKU LUUCA</v>
      </c>
      <c r="F186" s="6" t="str">
        <f>VLOOKUP(B186,Sheet3!$B$2:$E$311,4,)</f>
        <v>GR</v>
      </c>
      <c r="G186" s="28">
        <v>4.0</v>
      </c>
      <c r="H186" s="28" t="s">
        <v>528</v>
      </c>
      <c r="I186" s="28" t="s">
        <v>595</v>
      </c>
      <c r="J186" s="20" t="s">
        <v>661</v>
      </c>
    </row>
    <row r="187" ht="15.75" customHeight="1">
      <c r="A187" s="23"/>
      <c r="B187" s="6"/>
      <c r="C187" s="6"/>
      <c r="D187" s="6"/>
      <c r="E187" s="6" t="str">
        <f>VLOOKUP(B187,Sheet3!$B$2:$E$311,3,)</f>
        <v>#N/A</v>
      </c>
      <c r="F187" s="6" t="str">
        <f>VLOOKUP(B187,Sheet3!$B$2:$E$311,4,)</f>
        <v>#N/A</v>
      </c>
      <c r="G187" s="6"/>
      <c r="H187" s="6"/>
      <c r="I187" s="6"/>
    </row>
    <row r="188" ht="15.75" customHeight="1">
      <c r="A188" s="23"/>
      <c r="B188" s="6"/>
      <c r="C188" s="6"/>
      <c r="D188" s="6"/>
      <c r="E188" s="6" t="str">
        <f>VLOOKUP(B188,Sheet3!$B$2:$E$311,3,)</f>
        <v>#N/A</v>
      </c>
      <c r="F188" s="6" t="str">
        <f>VLOOKUP(B188,Sheet3!$B$2:$E$311,4,)</f>
        <v>#N/A</v>
      </c>
      <c r="G188" s="6"/>
      <c r="H188" s="6"/>
      <c r="I188" s="6"/>
    </row>
    <row r="189" ht="15.75" customHeight="1">
      <c r="A189" s="23"/>
      <c r="B189" s="6"/>
      <c r="C189" s="6"/>
      <c r="D189" s="6"/>
      <c r="E189" s="6" t="str">
        <f>VLOOKUP(B189,Sheet3!$B$2:$E$311,3,)</f>
        <v>#N/A</v>
      </c>
      <c r="F189" s="6" t="str">
        <f>VLOOKUP(B189,Sheet3!$B$2:$E$311,4,)</f>
        <v>#N/A</v>
      </c>
      <c r="G189" s="6"/>
      <c r="H189" s="6"/>
      <c r="I189" s="6"/>
    </row>
    <row r="190" ht="15.75" customHeight="1">
      <c r="A190" s="23"/>
      <c r="B190" s="6"/>
      <c r="C190" s="6"/>
      <c r="D190" s="6"/>
      <c r="E190" s="6" t="str">
        <f>VLOOKUP(B190,Sheet3!$B$2:$E$311,3,)</f>
        <v>#N/A</v>
      </c>
      <c r="F190" s="6" t="str">
        <f>VLOOKUP(B190,Sheet3!$B$2:$E$311,4,)</f>
        <v>#N/A</v>
      </c>
      <c r="G190" s="6"/>
      <c r="H190" s="6"/>
      <c r="I190" s="6"/>
    </row>
    <row r="191" ht="15.75" customHeight="1">
      <c r="A191" s="23"/>
      <c r="B191" s="6"/>
      <c r="C191" s="6"/>
      <c r="D191" s="6"/>
      <c r="E191" s="6" t="str">
        <f>VLOOKUP(B191,Sheet3!$B$2:$E$311,3,)</f>
        <v>#N/A</v>
      </c>
      <c r="F191" s="6" t="str">
        <f>VLOOKUP(B191,Sheet3!$B$2:$E$311,4,)</f>
        <v>#N/A</v>
      </c>
      <c r="G191" s="6"/>
      <c r="H191" s="6"/>
      <c r="I191" s="6"/>
    </row>
    <row r="192" ht="15.75" customHeight="1">
      <c r="A192" s="23"/>
      <c r="B192" s="6"/>
      <c r="C192" s="6"/>
      <c r="D192" s="6"/>
      <c r="E192" s="6" t="str">
        <f>VLOOKUP(B192,Sheet3!$B$2:$E$311,3,)</f>
        <v>#N/A</v>
      </c>
      <c r="F192" s="6" t="str">
        <f>VLOOKUP(B192,Sheet3!$B$2:$E$311,4,)</f>
        <v>#N/A</v>
      </c>
      <c r="G192" s="6"/>
      <c r="H192" s="6"/>
      <c r="I192" s="6"/>
    </row>
    <row r="193" ht="15.75" customHeight="1">
      <c r="A193" s="23"/>
      <c r="B193" s="6"/>
      <c r="C193" s="6"/>
      <c r="D193" s="6"/>
      <c r="E193" s="6" t="str">
        <f>VLOOKUP(B193,Sheet3!$B$2:$E$311,3,)</f>
        <v>#N/A</v>
      </c>
      <c r="F193" s="6" t="str">
        <f>VLOOKUP(B193,Sheet3!$B$2:$E$311,4,)</f>
        <v>#N/A</v>
      </c>
      <c r="G193" s="6"/>
      <c r="H193" s="6"/>
      <c r="I193" s="6"/>
    </row>
    <row r="194" ht="15.75" customHeight="1">
      <c r="A194" s="23"/>
      <c r="B194" s="6"/>
      <c r="C194" s="6"/>
      <c r="D194" s="6"/>
      <c r="E194" s="6" t="str">
        <f>VLOOKUP(B194,Sheet3!$B$2:$E$311,3,)</f>
        <v>#N/A</v>
      </c>
      <c r="F194" s="6" t="str">
        <f>VLOOKUP(B194,Sheet3!$B$2:$E$311,4,)</f>
        <v>#N/A</v>
      </c>
      <c r="G194" s="6"/>
      <c r="H194" s="6"/>
      <c r="I194" s="6"/>
    </row>
    <row r="195" ht="15.75" customHeight="1">
      <c r="A195" s="23"/>
      <c r="B195" s="6"/>
      <c r="C195" s="6"/>
      <c r="D195" s="6"/>
      <c r="E195" s="6" t="str">
        <f>VLOOKUP(B195,Sheet3!$B$2:$E$311,3,)</f>
        <v>#N/A</v>
      </c>
      <c r="F195" s="6" t="str">
        <f>VLOOKUP(B195,Sheet3!$B$2:$E$311,4,)</f>
        <v>#N/A</v>
      </c>
      <c r="G195" s="6"/>
      <c r="H195" s="6"/>
      <c r="I195" s="6"/>
    </row>
    <row r="196" ht="15.75" customHeight="1">
      <c r="A196" s="23"/>
      <c r="B196" s="6"/>
      <c r="C196" s="6"/>
      <c r="D196" s="6"/>
      <c r="E196" s="6" t="str">
        <f>VLOOKUP(B196,Sheet3!$B$2:$E$311,3,)</f>
        <v>#N/A</v>
      </c>
      <c r="F196" s="6" t="str">
        <f>VLOOKUP(B196,Sheet3!$B$2:$E$311,4,)</f>
        <v>#N/A</v>
      </c>
      <c r="G196" s="6"/>
      <c r="H196" s="6"/>
      <c r="I196" s="6"/>
    </row>
    <row r="197" ht="15.75" customHeight="1">
      <c r="A197" s="23"/>
      <c r="B197" s="6"/>
      <c r="C197" s="6"/>
      <c r="D197" s="6"/>
      <c r="E197" s="6" t="str">
        <f>VLOOKUP(B197,Sheet3!$B$2:$E$311,3,)</f>
        <v>#N/A</v>
      </c>
      <c r="F197" s="6" t="str">
        <f>VLOOKUP(B197,Sheet3!$B$2:$E$311,4,)</f>
        <v>#N/A</v>
      </c>
      <c r="G197" s="6"/>
      <c r="H197" s="6"/>
      <c r="I197" s="6"/>
    </row>
    <row r="198" ht="15.75" customHeight="1">
      <c r="A198" s="23"/>
      <c r="B198" s="6"/>
      <c r="C198" s="6"/>
      <c r="D198" s="6"/>
      <c r="E198" s="6" t="str">
        <f>VLOOKUP(B198,Sheet3!$B$2:$E$311,3,)</f>
        <v>#N/A</v>
      </c>
      <c r="F198" s="6" t="str">
        <f>VLOOKUP(B198,Sheet3!$B$2:$E$311,4,)</f>
        <v>#N/A</v>
      </c>
      <c r="G198" s="6"/>
      <c r="H198" s="6"/>
      <c r="I198" s="6"/>
    </row>
    <row r="199" ht="15.75" customHeight="1">
      <c r="A199" s="23"/>
      <c r="B199" s="6"/>
      <c r="C199" s="6"/>
      <c r="D199" s="6"/>
      <c r="E199" s="6" t="str">
        <f>VLOOKUP(B199,Sheet3!$B$2:$E$311,3,)</f>
        <v>#N/A</v>
      </c>
      <c r="F199" s="6" t="str">
        <f>VLOOKUP(B199,Sheet3!$B$2:$E$311,4,)</f>
        <v>#N/A</v>
      </c>
      <c r="G199" s="6"/>
      <c r="H199" s="6"/>
      <c r="I199" s="6"/>
    </row>
    <row r="200" ht="15.75" customHeight="1">
      <c r="A200" s="23"/>
      <c r="B200" s="6"/>
      <c r="C200" s="6"/>
      <c r="D200" s="6"/>
      <c r="E200" s="6" t="str">
        <f>VLOOKUP(B200,Sheet3!$B$2:$E$311,3,)</f>
        <v>#N/A</v>
      </c>
      <c r="F200" s="6" t="str">
        <f>VLOOKUP(B200,Sheet3!$B$2:$E$311,4,)</f>
        <v>#N/A</v>
      </c>
      <c r="G200" s="6"/>
      <c r="H200" s="6"/>
      <c r="I200" s="6"/>
    </row>
    <row r="201" ht="15.75" customHeight="1">
      <c r="A201" s="23"/>
      <c r="B201" s="6"/>
      <c r="C201" s="6"/>
      <c r="D201" s="25"/>
      <c r="G201" s="6"/>
      <c r="H201" s="6"/>
      <c r="I201" s="6"/>
    </row>
    <row r="202" ht="15.75" customHeight="1">
      <c r="A202" s="23"/>
      <c r="B202" s="6"/>
      <c r="C202" s="6"/>
      <c r="D202" s="6"/>
      <c r="E202" s="6" t="str">
        <f>VLOOKUP(B202,Sheet3!$B$2:$E$311,3,)</f>
        <v>#N/A</v>
      </c>
      <c r="F202" s="6" t="str">
        <f>VLOOKUP(B202,Sheet3!$B$2:$E$311,4,)</f>
        <v>#N/A</v>
      </c>
      <c r="G202" s="6"/>
      <c r="H202" s="6"/>
      <c r="I202" s="6"/>
    </row>
    <row r="203" ht="15.75" customHeight="1">
      <c r="A203" s="23"/>
      <c r="B203" s="6"/>
      <c r="C203" s="6"/>
      <c r="D203" s="6"/>
      <c r="E203" s="6" t="str">
        <f>VLOOKUP(B203,Sheet3!$B$2:$E$311,3,)</f>
        <v>#N/A</v>
      </c>
      <c r="F203" s="6" t="str">
        <f>VLOOKUP(B203,Sheet3!$B$2:$E$311,4,)</f>
        <v>#N/A</v>
      </c>
      <c r="G203" s="6"/>
      <c r="H203" s="6"/>
      <c r="I203" s="6"/>
    </row>
    <row r="204" ht="15.75" customHeight="1">
      <c r="A204" s="23"/>
      <c r="B204" s="6"/>
      <c r="C204" s="6"/>
      <c r="D204" s="6"/>
      <c r="E204" s="6" t="str">
        <f>VLOOKUP(B201,Sheet3!$B$2:$E$311,3,)</f>
        <v>#N/A</v>
      </c>
      <c r="F204" s="6" t="str">
        <f>VLOOKUP(B201,Sheet3!$B$2:$E$311,4,)</f>
        <v>#N/A</v>
      </c>
      <c r="G204" s="6"/>
      <c r="H204" s="6"/>
      <c r="I204" s="6"/>
    </row>
    <row r="205" ht="15.75" customHeight="1">
      <c r="A205" s="23"/>
      <c r="B205" s="6"/>
      <c r="C205" s="6"/>
      <c r="D205" s="6"/>
      <c r="E205" s="6" t="str">
        <f>VLOOKUP(B205,Sheet3!$B$2:$E$311,3,)</f>
        <v>#N/A</v>
      </c>
      <c r="F205" s="6" t="str">
        <f>VLOOKUP(B205,Sheet3!$B$2:$E$311,4,)</f>
        <v>#N/A</v>
      </c>
      <c r="G205" s="6"/>
      <c r="H205" s="6"/>
      <c r="I205" s="6"/>
    </row>
    <row r="206" ht="15.75" customHeight="1">
      <c r="A206" s="23"/>
      <c r="B206" s="6"/>
      <c r="C206" s="6"/>
      <c r="D206" s="6"/>
      <c r="E206" s="6" t="str">
        <f>VLOOKUP(B206,Sheet3!$B$2:$E$311,3,)</f>
        <v>#N/A</v>
      </c>
      <c r="F206" s="6" t="str">
        <f>VLOOKUP(B206,Sheet3!$B$2:$E$311,4,)</f>
        <v>#N/A</v>
      </c>
      <c r="G206" s="6"/>
      <c r="H206" s="6"/>
      <c r="I206" s="6"/>
    </row>
    <row r="207" ht="15.75" customHeight="1">
      <c r="A207" s="23"/>
      <c r="B207" s="6"/>
      <c r="C207" s="6"/>
      <c r="D207" s="6"/>
      <c r="E207" s="6" t="str">
        <f>VLOOKUP(B207,Sheet3!$B$2:$E$311,3,)</f>
        <v>#N/A</v>
      </c>
      <c r="F207" s="6" t="str">
        <f>VLOOKUP(B207,Sheet3!$B$2:$E$311,4,)</f>
        <v>#N/A</v>
      </c>
      <c r="G207" s="6"/>
      <c r="H207" s="6"/>
      <c r="I207" s="6"/>
    </row>
    <row r="208" ht="15.75" customHeight="1">
      <c r="A208" s="23"/>
      <c r="B208" s="6"/>
      <c r="C208" s="6"/>
      <c r="D208" s="6"/>
      <c r="E208" s="6" t="str">
        <f>VLOOKUP(B208,Sheet3!$B$2:$E$311,3,)</f>
        <v>#N/A</v>
      </c>
      <c r="F208" s="6" t="str">
        <f>VLOOKUP(B208,Sheet3!$B$2:$E$311,4,)</f>
        <v>#N/A</v>
      </c>
      <c r="G208" s="6"/>
      <c r="H208" s="6"/>
      <c r="I208" s="6"/>
    </row>
    <row r="209" ht="15.75" customHeight="1">
      <c r="A209" s="23"/>
      <c r="B209" s="6"/>
      <c r="C209" s="6"/>
      <c r="D209" s="6"/>
      <c r="E209" s="6" t="str">
        <f>VLOOKUP(B209,Sheet3!$B$2:$E$311,3,)</f>
        <v>#N/A</v>
      </c>
      <c r="F209" s="6" t="s">
        <v>628</v>
      </c>
      <c r="G209" s="6"/>
      <c r="H209" s="6"/>
      <c r="I209" s="6"/>
    </row>
    <row r="210" ht="15.75" customHeight="1">
      <c r="A210" s="23"/>
      <c r="B210" s="6"/>
      <c r="C210" s="6"/>
      <c r="D210" s="6"/>
      <c r="E210" s="6" t="str">
        <f>VLOOKUP(B210,Sheet3!$B$2:$E$311,3,)</f>
        <v>#N/A</v>
      </c>
      <c r="F210" s="6" t="str">
        <f>VLOOKUP(B210,Sheet3!$B$2:$E$311,4,)</f>
        <v>#N/A</v>
      </c>
      <c r="G210" s="6"/>
      <c r="H210" s="6"/>
      <c r="I210" s="6"/>
    </row>
    <row r="211" ht="15.75" customHeight="1">
      <c r="A211" s="23"/>
      <c r="B211" s="6"/>
      <c r="C211" s="6"/>
      <c r="D211" s="6"/>
      <c r="E211" s="6" t="str">
        <f>VLOOKUP(B211,Sheet3!$B$2:$E$311,3,)</f>
        <v>#N/A</v>
      </c>
      <c r="F211" s="6" t="str">
        <f>VLOOKUP(B211,Sheet3!$B$2:$E$311,4,)</f>
        <v>#N/A</v>
      </c>
      <c r="G211" s="6"/>
      <c r="H211" s="6"/>
      <c r="I211" s="6"/>
    </row>
    <row r="212" ht="15.75" customHeight="1">
      <c r="A212" s="23"/>
      <c r="B212" s="6"/>
      <c r="C212" s="6"/>
      <c r="D212" s="6"/>
      <c r="E212" s="6" t="str">
        <f>VLOOKUP(B212,Sheet3!$B$2:$E$311,3,)</f>
        <v>#N/A</v>
      </c>
      <c r="F212" s="6" t="str">
        <f>VLOOKUP(B212,Sheet3!$B$2:$E$311,4,)</f>
        <v>#N/A</v>
      </c>
      <c r="G212" s="6"/>
      <c r="H212" s="6"/>
      <c r="I212" s="6"/>
    </row>
    <row r="213" ht="15.75" customHeight="1">
      <c r="A213" s="23"/>
      <c r="B213" s="6"/>
      <c r="C213" s="6"/>
      <c r="D213" s="6"/>
      <c r="E213" s="6" t="str">
        <f>VLOOKUP(B213,Sheet3!$B$2:$E$311,3,)</f>
        <v>#N/A</v>
      </c>
      <c r="F213" s="6" t="str">
        <f>VLOOKUP(B213,Sheet3!$B$2:$E$311,4,)</f>
        <v>#N/A</v>
      </c>
      <c r="G213" s="6"/>
      <c r="H213" s="6"/>
      <c r="I213" s="6"/>
    </row>
    <row r="214" ht="15.75" customHeight="1">
      <c r="A214" s="23"/>
      <c r="B214" s="6"/>
      <c r="C214" s="6"/>
      <c r="D214" s="6"/>
      <c r="E214" s="6" t="str">
        <f>VLOOKUP(B214,Sheet3!$B$2:$E$311,3,)</f>
        <v>#N/A</v>
      </c>
      <c r="F214" s="6" t="str">
        <f>VLOOKUP(B214,Sheet3!$B$2:$E$311,4,)</f>
        <v>#N/A</v>
      </c>
      <c r="G214" s="6"/>
      <c r="H214" s="6"/>
      <c r="I214" s="6"/>
    </row>
    <row r="215" ht="15.75" customHeight="1">
      <c r="A215" s="23"/>
      <c r="B215" s="6"/>
      <c r="C215" s="6"/>
      <c r="D215" s="6"/>
      <c r="E215" s="6" t="str">
        <f>VLOOKUP(B215,Sheet3!$B$2:$E$311,3,)</f>
        <v>#N/A</v>
      </c>
      <c r="F215" s="6" t="str">
        <f>VLOOKUP(B215,Sheet3!$B$2:$E$311,4,)</f>
        <v>#N/A</v>
      </c>
      <c r="G215" s="6"/>
      <c r="H215" s="6"/>
      <c r="I215" s="6"/>
    </row>
    <row r="216" ht="15.75" customHeight="1">
      <c r="A216" s="23"/>
      <c r="B216" s="6"/>
      <c r="C216" s="6"/>
      <c r="D216" s="6"/>
      <c r="E216" s="6" t="str">
        <f>VLOOKUP(B216,Sheet3!$B$2:$E$311,3,)</f>
        <v>#N/A</v>
      </c>
      <c r="F216" s="6" t="str">
        <f>VLOOKUP(B216,Sheet3!$B$2:$E$311,4,)</f>
        <v>#N/A</v>
      </c>
      <c r="G216" s="6"/>
      <c r="H216" s="6"/>
      <c r="I216" s="6"/>
    </row>
    <row r="217" ht="15.75" customHeight="1">
      <c r="A217" s="23"/>
      <c r="B217" s="6"/>
      <c r="C217" s="6"/>
      <c r="D217" s="6"/>
      <c r="E217" s="6" t="str">
        <f>VLOOKUP(B217,Sheet3!$B$2:$E$311,3,)</f>
        <v>#N/A</v>
      </c>
      <c r="F217" s="6" t="str">
        <f>VLOOKUP(B217,Sheet3!$B$2:$E$311,4,)</f>
        <v>#N/A</v>
      </c>
      <c r="G217" s="6"/>
      <c r="H217" s="6"/>
      <c r="I217" s="6"/>
    </row>
    <row r="218" ht="15.75" customHeight="1">
      <c r="A218" s="23"/>
      <c r="B218" s="6"/>
      <c r="C218" s="6"/>
      <c r="D218" s="6"/>
      <c r="E218" s="6" t="str">
        <f>VLOOKUP(B218,Sheet3!$B$2:$E$311,3,)</f>
        <v>#N/A</v>
      </c>
      <c r="F218" s="6" t="str">
        <f>VLOOKUP(B218,Sheet3!$B$2:$E$311,4,)</f>
        <v>#N/A</v>
      </c>
      <c r="G218" s="6"/>
      <c r="H218" s="6"/>
      <c r="I218" s="6"/>
    </row>
    <row r="219" ht="15.75" customHeight="1">
      <c r="A219" s="23"/>
      <c r="B219" s="6"/>
      <c r="C219" s="6"/>
      <c r="D219" s="6"/>
      <c r="E219" s="6" t="str">
        <f>VLOOKUP(B219,Sheet3!$B$2:$E$311,3,)</f>
        <v>#N/A</v>
      </c>
      <c r="F219" s="6" t="str">
        <f>VLOOKUP(B219,Sheet3!$B$2:$E$311,4,)</f>
        <v>#N/A</v>
      </c>
      <c r="G219" s="6"/>
      <c r="H219" s="6"/>
      <c r="I219" s="6"/>
    </row>
    <row r="220" ht="15.75" customHeight="1">
      <c r="A220" s="23"/>
      <c r="B220" s="6"/>
      <c r="C220" s="6"/>
      <c r="D220" s="6"/>
      <c r="E220" s="6" t="str">
        <f>VLOOKUP(B220,Sheet3!$B$2:$E$311,3,)</f>
        <v>#N/A</v>
      </c>
      <c r="F220" s="6" t="str">
        <f>VLOOKUP(B220,Sheet3!$B$2:$E$311,4,)</f>
        <v>#N/A</v>
      </c>
      <c r="G220" s="6"/>
      <c r="H220" s="6"/>
      <c r="I220" s="6"/>
    </row>
    <row r="221" ht="15.75" customHeight="1">
      <c r="A221" s="23"/>
      <c r="B221" s="6"/>
      <c r="C221" s="6"/>
      <c r="D221" s="6"/>
      <c r="E221" s="6" t="str">
        <f>VLOOKUP(B221,Sheet3!$B$2:$E$311,3,)</f>
        <v>#N/A</v>
      </c>
      <c r="F221" s="6" t="str">
        <f>VLOOKUP(B221,Sheet3!$B$2:$E$311,4,)</f>
        <v>#N/A</v>
      </c>
      <c r="G221" s="6"/>
      <c r="H221" s="6"/>
      <c r="I221" s="6"/>
    </row>
    <row r="222" ht="15.75" customHeight="1">
      <c r="A222" s="23"/>
      <c r="B222" s="6"/>
      <c r="C222" s="6"/>
      <c r="D222" s="6"/>
      <c r="E222" s="6" t="str">
        <f>VLOOKUP(B222,Sheet3!$B$2:$E$311,3,)</f>
        <v>#N/A</v>
      </c>
      <c r="F222" s="6" t="str">
        <f>VLOOKUP(B222,Sheet3!$B$2:$E$311,4,)</f>
        <v>#N/A</v>
      </c>
      <c r="G222" s="6"/>
      <c r="H222" s="6"/>
      <c r="I222" s="6"/>
    </row>
    <row r="223" ht="15.75" customHeight="1">
      <c r="A223" s="23"/>
      <c r="B223" s="6"/>
      <c r="C223" s="6"/>
      <c r="D223" s="6"/>
      <c r="E223" s="6" t="str">
        <f>VLOOKUP(B223,Sheet3!$B$2:$E$311,3,)</f>
        <v>#N/A</v>
      </c>
      <c r="F223" s="6" t="str">
        <f>VLOOKUP(B223,Sheet3!$B$2:$E$311,4,)</f>
        <v>#N/A</v>
      </c>
      <c r="G223" s="6"/>
      <c r="H223" s="6"/>
      <c r="I223" s="6"/>
    </row>
    <row r="224" ht="15.75" customHeight="1">
      <c r="A224" s="23"/>
      <c r="B224" s="6"/>
      <c r="C224" s="6"/>
      <c r="D224" s="6"/>
      <c r="E224" s="6" t="str">
        <f>VLOOKUP(B224,Sheet3!$B$2:$E$311,3,)</f>
        <v>#N/A</v>
      </c>
      <c r="F224" s="6" t="str">
        <f>VLOOKUP(B224,Sheet3!$B$2:$E$311,4,)</f>
        <v>#N/A</v>
      </c>
      <c r="G224" s="6"/>
      <c r="H224" s="6"/>
      <c r="I224" s="6"/>
    </row>
    <row r="225" ht="15.75" customHeight="1">
      <c r="A225" s="23"/>
      <c r="B225" s="6"/>
      <c r="C225" s="6"/>
      <c r="D225" s="6"/>
      <c r="E225" s="6" t="str">
        <f>VLOOKUP(B225,Sheet3!$B$2:$E$311,3,)</f>
        <v>#N/A</v>
      </c>
      <c r="F225" s="6" t="str">
        <f>VLOOKUP(B225,Sheet3!$B$2:$E$311,4,)</f>
        <v>#N/A</v>
      </c>
      <c r="G225" s="6"/>
      <c r="H225" s="6"/>
      <c r="I225" s="6"/>
    </row>
    <row r="226" ht="15.75" customHeight="1">
      <c r="A226" s="23"/>
      <c r="B226" s="6"/>
      <c r="C226" s="6"/>
      <c r="D226" s="6"/>
      <c r="E226" s="6" t="str">
        <f>VLOOKUP(B226,Sheet3!$B$2:$E$311,3,)</f>
        <v>#N/A</v>
      </c>
      <c r="F226" s="6" t="str">
        <f>VLOOKUP(B226,Sheet3!$B$2:$E$311,4,)</f>
        <v>#N/A</v>
      </c>
      <c r="G226" s="6"/>
      <c r="H226" s="6"/>
      <c r="I226" s="6"/>
    </row>
    <row r="227" ht="15.75" customHeight="1">
      <c r="A227" s="23"/>
      <c r="B227" s="6"/>
      <c r="C227" s="6"/>
      <c r="D227" s="6"/>
      <c r="E227" s="6" t="str">
        <f>VLOOKUP(B227,Sheet3!$B$2:$E$311,3,)</f>
        <v>#N/A</v>
      </c>
      <c r="F227" s="6" t="str">
        <f>VLOOKUP(B227,Sheet3!$B$2:$E$311,4,)</f>
        <v>#N/A</v>
      </c>
      <c r="G227" s="6"/>
      <c r="H227" s="6"/>
      <c r="I227" s="6"/>
    </row>
    <row r="228" ht="15.75" customHeight="1">
      <c r="A228" s="23"/>
      <c r="B228" s="6"/>
      <c r="C228" s="6"/>
      <c r="D228" s="6"/>
      <c r="E228" s="6" t="str">
        <f>VLOOKUP(B228,Sheet3!$B$2:$E$311,3,)</f>
        <v>#N/A</v>
      </c>
      <c r="F228" s="6" t="str">
        <f>VLOOKUP(B228,Sheet3!$B$2:$E$311,4,)</f>
        <v>#N/A</v>
      </c>
      <c r="G228" s="6"/>
      <c r="H228" s="6"/>
      <c r="I228" s="6"/>
    </row>
    <row r="229" ht="15.75" customHeight="1">
      <c r="A229" s="23"/>
      <c r="B229" s="6"/>
      <c r="C229" s="6"/>
      <c r="D229" s="6"/>
      <c r="E229" s="6" t="str">
        <f>VLOOKUP(B229,Sheet3!$B$2:$E$311,3,)</f>
        <v>#N/A</v>
      </c>
      <c r="F229" s="6" t="str">
        <f>VLOOKUP(B229,Sheet3!$B$2:$E$311,4,)</f>
        <v>#N/A</v>
      </c>
      <c r="G229" s="6"/>
      <c r="H229" s="6"/>
      <c r="I229" s="6"/>
    </row>
    <row r="230" ht="15.75" customHeight="1">
      <c r="A230" s="23"/>
      <c r="B230" s="6"/>
      <c r="C230" s="6"/>
      <c r="D230" s="6"/>
      <c r="E230" s="6" t="str">
        <f>VLOOKUP(B230,Sheet3!$B$2:$E$311,3,)</f>
        <v>#N/A</v>
      </c>
      <c r="F230" s="6" t="str">
        <f>VLOOKUP(B230,Sheet3!$B$2:$E$311,4,)</f>
        <v>#N/A</v>
      </c>
      <c r="G230" s="6"/>
      <c r="H230" s="6"/>
      <c r="I230" s="6"/>
    </row>
    <row r="231" ht="15.75" customHeight="1">
      <c r="A231" s="23"/>
      <c r="B231" s="6"/>
      <c r="C231" s="6"/>
      <c r="D231" s="6"/>
      <c r="E231" s="6" t="str">
        <f>VLOOKUP(B231,Sheet3!$B$2:$E$311,3,)</f>
        <v>#N/A</v>
      </c>
      <c r="F231" s="6" t="str">
        <f>VLOOKUP(B231,Sheet3!$B$2:$E$311,4,)</f>
        <v>#N/A</v>
      </c>
      <c r="G231" s="6"/>
      <c r="H231" s="6"/>
      <c r="I231" s="6"/>
    </row>
    <row r="232" ht="15.75" customHeight="1">
      <c r="A232" s="23"/>
      <c r="B232" s="6"/>
      <c r="C232" s="6"/>
      <c r="D232" s="6"/>
      <c r="E232" s="6" t="str">
        <f>VLOOKUP(B232,Sheet3!$B$2:$E$311,3,)</f>
        <v>#N/A</v>
      </c>
      <c r="F232" s="6" t="str">
        <f>VLOOKUP(B232,Sheet3!$B$2:$E$311,4,)</f>
        <v>#N/A</v>
      </c>
      <c r="G232" s="6"/>
      <c r="H232" s="6"/>
      <c r="I232" s="6"/>
    </row>
    <row r="233" ht="15.75" customHeight="1">
      <c r="A233" s="23"/>
      <c r="B233" s="6"/>
      <c r="C233" s="6"/>
      <c r="D233" s="6"/>
      <c r="E233" s="6" t="str">
        <f>VLOOKUP(B233,Sheet3!$B$2:$E$311,3,)</f>
        <v>#N/A</v>
      </c>
      <c r="F233" s="6" t="str">
        <f>VLOOKUP(B233,Sheet3!$B$2:$E$311,4,)</f>
        <v>#N/A</v>
      </c>
      <c r="G233" s="6"/>
      <c r="H233" s="6"/>
      <c r="I233" s="6"/>
    </row>
    <row r="234" ht="15.75" customHeight="1">
      <c r="A234" s="6"/>
      <c r="B234" s="6"/>
      <c r="C234" s="6"/>
      <c r="D234" s="6"/>
      <c r="E234" s="6" t="str">
        <f>VLOOKUP(B234,Sheet3!$B$2:$E$311,3,)</f>
        <v>#N/A</v>
      </c>
      <c r="F234" s="6" t="str">
        <f>VLOOKUP(B234,Sheet3!$B$2:$E$311,4,)</f>
        <v>#N/A</v>
      </c>
      <c r="G234" s="6"/>
      <c r="H234" s="6"/>
      <c r="I234" s="6"/>
    </row>
    <row r="235" ht="15.75" customHeight="1">
      <c r="A235" s="6"/>
      <c r="B235" s="6"/>
      <c r="C235" s="6"/>
      <c r="D235" s="6"/>
      <c r="E235" s="6" t="str">
        <f>VLOOKUP(B235,Sheet3!$B$2:$E$311,3,)</f>
        <v>#N/A</v>
      </c>
      <c r="F235" s="6" t="str">
        <f>VLOOKUP(B235,Sheet3!$B$2:$E$311,4,)</f>
        <v>#N/A</v>
      </c>
      <c r="G235" s="6"/>
      <c r="H235" s="6"/>
      <c r="I235" s="6"/>
    </row>
    <row r="236" ht="15.75" customHeight="1">
      <c r="A236" s="6"/>
      <c r="B236" s="6"/>
      <c r="C236" s="6"/>
      <c r="D236" s="6"/>
      <c r="E236" s="6" t="str">
        <f>VLOOKUP(B236,Sheet3!$B$2:$E$311,3,)</f>
        <v>#N/A</v>
      </c>
      <c r="F236" s="6" t="str">
        <f>VLOOKUP(B236,Sheet3!$B$2:$E$311,4,)</f>
        <v>#N/A</v>
      </c>
      <c r="G236" s="6"/>
      <c r="H236" s="6"/>
      <c r="I236" s="6"/>
    </row>
    <row r="237" ht="15.75" customHeight="1">
      <c r="A237" s="6"/>
      <c r="B237" s="6"/>
      <c r="C237" s="6"/>
      <c r="D237" s="6"/>
      <c r="E237" s="6" t="str">
        <f>VLOOKUP(B237,Sheet3!$B$2:$E$311,3,)</f>
        <v>#N/A</v>
      </c>
      <c r="F237" s="6" t="str">
        <f>VLOOKUP(B237,Sheet3!$B$2:$E$311,4,)</f>
        <v>#N/A</v>
      </c>
      <c r="G237" s="6"/>
      <c r="H237" s="6"/>
      <c r="I237" s="6"/>
    </row>
    <row r="238" ht="15.75" customHeight="1">
      <c r="A238" s="6"/>
      <c r="B238" s="6"/>
      <c r="C238" s="6"/>
      <c r="D238" s="6"/>
      <c r="E238" s="6" t="str">
        <f>VLOOKUP(B238,Sheet3!$B$2:$E$311,3,)</f>
        <v>#N/A</v>
      </c>
      <c r="F238" s="6" t="str">
        <f>VLOOKUP(B238,Sheet3!$B$2:$E$311,4,)</f>
        <v>#N/A</v>
      </c>
      <c r="G238" s="6"/>
      <c r="H238" s="6"/>
      <c r="I238" s="6"/>
    </row>
    <row r="239" ht="15.75" customHeight="1">
      <c r="A239" s="6"/>
      <c r="B239" s="6"/>
      <c r="C239" s="6"/>
      <c r="D239" s="6"/>
      <c r="E239" s="6" t="str">
        <f>VLOOKUP(B239,Sheet3!$B$2:$E$311,3,)</f>
        <v>#N/A</v>
      </c>
      <c r="F239" s="6" t="str">
        <f>VLOOKUP(B239,Sheet3!$B$2:$E$311,4,)</f>
        <v>#N/A</v>
      </c>
      <c r="G239" s="6"/>
      <c r="H239" s="6"/>
      <c r="I239" s="6"/>
    </row>
    <row r="240" ht="15.75" customHeight="1">
      <c r="A240" s="6"/>
      <c r="B240" s="6"/>
      <c r="C240" s="6"/>
      <c r="D240" s="6"/>
      <c r="E240" s="6" t="str">
        <f>VLOOKUP(B240,Sheet3!$B$2:$E$311,3,)</f>
        <v>#N/A</v>
      </c>
      <c r="F240" s="6" t="str">
        <f>VLOOKUP(B240,Sheet3!$B$2:$E$311,4,)</f>
        <v>#N/A</v>
      </c>
      <c r="G240" s="6"/>
      <c r="H240" s="6"/>
      <c r="I240" s="6"/>
    </row>
    <row r="241" ht="15.75" customHeight="1">
      <c r="A241" s="6"/>
      <c r="B241" s="6"/>
      <c r="C241" s="6"/>
      <c r="D241" s="6"/>
      <c r="E241" s="6" t="str">
        <f>VLOOKUP(B241,Sheet3!$B$2:$E$311,3,)</f>
        <v>#N/A</v>
      </c>
      <c r="F241" s="6" t="str">
        <f>VLOOKUP(B241,Sheet3!$B$2:$E$311,4,)</f>
        <v>#N/A</v>
      </c>
      <c r="G241" s="6"/>
      <c r="H241" s="6"/>
      <c r="I241" s="6"/>
    </row>
    <row r="242" ht="15.75" customHeight="1">
      <c r="A242" s="6"/>
      <c r="B242" s="6"/>
      <c r="C242" s="6"/>
      <c r="D242" s="6"/>
      <c r="E242" s="6" t="str">
        <f>VLOOKUP(B242,Sheet3!$B$2:$E$311,3,)</f>
        <v>#N/A</v>
      </c>
      <c r="F242" s="6" t="str">
        <f>VLOOKUP(B242,Sheet3!$B$2:$E$311,4,)</f>
        <v>#N/A</v>
      </c>
      <c r="G242" s="6"/>
      <c r="H242" s="6"/>
      <c r="I242" s="6"/>
    </row>
    <row r="243" ht="15.75" customHeight="1">
      <c r="A243" s="6"/>
      <c r="B243" s="6"/>
      <c r="C243" s="6"/>
      <c r="D243" s="6"/>
      <c r="E243" s="6" t="str">
        <f>VLOOKUP(B243,Sheet3!$B$2:$E$311,3,)</f>
        <v>#N/A</v>
      </c>
      <c r="F243" s="6" t="str">
        <f>VLOOKUP(B243,Sheet3!$B$2:$E$311,4,)</f>
        <v>#N/A</v>
      </c>
      <c r="G243" s="6"/>
      <c r="H243" s="6"/>
      <c r="I243" s="6"/>
    </row>
    <row r="244" ht="15.75" customHeight="1">
      <c r="A244" s="6"/>
      <c r="B244" s="6"/>
      <c r="C244" s="6"/>
      <c r="D244" s="6"/>
      <c r="E244" s="6" t="str">
        <f>VLOOKUP(B244,Sheet3!$B$2:$E$311,3,)</f>
        <v>#N/A</v>
      </c>
      <c r="F244" s="6" t="str">
        <f>VLOOKUP(B244,Sheet3!$B$2:$E$311,4,)</f>
        <v>#N/A</v>
      </c>
      <c r="G244" s="6"/>
      <c r="H244" s="6"/>
      <c r="I244" s="6"/>
    </row>
    <row r="245" ht="15.75" customHeight="1">
      <c r="A245" s="6"/>
      <c r="B245" s="6"/>
      <c r="C245" s="6"/>
      <c r="D245" s="6"/>
      <c r="E245" s="6" t="str">
        <f>VLOOKUP(B245,Sheet3!$B$2:$E$311,3,)</f>
        <v>#N/A</v>
      </c>
      <c r="F245" s="6" t="str">
        <f>VLOOKUP(B245,Sheet3!$B$2:$E$311,4,)</f>
        <v>#N/A</v>
      </c>
      <c r="G245" s="6"/>
      <c r="H245" s="6"/>
      <c r="I245" s="6"/>
    </row>
    <row r="246" ht="15.75" customHeight="1">
      <c r="A246" s="6"/>
      <c r="B246" s="6"/>
      <c r="C246" s="6"/>
      <c r="D246" s="6"/>
      <c r="E246" s="6" t="str">
        <f>VLOOKUP(B246,Sheet3!$B$2:$E$311,3,)</f>
        <v>#N/A</v>
      </c>
      <c r="F246" s="6" t="str">
        <f>VLOOKUP(B246,Sheet3!$B$2:$E$311,4,)</f>
        <v>#N/A</v>
      </c>
      <c r="G246" s="6"/>
      <c r="H246" s="6"/>
      <c r="I246" s="6"/>
    </row>
    <row r="247" ht="15.75" customHeight="1">
      <c r="A247" s="6"/>
      <c r="B247" s="6"/>
      <c r="C247" s="6"/>
      <c r="D247" s="6"/>
      <c r="E247" s="6" t="str">
        <f>VLOOKUP(B247,Sheet3!$B$2:$E$311,3,)</f>
        <v>#N/A</v>
      </c>
      <c r="F247" s="6" t="str">
        <f>VLOOKUP(B247,Sheet3!$B$2:$E$311,4,)</f>
        <v>#N/A</v>
      </c>
      <c r="G247" s="6"/>
      <c r="H247" s="6"/>
      <c r="I247" s="6"/>
    </row>
    <row r="248" ht="15.75" customHeight="1">
      <c r="A248" s="6"/>
      <c r="B248" s="6"/>
      <c r="C248" s="6"/>
      <c r="D248" s="6"/>
      <c r="E248" s="6" t="str">
        <f>VLOOKUP(B248,Sheet3!$B$2:$E$311,3,)</f>
        <v>#N/A</v>
      </c>
      <c r="F248" s="6" t="str">
        <f>VLOOKUP(B248,Sheet3!$B$2:$E$311,4,)</f>
        <v>#N/A</v>
      </c>
      <c r="G248" s="6"/>
      <c r="H248" s="6"/>
      <c r="I248" s="6"/>
    </row>
    <row r="249" ht="15.75" customHeight="1">
      <c r="A249" s="6"/>
      <c r="B249" s="6"/>
      <c r="C249" s="6"/>
      <c r="D249" s="6"/>
      <c r="E249" s="6" t="str">
        <f>VLOOKUP(B249,Sheet3!$B$2:$E$311,3,)</f>
        <v>#N/A</v>
      </c>
      <c r="F249" s="6" t="str">
        <f>VLOOKUP(B249,Sheet3!$B$2:$E$311,4,)</f>
        <v>#N/A</v>
      </c>
      <c r="G249" s="6"/>
      <c r="H249" s="6"/>
      <c r="I249" s="6"/>
    </row>
    <row r="250" ht="15.75" customHeight="1">
      <c r="A250" s="6"/>
      <c r="B250" s="6"/>
      <c r="C250" s="6"/>
      <c r="D250" s="6"/>
      <c r="E250" s="6" t="str">
        <f>VLOOKUP(B250,Sheet3!$B$2:$E$311,3,)</f>
        <v>#N/A</v>
      </c>
      <c r="F250" s="6" t="str">
        <f>VLOOKUP(B250,Sheet3!$B$2:$E$311,4,)</f>
        <v>#N/A</v>
      </c>
      <c r="G250" s="6"/>
      <c r="H250" s="6"/>
      <c r="I250" s="6"/>
    </row>
    <row r="251" ht="15.75" customHeight="1">
      <c r="A251" s="6"/>
      <c r="B251" s="6"/>
      <c r="C251" s="6"/>
      <c r="D251" s="6"/>
      <c r="E251" s="6" t="str">
        <f>VLOOKUP(B251,Sheet3!$B$2:$E$311,3,)</f>
        <v>#N/A</v>
      </c>
      <c r="F251" s="6" t="str">
        <f>VLOOKUP(B251,Sheet3!$B$2:$E$311,4,)</f>
        <v>#N/A</v>
      </c>
      <c r="G251" s="6"/>
      <c r="H251" s="6"/>
      <c r="I251" s="6"/>
    </row>
    <row r="252" ht="15.75" customHeight="1">
      <c r="A252" s="6"/>
      <c r="B252" s="6"/>
      <c r="C252" s="6"/>
      <c r="D252" s="6"/>
      <c r="E252" s="6" t="str">
        <f>VLOOKUP(B252,Sheet3!$B$2:$E$311,3,)</f>
        <v>#N/A</v>
      </c>
      <c r="F252" s="6" t="str">
        <f>VLOOKUP(B252,Sheet3!$B$2:$E$311,4,)</f>
        <v>#N/A</v>
      </c>
      <c r="G252" s="6"/>
      <c r="H252" s="6"/>
      <c r="I252" s="6"/>
    </row>
    <row r="253" ht="15.75" customHeight="1">
      <c r="A253" s="6"/>
      <c r="B253" s="6"/>
      <c r="C253" s="6"/>
      <c r="D253" s="6"/>
      <c r="E253" s="6" t="str">
        <f>VLOOKUP(B253,Sheet3!$B$2:$E$311,3,)</f>
        <v>#N/A</v>
      </c>
      <c r="F253" s="6" t="str">
        <f>VLOOKUP(B253,Sheet3!$B$2:$E$311,4,)</f>
        <v>#N/A</v>
      </c>
      <c r="G253" s="6"/>
      <c r="H253" s="6"/>
      <c r="I253" s="6"/>
    </row>
    <row r="254" ht="15.75" customHeight="1">
      <c r="A254" s="6"/>
      <c r="B254" s="6"/>
      <c r="C254" s="6"/>
      <c r="D254" s="6"/>
      <c r="E254" s="6" t="str">
        <f>VLOOKUP(B254,Sheet3!$B$2:$E$311,3,)</f>
        <v>#N/A</v>
      </c>
      <c r="F254" s="6" t="str">
        <f>VLOOKUP(B254,Sheet3!$B$2:$E$311,4,)</f>
        <v>#N/A</v>
      </c>
      <c r="G254" s="6"/>
      <c r="H254" s="6"/>
      <c r="I254" s="6"/>
    </row>
    <row r="255" ht="15.75" customHeight="1">
      <c r="A255" s="6"/>
      <c r="B255" s="6"/>
      <c r="C255" s="6"/>
      <c r="D255" s="6"/>
      <c r="E255" s="6" t="str">
        <f>VLOOKUP(B255,Sheet3!$B$2:$E$311,3,)</f>
        <v>#N/A</v>
      </c>
      <c r="F255" s="6" t="str">
        <f>VLOOKUP(B255,Sheet3!$B$2:$E$311,4,)</f>
        <v>#N/A</v>
      </c>
      <c r="G255" s="6"/>
      <c r="H255" s="6"/>
      <c r="I255" s="6"/>
    </row>
    <row r="256" ht="15.75" customHeight="1">
      <c r="A256" s="6"/>
      <c r="B256" s="6"/>
      <c r="C256" s="6"/>
      <c r="D256" s="6"/>
      <c r="E256" s="6" t="str">
        <f>VLOOKUP(B256,Sheet3!$B$2:$E$311,3,)</f>
        <v>#N/A</v>
      </c>
      <c r="F256" s="6" t="str">
        <f>VLOOKUP(B256,Sheet3!$B$2:$E$311,4,)</f>
        <v>#N/A</v>
      </c>
      <c r="G256" s="6"/>
      <c r="H256" s="6"/>
      <c r="I256" s="6"/>
    </row>
    <row r="257" ht="15.75" customHeight="1">
      <c r="A257" s="6"/>
      <c r="B257" s="6"/>
      <c r="C257" s="6"/>
      <c r="D257" s="6"/>
      <c r="E257" s="6" t="str">
        <f>VLOOKUP(B257,Sheet3!$B$2:$E$311,3,)</f>
        <v>#N/A</v>
      </c>
      <c r="F257" s="6" t="str">
        <f>VLOOKUP(B257,Sheet3!$B$2:$E$311,4,)</f>
        <v>#N/A</v>
      </c>
      <c r="G257" s="6"/>
      <c r="H257" s="6"/>
      <c r="I257" s="6"/>
    </row>
    <row r="258" ht="15.75" customHeight="1">
      <c r="A258" s="6"/>
      <c r="B258" s="6"/>
      <c r="C258" s="6"/>
      <c r="D258" s="6"/>
      <c r="E258" s="6" t="str">
        <f>VLOOKUP(B258,Sheet3!$B$2:$E$311,3,)</f>
        <v>#N/A</v>
      </c>
      <c r="F258" s="6" t="str">
        <f>VLOOKUP(B258,Sheet3!$B$2:$E$311,4,)</f>
        <v>#N/A</v>
      </c>
      <c r="G258" s="6"/>
      <c r="H258" s="6"/>
      <c r="I258" s="6"/>
    </row>
    <row r="259" ht="15.75" customHeight="1">
      <c r="A259" s="6"/>
      <c r="B259" s="6"/>
      <c r="C259" s="6"/>
      <c r="D259" s="6"/>
      <c r="E259" s="6" t="str">
        <f>VLOOKUP(B259,Sheet3!$B$2:$E$311,3,)</f>
        <v>#N/A</v>
      </c>
      <c r="F259" s="6" t="str">
        <f>VLOOKUP(B259,Sheet3!$B$2:$E$311,4,)</f>
        <v>#N/A</v>
      </c>
      <c r="G259" s="6"/>
      <c r="H259" s="6"/>
      <c r="I259" s="6"/>
    </row>
    <row r="260" ht="15.75" customHeight="1">
      <c r="A260" s="6"/>
      <c r="B260" s="6"/>
      <c r="C260" s="6"/>
      <c r="D260" s="6"/>
      <c r="E260" s="6" t="str">
        <f>VLOOKUP(B260,Sheet3!$B$2:$E$311,3,)</f>
        <v>#N/A</v>
      </c>
      <c r="F260" s="6" t="str">
        <f>VLOOKUP(B260,Sheet3!$B$2:$E$311,4,)</f>
        <v>#N/A</v>
      </c>
      <c r="G260" s="6"/>
      <c r="H260" s="6"/>
      <c r="I260" s="6"/>
    </row>
    <row r="261" ht="15.75" customHeight="1">
      <c r="A261" s="6"/>
      <c r="B261" s="6"/>
      <c r="C261" s="6"/>
      <c r="D261" s="6"/>
      <c r="E261" s="6" t="str">
        <f>VLOOKUP(B261,Sheet3!$B$2:$E$311,3,)</f>
        <v>#N/A</v>
      </c>
      <c r="F261" s="6" t="str">
        <f>VLOOKUP(B261,Sheet3!$B$2:$E$311,4,)</f>
        <v>#N/A</v>
      </c>
      <c r="G261" s="6"/>
      <c r="H261" s="6"/>
      <c r="I261" s="6"/>
    </row>
    <row r="262" ht="15.75" customHeight="1">
      <c r="A262" s="6"/>
      <c r="B262" s="6"/>
      <c r="C262" s="6"/>
      <c r="D262" s="6"/>
      <c r="E262" s="6" t="str">
        <f>VLOOKUP(B262,Sheet3!$B$2:$E$311,3,)</f>
        <v>#N/A</v>
      </c>
      <c r="F262" s="6" t="str">
        <f>VLOOKUP(B262,Sheet3!$B$2:$E$311,4,)</f>
        <v>#N/A</v>
      </c>
      <c r="G262" s="6"/>
      <c r="H262" s="6"/>
      <c r="I262" s="6"/>
    </row>
    <row r="263" ht="15.75" customHeight="1">
      <c r="A263" s="6"/>
      <c r="B263" s="6"/>
      <c r="C263" s="6"/>
      <c r="D263" s="6"/>
      <c r="E263" s="6" t="str">
        <f>VLOOKUP(B263,Sheet3!$B$2:$E$311,3,)</f>
        <v>#N/A</v>
      </c>
      <c r="F263" s="6" t="str">
        <f>VLOOKUP(B263,Sheet3!$B$2:$E$311,4,)</f>
        <v>#N/A</v>
      </c>
      <c r="G263" s="6"/>
      <c r="H263" s="6"/>
      <c r="I263" s="6"/>
    </row>
    <row r="264" ht="15.75" customHeight="1">
      <c r="A264" s="6"/>
      <c r="B264" s="6"/>
      <c r="C264" s="6"/>
      <c r="D264" s="6"/>
      <c r="E264" s="6" t="str">
        <f>VLOOKUP(B264,Sheet3!$B$2:$E$311,3,)</f>
        <v>#N/A</v>
      </c>
      <c r="F264" s="6" t="str">
        <f>VLOOKUP(B264,Sheet3!$B$2:$E$311,4,)</f>
        <v>#N/A</v>
      </c>
      <c r="G264" s="6"/>
      <c r="H264" s="6"/>
      <c r="I264" s="6"/>
    </row>
    <row r="265" ht="15.75" customHeight="1">
      <c r="A265" s="6"/>
      <c r="B265" s="6"/>
      <c r="C265" s="6"/>
      <c r="D265" s="6"/>
      <c r="E265" s="6" t="str">
        <f>VLOOKUP(B265,Sheet3!$B$2:$E$311,3,)</f>
        <v>#N/A</v>
      </c>
      <c r="F265" s="6" t="str">
        <f>VLOOKUP(B265,Sheet3!$B$2:$E$311,4,)</f>
        <v>#N/A</v>
      </c>
      <c r="G265" s="6"/>
      <c r="H265" s="6"/>
      <c r="I265" s="6"/>
    </row>
    <row r="266" ht="15.75" customHeight="1">
      <c r="A266" s="6"/>
      <c r="B266" s="6"/>
      <c r="C266" s="6"/>
      <c r="D266" s="6"/>
      <c r="E266" s="6" t="str">
        <f>VLOOKUP(B266,Sheet3!$B$2:$E$311,3,)</f>
        <v>#N/A</v>
      </c>
      <c r="F266" s="6" t="str">
        <f>VLOOKUP(B266,Sheet3!$B$2:$E$311,4,)</f>
        <v>#N/A</v>
      </c>
      <c r="G266" s="6"/>
      <c r="H266" s="6"/>
      <c r="I266" s="6"/>
    </row>
    <row r="267" ht="15.75" customHeight="1">
      <c r="A267" s="6"/>
      <c r="B267" s="6"/>
      <c r="C267" s="6"/>
      <c r="D267" s="6"/>
      <c r="E267" s="6" t="str">
        <f>VLOOKUP(B267,Sheet3!$B$2:$E$311,3,)</f>
        <v>#N/A</v>
      </c>
      <c r="F267" s="6" t="str">
        <f>VLOOKUP(B267,Sheet3!$B$2:$E$311,4,)</f>
        <v>#N/A</v>
      </c>
      <c r="G267" s="6"/>
      <c r="H267" s="6"/>
      <c r="I267" s="6"/>
    </row>
    <row r="268" ht="15.75" customHeight="1">
      <c r="A268" s="6"/>
      <c r="B268" s="6"/>
      <c r="C268" s="6"/>
      <c r="D268" s="6"/>
      <c r="E268" s="6" t="str">
        <f>VLOOKUP(B268,Sheet3!$B$2:$E$311,3,)</f>
        <v>#N/A</v>
      </c>
      <c r="F268" s="6" t="str">
        <f>VLOOKUP(B268,Sheet3!$B$2:$E$311,4,)</f>
        <v>#N/A</v>
      </c>
      <c r="G268" s="6"/>
      <c r="H268" s="6"/>
      <c r="I268" s="6"/>
    </row>
    <row r="269" ht="15.75" customHeight="1">
      <c r="A269" s="6"/>
      <c r="B269" s="6"/>
      <c r="C269" s="6"/>
      <c r="D269" s="6"/>
      <c r="E269" s="6" t="str">
        <f>VLOOKUP(B269,Sheet3!$B$2:$E$311,3,)</f>
        <v>#N/A</v>
      </c>
      <c r="F269" s="6" t="str">
        <f>VLOOKUP(B269,Sheet3!$B$2:$E$311,4,)</f>
        <v>#N/A</v>
      </c>
      <c r="G269" s="6"/>
      <c r="H269" s="6"/>
      <c r="I269" s="6"/>
    </row>
    <row r="270" ht="15.75" customHeight="1">
      <c r="A270" s="6"/>
      <c r="B270" s="6"/>
      <c r="C270" s="6"/>
      <c r="D270" s="6"/>
      <c r="E270" s="6" t="str">
        <f>VLOOKUP(B270,Sheet3!$B$2:$E$311,3,)</f>
        <v>#N/A</v>
      </c>
      <c r="F270" s="6" t="str">
        <f>VLOOKUP(B270,Sheet3!$B$2:$E$311,4,)</f>
        <v>#N/A</v>
      </c>
      <c r="G270" s="6"/>
      <c r="H270" s="6"/>
      <c r="I270" s="6"/>
    </row>
    <row r="271" ht="15.75" customHeight="1">
      <c r="A271" s="6"/>
      <c r="B271" s="6"/>
      <c r="C271" s="6"/>
      <c r="D271" s="6"/>
      <c r="E271" s="6" t="str">
        <f>VLOOKUP(B271,Sheet3!$B$2:$E$311,3,)</f>
        <v>#N/A</v>
      </c>
      <c r="F271" s="6" t="str">
        <f>VLOOKUP(B271,Sheet3!$B$2:$E$311,4,)</f>
        <v>#N/A</v>
      </c>
      <c r="G271" s="6"/>
      <c r="H271" s="6"/>
      <c r="I271" s="6"/>
    </row>
    <row r="272" ht="15.75" customHeight="1">
      <c r="A272" s="6"/>
      <c r="B272" s="6"/>
      <c r="C272" s="6"/>
      <c r="D272" s="6"/>
      <c r="E272" s="6" t="str">
        <f>VLOOKUP(B272,Sheet3!$B$2:$E$311,3,)</f>
        <v>#N/A</v>
      </c>
      <c r="F272" s="6" t="str">
        <f>VLOOKUP(B272,Sheet3!$B$2:$E$311,4,)</f>
        <v>#N/A</v>
      </c>
      <c r="G272" s="6"/>
      <c r="H272" s="6"/>
      <c r="I272" s="6"/>
    </row>
    <row r="273" ht="15.75" customHeight="1">
      <c r="A273" s="6"/>
      <c r="B273" s="6"/>
      <c r="C273" s="6"/>
      <c r="D273" s="6"/>
      <c r="E273" s="6" t="str">
        <f>VLOOKUP(B273,Sheet3!$B$2:$E$311,3,)</f>
        <v>#N/A</v>
      </c>
      <c r="F273" s="6" t="str">
        <f>VLOOKUP(B273,Sheet3!$B$2:$E$311,4,)</f>
        <v>#N/A</v>
      </c>
      <c r="G273" s="6"/>
      <c r="H273" s="6"/>
      <c r="I273" s="6"/>
    </row>
    <row r="274" ht="15.75" customHeight="1">
      <c r="A274" s="6"/>
      <c r="B274" s="6"/>
      <c r="C274" s="6"/>
      <c r="D274" s="6"/>
      <c r="E274" s="6" t="str">
        <f>VLOOKUP(B274,Sheet3!$B$2:$E$311,3,)</f>
        <v>#N/A</v>
      </c>
      <c r="F274" s="6" t="str">
        <f>VLOOKUP(B274,Sheet3!$B$2:$E$311,4,)</f>
        <v>#N/A</v>
      </c>
      <c r="G274" s="6"/>
      <c r="H274" s="6"/>
      <c r="I274" s="6"/>
    </row>
    <row r="275" ht="15.75" customHeight="1">
      <c r="A275" s="6"/>
      <c r="B275" s="6"/>
      <c r="C275" s="6"/>
      <c r="D275" s="6"/>
      <c r="E275" s="6" t="str">
        <f>VLOOKUP(B275,Sheet3!$B$2:$E$311,3,)</f>
        <v>#N/A</v>
      </c>
      <c r="F275" s="6" t="str">
        <f>VLOOKUP(B275,Sheet3!$B$2:$E$311,4,)</f>
        <v>#N/A</v>
      </c>
      <c r="G275" s="6"/>
      <c r="H275" s="6"/>
      <c r="I275" s="6"/>
    </row>
    <row r="276" ht="15.75" customHeight="1">
      <c r="A276" s="6"/>
      <c r="B276" s="6"/>
      <c r="C276" s="6"/>
      <c r="D276" s="6"/>
      <c r="E276" s="6" t="str">
        <f>VLOOKUP(B276,Sheet3!$B$2:$E$311,3,)</f>
        <v>#N/A</v>
      </c>
      <c r="F276" s="6" t="str">
        <f>VLOOKUP(B276,Sheet3!$B$2:$E$311,4,)</f>
        <v>#N/A</v>
      </c>
      <c r="G276" s="6"/>
      <c r="H276" s="6"/>
      <c r="I276" s="6"/>
    </row>
    <row r="277" ht="15.75" customHeight="1">
      <c r="A277" s="6"/>
      <c r="B277" s="6"/>
      <c r="C277" s="6"/>
      <c r="D277" s="6"/>
      <c r="E277" s="6" t="str">
        <f>VLOOKUP(B277,Sheet3!$B$2:$E$311,3,)</f>
        <v>#N/A</v>
      </c>
      <c r="F277" s="6" t="str">
        <f>VLOOKUP(B277,Sheet3!$B$2:$E$311,4,)</f>
        <v>#N/A</v>
      </c>
      <c r="G277" s="6"/>
      <c r="H277" s="6"/>
      <c r="I277" s="6"/>
    </row>
    <row r="278" ht="15.75" customHeight="1">
      <c r="A278" s="6"/>
      <c r="B278" s="6"/>
      <c r="C278" s="6"/>
      <c r="D278" s="6"/>
      <c r="E278" s="6" t="str">
        <f>VLOOKUP(B278,Sheet3!$B$2:$E$311,3,)</f>
        <v>#N/A</v>
      </c>
      <c r="F278" s="6" t="str">
        <f>VLOOKUP(B278,Sheet3!$B$2:$E$311,4,)</f>
        <v>#N/A</v>
      </c>
      <c r="G278" s="6"/>
      <c r="H278" s="6"/>
      <c r="I278" s="6"/>
    </row>
    <row r="279" ht="15.75" customHeight="1">
      <c r="A279" s="6"/>
      <c r="B279" s="6"/>
      <c r="C279" s="6"/>
      <c r="D279" s="6"/>
      <c r="E279" s="6" t="str">
        <f>VLOOKUP(B279,Sheet3!$B$2:$E$311,3,)</f>
        <v>#N/A</v>
      </c>
      <c r="F279" s="6" t="str">
        <f>VLOOKUP(B279,Sheet3!$B$2:$E$311,4,)</f>
        <v>#N/A</v>
      </c>
      <c r="G279" s="6"/>
      <c r="H279" s="6"/>
      <c r="I279" s="6"/>
    </row>
    <row r="280" ht="15.75" customHeight="1">
      <c r="A280" s="6"/>
      <c r="B280" s="6"/>
      <c r="C280" s="6"/>
      <c r="D280" s="6"/>
      <c r="E280" s="6" t="str">
        <f>VLOOKUP(B280,Sheet3!$B$2:$E$311,3,)</f>
        <v>#N/A</v>
      </c>
      <c r="F280" s="6" t="str">
        <f>VLOOKUP(B280,Sheet3!$B$2:$E$311,4,)</f>
        <v>#N/A</v>
      </c>
      <c r="G280" s="6"/>
      <c r="H280" s="6"/>
      <c r="I280" s="6"/>
    </row>
    <row r="281" ht="15.75" customHeight="1">
      <c r="A281" s="6"/>
      <c r="B281" s="6"/>
      <c r="C281" s="6"/>
      <c r="D281" s="6"/>
      <c r="E281" s="6" t="str">
        <f>VLOOKUP(B281,Sheet3!$B$2:$E$311,3,)</f>
        <v>#N/A</v>
      </c>
      <c r="F281" s="6" t="str">
        <f>VLOOKUP(B281,Sheet3!$B$2:$E$311,4,)</f>
        <v>#N/A</v>
      </c>
      <c r="G281" s="6"/>
      <c r="H281" s="6"/>
      <c r="I281" s="6"/>
    </row>
    <row r="282" ht="15.75" customHeight="1">
      <c r="A282" s="6"/>
      <c r="B282" s="6"/>
      <c r="C282" s="6"/>
      <c r="D282" s="6"/>
      <c r="E282" s="6" t="str">
        <f>VLOOKUP(B282,Sheet3!$B$2:$E$311,3,)</f>
        <v>#N/A</v>
      </c>
      <c r="F282" s="6" t="str">
        <f>VLOOKUP(B282,Sheet3!$B$2:$E$311,4,)</f>
        <v>#N/A</v>
      </c>
      <c r="G282" s="6"/>
      <c r="H282" s="6"/>
      <c r="I282" s="6"/>
    </row>
    <row r="283" ht="15.75" customHeight="1">
      <c r="A283" s="6"/>
      <c r="B283" s="6"/>
      <c r="C283" s="6"/>
      <c r="D283" s="6"/>
      <c r="E283" s="6" t="str">
        <f>VLOOKUP(B283,Sheet3!$B$2:$E$311,3,)</f>
        <v>#N/A</v>
      </c>
      <c r="F283" s="6" t="str">
        <f>VLOOKUP(B283,Sheet3!$B$2:$E$311,4,)</f>
        <v>#N/A</v>
      </c>
      <c r="G283" s="6"/>
      <c r="H283" s="6"/>
      <c r="I283" s="6"/>
    </row>
    <row r="284" ht="15.75" customHeight="1">
      <c r="A284" s="6"/>
      <c r="B284" s="6"/>
      <c r="C284" s="6"/>
      <c r="D284" s="6"/>
      <c r="E284" s="6" t="str">
        <f>VLOOKUP(B284,Sheet3!$B$2:$E$311,3,)</f>
        <v>#N/A</v>
      </c>
      <c r="F284" s="6" t="str">
        <f>VLOOKUP(B284,Sheet3!$B$2:$E$311,4,)</f>
        <v>#N/A</v>
      </c>
      <c r="G284" s="6"/>
      <c r="H284" s="6"/>
      <c r="I284" s="6"/>
    </row>
    <row r="285" ht="15.75" customHeight="1">
      <c r="A285" s="6"/>
      <c r="B285" s="6"/>
      <c r="C285" s="6"/>
      <c r="D285" s="6"/>
      <c r="E285" s="6" t="str">
        <f>VLOOKUP(B285,Sheet3!$B$2:$E$311,3,)</f>
        <v>#N/A</v>
      </c>
      <c r="F285" s="6" t="str">
        <f>VLOOKUP(B285,Sheet3!$B$2:$E$311,4,)</f>
        <v>#N/A</v>
      </c>
      <c r="G285" s="6"/>
      <c r="H285" s="6"/>
      <c r="I285" s="6"/>
    </row>
    <row r="286" ht="15.75" customHeight="1">
      <c r="A286" s="6"/>
      <c r="B286" s="6"/>
      <c r="C286" s="6"/>
      <c r="D286" s="6"/>
      <c r="E286" s="6" t="str">
        <f>VLOOKUP(B286,Sheet3!$B$2:$E$311,3,)</f>
        <v>#N/A</v>
      </c>
      <c r="F286" s="6" t="str">
        <f>VLOOKUP(B286,Sheet3!$B$2:$E$311,4,)</f>
        <v>#N/A</v>
      </c>
      <c r="G286" s="6"/>
      <c r="H286" s="6"/>
      <c r="I286" s="6"/>
    </row>
    <row r="287" ht="15.75" customHeight="1">
      <c r="A287" s="6"/>
      <c r="B287" s="6"/>
      <c r="C287" s="6"/>
      <c r="D287" s="6"/>
      <c r="E287" s="6" t="str">
        <f>VLOOKUP(B287,Sheet3!$B$2:$E$311,3,)</f>
        <v>#N/A</v>
      </c>
      <c r="F287" s="6" t="str">
        <f>VLOOKUP(B287,Sheet3!$B$2:$E$311,4,)</f>
        <v>#N/A</v>
      </c>
      <c r="G287" s="6"/>
      <c r="H287" s="6"/>
      <c r="I287" s="6"/>
    </row>
    <row r="288" ht="15.75" customHeight="1">
      <c r="A288" s="6"/>
      <c r="B288" s="6"/>
      <c r="C288" s="6"/>
      <c r="D288" s="6"/>
      <c r="E288" s="6" t="str">
        <f>VLOOKUP(B288,Sheet3!$B$2:$E$311,3,)</f>
        <v>#N/A</v>
      </c>
      <c r="F288" s="6" t="str">
        <f>VLOOKUP(B288,Sheet3!$B$2:$E$311,4,)</f>
        <v>#N/A</v>
      </c>
      <c r="G288" s="6"/>
      <c r="H288" s="6"/>
      <c r="I288" s="6"/>
    </row>
    <row r="289" ht="15.75" customHeight="1">
      <c r="A289" s="6"/>
      <c r="B289" s="6"/>
      <c r="C289" s="6"/>
      <c r="D289" s="6"/>
      <c r="E289" s="6" t="str">
        <f>VLOOKUP(B289,Sheet3!$B$2:$E$311,3,)</f>
        <v>#N/A</v>
      </c>
      <c r="F289" s="6" t="str">
        <f>VLOOKUP(B289,Sheet3!$B$2:$E$311,4,)</f>
        <v>#N/A</v>
      </c>
      <c r="G289" s="6"/>
      <c r="H289" s="6"/>
      <c r="I289" s="6"/>
    </row>
    <row r="290" ht="15.75" customHeight="1">
      <c r="A290" s="6"/>
      <c r="B290" s="6"/>
      <c r="C290" s="6"/>
      <c r="D290" s="6"/>
      <c r="E290" s="6" t="str">
        <f>VLOOKUP(B290,Sheet3!$B$2:$E$311,3,)</f>
        <v>#N/A</v>
      </c>
      <c r="F290" s="6" t="str">
        <f>VLOOKUP(B290,Sheet3!$B$2:$E$311,4,)</f>
        <v>#N/A</v>
      </c>
      <c r="G290" s="6"/>
      <c r="H290" s="6"/>
      <c r="I290" s="6"/>
    </row>
    <row r="291" ht="15.75" customHeight="1">
      <c r="A291" s="6"/>
      <c r="B291" s="6"/>
      <c r="C291" s="6"/>
      <c r="D291" s="6"/>
      <c r="E291" s="6" t="str">
        <f>VLOOKUP(B291,Sheet3!$B$2:$E$311,3,)</f>
        <v>#N/A</v>
      </c>
      <c r="F291" s="6" t="str">
        <f>VLOOKUP(B291,Sheet3!$B$2:$E$311,4,)</f>
        <v>#N/A</v>
      </c>
      <c r="G291" s="6"/>
      <c r="H291" s="6"/>
      <c r="I291" s="6"/>
    </row>
    <row r="292" ht="15.75" customHeight="1">
      <c r="A292" s="6"/>
      <c r="B292" s="6"/>
      <c r="C292" s="6"/>
      <c r="D292" s="6"/>
      <c r="E292" s="6" t="str">
        <f>VLOOKUP(B292,Sheet3!$B$2:$E$311,3,)</f>
        <v>#N/A</v>
      </c>
      <c r="F292" s="6" t="str">
        <f>VLOOKUP(B292,Sheet3!$B$2:$E$311,4,)</f>
        <v>#N/A</v>
      </c>
      <c r="G292" s="6"/>
      <c r="H292" s="6"/>
      <c r="I292" s="6"/>
    </row>
    <row r="293" ht="15.75" customHeight="1">
      <c r="A293" s="6"/>
      <c r="B293" s="6"/>
      <c r="C293" s="6"/>
      <c r="D293" s="6"/>
      <c r="E293" s="6" t="str">
        <f>VLOOKUP(B293,Sheet3!$B$2:$E$311,3,)</f>
        <v>#N/A</v>
      </c>
      <c r="F293" s="6" t="str">
        <f>VLOOKUP(B293,Sheet3!$B$2:$E$311,4,)</f>
        <v>#N/A</v>
      </c>
      <c r="G293" s="6"/>
      <c r="H293" s="6"/>
      <c r="I293" s="6"/>
    </row>
    <row r="294" ht="15.75" customHeight="1">
      <c r="A294" s="6"/>
      <c r="B294" s="6"/>
      <c r="C294" s="6"/>
      <c r="D294" s="6"/>
      <c r="E294" s="6" t="str">
        <f>VLOOKUP(B294,Sheet3!$B$2:$E$311,3,)</f>
        <v>#N/A</v>
      </c>
      <c r="F294" s="6" t="str">
        <f>VLOOKUP(B294,Sheet3!$B$2:$E$311,4,)</f>
        <v>#N/A</v>
      </c>
      <c r="G294" s="6"/>
      <c r="H294" s="6"/>
      <c r="I294" s="6"/>
    </row>
    <row r="295" ht="15.75" customHeight="1">
      <c r="A295" s="6"/>
      <c r="B295" s="6"/>
      <c r="C295" s="6"/>
      <c r="D295" s="6"/>
      <c r="E295" s="6" t="str">
        <f>VLOOKUP(B295,Sheet3!$B$2:$E$311,3,)</f>
        <v>#N/A</v>
      </c>
      <c r="F295" s="6" t="str">
        <f>VLOOKUP(B295,Sheet3!$B$2:$E$311,4,)</f>
        <v>#N/A</v>
      </c>
      <c r="G295" s="6"/>
      <c r="H295" s="6"/>
      <c r="I295" s="6"/>
    </row>
    <row r="296" ht="15.75" customHeight="1">
      <c r="A296" s="6"/>
      <c r="B296" s="6"/>
      <c r="C296" s="6"/>
      <c r="D296" s="6"/>
      <c r="E296" s="6" t="str">
        <f>VLOOKUP(B296,Sheet3!$B$2:$E$311,3,)</f>
        <v>#N/A</v>
      </c>
      <c r="F296" s="6" t="str">
        <f>VLOOKUP(B296,Sheet3!$B$2:$E$311,4,)</f>
        <v>#N/A</v>
      </c>
      <c r="G296" s="6"/>
      <c r="H296" s="6"/>
      <c r="I296" s="6"/>
    </row>
    <row r="297" ht="15.75" customHeight="1">
      <c r="A297" s="6"/>
      <c r="B297" s="6"/>
      <c r="C297" s="6"/>
      <c r="D297" s="6"/>
      <c r="E297" s="6" t="str">
        <f>VLOOKUP(B297,Sheet3!$B$2:$E$311,3,)</f>
        <v>#N/A</v>
      </c>
      <c r="F297" s="6" t="str">
        <f>VLOOKUP(B297,Sheet3!$B$2:$E$311,4,)</f>
        <v>#N/A</v>
      </c>
      <c r="G297" s="6"/>
      <c r="H297" s="6"/>
      <c r="I297" s="6"/>
    </row>
    <row r="298" ht="15.75" customHeight="1">
      <c r="A298" s="6"/>
      <c r="B298" s="6"/>
      <c r="C298" s="6"/>
      <c r="D298" s="6"/>
      <c r="E298" s="6" t="str">
        <f>VLOOKUP(B298,Sheet3!$B$2:$E$311,3,)</f>
        <v>#N/A</v>
      </c>
      <c r="F298" s="6" t="str">
        <f>VLOOKUP(B298,Sheet3!$B$2:$E$311,4,)</f>
        <v>#N/A</v>
      </c>
      <c r="G298" s="6"/>
      <c r="H298" s="6"/>
      <c r="I298" s="6"/>
    </row>
    <row r="299" ht="15.75" customHeight="1">
      <c r="A299" s="6"/>
      <c r="B299" s="6"/>
      <c r="C299" s="6"/>
      <c r="D299" s="6"/>
      <c r="E299" s="6" t="str">
        <f>VLOOKUP(B299,Sheet3!$B$2:$E$311,3,)</f>
        <v>#N/A</v>
      </c>
      <c r="F299" s="6" t="str">
        <f>VLOOKUP(B299,Sheet3!$B$2:$E$311,4,)</f>
        <v>#N/A</v>
      </c>
      <c r="G299" s="6"/>
      <c r="H299" s="6"/>
      <c r="I299" s="6"/>
    </row>
    <row r="300" ht="15.75" customHeight="1">
      <c r="A300" s="6"/>
      <c r="B300" s="6"/>
      <c r="C300" s="6"/>
      <c r="D300" s="6"/>
      <c r="E300" s="6" t="str">
        <f>VLOOKUP(B300,Sheet3!$B$2:$E$311,3,)</f>
        <v>#N/A</v>
      </c>
      <c r="F300" s="6" t="str">
        <f>VLOOKUP(B300,Sheet3!$B$2:$E$311,4,)</f>
        <v>#N/A</v>
      </c>
      <c r="G300" s="6"/>
      <c r="H300" s="6"/>
      <c r="I300" s="6"/>
    </row>
    <row r="301" ht="15.75" customHeight="1">
      <c r="A301" s="6"/>
      <c r="B301" s="6"/>
      <c r="C301" s="6"/>
      <c r="D301" s="6"/>
      <c r="E301" s="6" t="str">
        <f>VLOOKUP(B301,Sheet3!$B$2:$E$311,3,)</f>
        <v>#N/A</v>
      </c>
      <c r="F301" s="6" t="str">
        <f>VLOOKUP(B301,Sheet3!$B$2:$E$311,4,)</f>
        <v>#N/A</v>
      </c>
      <c r="G301" s="6"/>
      <c r="H301" s="6"/>
      <c r="I301" s="6"/>
    </row>
    <row r="302" ht="15.75" customHeight="1">
      <c r="A302" s="6"/>
      <c r="B302" s="6"/>
      <c r="C302" s="6"/>
      <c r="D302" s="6"/>
      <c r="E302" s="6" t="str">
        <f>VLOOKUP(B302,Sheet3!$B$2:$E$311,3,)</f>
        <v>#N/A</v>
      </c>
      <c r="F302" s="6" t="str">
        <f>VLOOKUP(B302,Sheet3!$B$2:$E$311,4,)</f>
        <v>#N/A</v>
      </c>
      <c r="G302" s="6"/>
      <c r="H302" s="6"/>
      <c r="I302" s="6"/>
    </row>
    <row r="303" ht="15.75" customHeight="1">
      <c r="A303" s="6"/>
      <c r="B303" s="6"/>
      <c r="C303" s="6"/>
      <c r="D303" s="6"/>
      <c r="E303" s="6" t="str">
        <f>VLOOKUP(B303,Sheet3!$B$2:$E$311,3,)</f>
        <v>#N/A</v>
      </c>
      <c r="F303" s="6" t="str">
        <f>VLOOKUP(B303,Sheet3!$B$2:$E$311,4,)</f>
        <v>#N/A</v>
      </c>
      <c r="G303" s="6"/>
      <c r="H303" s="6"/>
      <c r="I303" s="6"/>
    </row>
    <row r="304" ht="15.75" customHeight="1">
      <c r="A304" s="6"/>
      <c r="B304" s="6"/>
      <c r="C304" s="6"/>
      <c r="D304" s="6"/>
      <c r="E304" s="6" t="str">
        <f>VLOOKUP(B304,Sheet3!$B$2:$E$311,3,)</f>
        <v>#N/A</v>
      </c>
      <c r="F304" s="6" t="str">
        <f>VLOOKUP(B304,Sheet3!$B$2:$E$311,4,)</f>
        <v>#N/A</v>
      </c>
      <c r="G304" s="6"/>
      <c r="H304" s="6"/>
      <c r="I304" s="6"/>
    </row>
    <row r="305" ht="15.75" customHeight="1">
      <c r="A305" s="6"/>
      <c r="B305" s="6"/>
      <c r="C305" s="6"/>
      <c r="D305" s="6"/>
      <c r="E305" s="6" t="str">
        <f>VLOOKUP(B305,Sheet3!$B$2:$E$311,3,)</f>
        <v>#N/A</v>
      </c>
      <c r="F305" s="6" t="str">
        <f>VLOOKUP(B305,Sheet3!$B$2:$E$311,4,)</f>
        <v>#N/A</v>
      </c>
      <c r="G305" s="6"/>
      <c r="H305" s="6"/>
      <c r="I305" s="6"/>
    </row>
    <row r="306" ht="15.75" customHeight="1">
      <c r="A306" s="6"/>
      <c r="B306" s="6"/>
      <c r="C306" s="6"/>
      <c r="D306" s="6"/>
      <c r="E306" s="6" t="str">
        <f>VLOOKUP(B306,Sheet3!$B$2:$E$311,3,)</f>
        <v>#N/A</v>
      </c>
      <c r="F306" s="6" t="str">
        <f>VLOOKUP(B306,Sheet3!$B$2:$E$311,4,)</f>
        <v>#N/A</v>
      </c>
      <c r="G306" s="6"/>
      <c r="H306" s="6"/>
      <c r="I306" s="6"/>
    </row>
    <row r="307" ht="15.75" customHeight="1">
      <c r="A307" s="6"/>
      <c r="B307" s="6"/>
      <c r="C307" s="6"/>
      <c r="D307" s="6"/>
      <c r="E307" s="6" t="str">
        <f>VLOOKUP(B307,Sheet3!$B$2:$E$311,3,)</f>
        <v>#N/A</v>
      </c>
      <c r="F307" s="6" t="str">
        <f>VLOOKUP(B307,Sheet3!$B$2:$E$311,4,)</f>
        <v>#N/A</v>
      </c>
      <c r="G307" s="6"/>
      <c r="H307" s="6"/>
      <c r="I307" s="6"/>
    </row>
    <row r="308" ht="15.75" customHeight="1">
      <c r="A308" s="6"/>
      <c r="B308" s="6"/>
      <c r="C308" s="6"/>
      <c r="D308" s="6"/>
      <c r="E308" s="6" t="str">
        <f>VLOOKUP(B308,Sheet3!$B$2:$E$311,3,)</f>
        <v>#N/A</v>
      </c>
      <c r="F308" s="6" t="str">
        <f>VLOOKUP(B308,Sheet3!$B$2:$E$311,4,)</f>
        <v>#N/A</v>
      </c>
      <c r="G308" s="6"/>
      <c r="H308" s="6"/>
      <c r="I308" s="6"/>
    </row>
    <row r="309" ht="15.75" customHeight="1">
      <c r="A309" s="6"/>
      <c r="B309" s="6"/>
      <c r="C309" s="6"/>
      <c r="D309" s="6"/>
      <c r="E309" s="6" t="str">
        <f>VLOOKUP(B309,Sheet3!$B$2:$E$311,3,)</f>
        <v>#N/A</v>
      </c>
      <c r="F309" s="6" t="str">
        <f>VLOOKUP(B309,Sheet3!$B$2:$E$311,4,)</f>
        <v>#N/A</v>
      </c>
      <c r="G309" s="6"/>
      <c r="H309" s="6"/>
      <c r="I309" s="6"/>
    </row>
    <row r="310" ht="15.75" customHeight="1">
      <c r="A310" s="6"/>
      <c r="B310" s="6"/>
      <c r="C310" s="6"/>
      <c r="D310" s="6"/>
      <c r="E310" s="6" t="str">
        <f>VLOOKUP(B310,Sheet3!$B$2:$E$311,3,)</f>
        <v>#N/A</v>
      </c>
      <c r="F310" s="6" t="str">
        <f>VLOOKUP(B310,Sheet3!$B$2:$E$311,4,)</f>
        <v>#N/A</v>
      </c>
      <c r="G310" s="6"/>
      <c r="H310" s="6"/>
      <c r="I310" s="6"/>
    </row>
    <row r="311" ht="15.75" customHeight="1">
      <c r="A311" s="6"/>
      <c r="B311" s="6"/>
      <c r="C311" s="6"/>
      <c r="D311" s="6"/>
      <c r="E311" s="6" t="str">
        <f>VLOOKUP(B311,Sheet3!$B$2:$E$311,3,)</f>
        <v>#N/A</v>
      </c>
      <c r="F311" s="6" t="str">
        <f>VLOOKUP(B311,Sheet3!$B$2:$E$311,4,)</f>
        <v>#N/A</v>
      </c>
      <c r="G311" s="6"/>
      <c r="H311" s="6"/>
      <c r="I311" s="6"/>
    </row>
    <row r="312" ht="15.75" customHeight="1">
      <c r="A312" s="6"/>
      <c r="B312" s="6"/>
      <c r="C312" s="6"/>
      <c r="D312" s="6"/>
      <c r="E312" s="6" t="str">
        <f>VLOOKUP(B312,Sheet3!$B$2:$E$311,3,)</f>
        <v>#N/A</v>
      </c>
      <c r="F312" s="6" t="str">
        <f>VLOOKUP(B312,Sheet3!$B$2:$E$311,4,)</f>
        <v>#N/A</v>
      </c>
      <c r="G312" s="6"/>
      <c r="H312" s="6"/>
      <c r="I312" s="6"/>
    </row>
    <row r="313" ht="15.75" customHeight="1">
      <c r="A313" s="6"/>
      <c r="B313" s="6"/>
      <c r="C313" s="6"/>
      <c r="D313" s="6"/>
      <c r="E313" s="6" t="str">
        <f>VLOOKUP(B313,Sheet3!$B$2:$E$311,3,)</f>
        <v>#N/A</v>
      </c>
      <c r="F313" s="6" t="str">
        <f>VLOOKUP(B313,Sheet3!$B$2:$E$311,4,)</f>
        <v>#N/A</v>
      </c>
      <c r="G313" s="6"/>
      <c r="H313" s="6"/>
      <c r="I313" s="6"/>
    </row>
    <row r="314" ht="15.75" customHeight="1">
      <c r="A314" s="6"/>
      <c r="B314" s="6"/>
      <c r="C314" s="6"/>
      <c r="D314" s="6"/>
      <c r="E314" s="6" t="str">
        <f>VLOOKUP(B314,Sheet3!$B$2:$E$311,3,)</f>
        <v>#N/A</v>
      </c>
      <c r="F314" s="6" t="str">
        <f>VLOOKUP(B314,Sheet3!$B$2:$E$311,4,)</f>
        <v>#N/A</v>
      </c>
      <c r="G314" s="6"/>
      <c r="H314" s="6"/>
      <c r="I314" s="6"/>
    </row>
    <row r="315" ht="15.75" customHeight="1">
      <c r="A315" s="6"/>
      <c r="B315" s="6"/>
      <c r="C315" s="6"/>
      <c r="D315" s="6"/>
      <c r="E315" s="6" t="str">
        <f>VLOOKUP(B315,Sheet3!$B$2:$E$311,3,)</f>
        <v>#N/A</v>
      </c>
      <c r="F315" s="6" t="str">
        <f>VLOOKUP(B315,Sheet3!$B$2:$E$311,4,)</f>
        <v>#N/A</v>
      </c>
      <c r="G315" s="6"/>
      <c r="H315" s="6"/>
      <c r="I315" s="6"/>
    </row>
    <row r="316" ht="15.75" customHeight="1">
      <c r="A316" s="6"/>
      <c r="B316" s="6"/>
      <c r="C316" s="6"/>
      <c r="D316" s="6"/>
      <c r="E316" s="6" t="str">
        <f>VLOOKUP(B316,Sheet3!$B$2:$E$311,3,)</f>
        <v>#N/A</v>
      </c>
      <c r="F316" s="6" t="str">
        <f>VLOOKUP(B316,Sheet3!$B$2:$E$311,4,)</f>
        <v>#N/A</v>
      </c>
      <c r="G316" s="6"/>
      <c r="H316" s="6"/>
      <c r="I316" s="6"/>
    </row>
    <row r="317" ht="15.75" customHeight="1">
      <c r="A317" s="6"/>
      <c r="B317" s="6"/>
      <c r="C317" s="6"/>
      <c r="D317" s="6"/>
      <c r="E317" s="6" t="str">
        <f>VLOOKUP(B317,Sheet3!$B$2:$E$311,3,)</f>
        <v>#N/A</v>
      </c>
      <c r="F317" s="6" t="str">
        <f>VLOOKUP(B317,Sheet3!$B$2:$E$311,4,)</f>
        <v>#N/A</v>
      </c>
      <c r="G317" s="6"/>
      <c r="H317" s="6"/>
      <c r="I317" s="6"/>
    </row>
    <row r="318" ht="15.75" customHeight="1">
      <c r="A318" s="6"/>
      <c r="B318" s="6"/>
      <c r="C318" s="6"/>
      <c r="D318" s="6"/>
      <c r="E318" s="6" t="str">
        <f>VLOOKUP(B318,Sheet3!$B$2:$E$311,3,)</f>
        <v>#N/A</v>
      </c>
      <c r="F318" s="6" t="str">
        <f>VLOOKUP(B318,Sheet3!$B$2:$E$311,4,)</f>
        <v>#N/A</v>
      </c>
      <c r="G318" s="6"/>
      <c r="H318" s="6"/>
      <c r="I318" s="6"/>
    </row>
    <row r="319" ht="15.75" customHeight="1">
      <c r="A319" s="6"/>
      <c r="B319" s="6"/>
      <c r="C319" s="6"/>
      <c r="D319" s="6"/>
      <c r="E319" s="6" t="str">
        <f>VLOOKUP(B319,Sheet3!$B$2:$E$311,3,)</f>
        <v>#N/A</v>
      </c>
      <c r="F319" s="6" t="str">
        <f>VLOOKUP(B319,Sheet3!$B$2:$E$311,4,)</f>
        <v>#N/A</v>
      </c>
      <c r="G319" s="6"/>
      <c r="H319" s="6"/>
      <c r="I319" s="6"/>
    </row>
    <row r="320" ht="15.75" customHeight="1">
      <c r="A320" s="6"/>
      <c r="B320" s="6"/>
      <c r="C320" s="6"/>
      <c r="D320" s="6"/>
      <c r="E320" s="6" t="str">
        <f>VLOOKUP(B320,Sheet3!$B$2:$E$311,3,)</f>
        <v>#N/A</v>
      </c>
      <c r="F320" s="6" t="str">
        <f>VLOOKUP(B320,Sheet3!$B$2:$E$311,4,)</f>
        <v>#N/A</v>
      </c>
      <c r="G320" s="6"/>
      <c r="H320" s="6"/>
      <c r="I320" s="6"/>
    </row>
    <row r="321" ht="15.75" customHeight="1">
      <c r="A321" s="6"/>
      <c r="B321" s="6"/>
      <c r="C321" s="6"/>
      <c r="D321" s="6"/>
      <c r="E321" s="6" t="str">
        <f>VLOOKUP(B321,Sheet3!$B$2:$E$311,3,)</f>
        <v>#N/A</v>
      </c>
      <c r="F321" s="6" t="str">
        <f>VLOOKUP(B321,Sheet3!$B$2:$E$311,4,)</f>
        <v>#N/A</v>
      </c>
      <c r="G321" s="6"/>
      <c r="H321" s="6"/>
      <c r="I321" s="6"/>
    </row>
    <row r="322" ht="15.75" customHeight="1">
      <c r="A322" s="6"/>
      <c r="B322" s="6"/>
      <c r="C322" s="6"/>
      <c r="D322" s="6"/>
      <c r="E322" s="6" t="str">
        <f>VLOOKUP(B322,Sheet3!$B$2:$E$311,3,)</f>
        <v>#N/A</v>
      </c>
      <c r="F322" s="6" t="str">
        <f>VLOOKUP(B322,Sheet3!$B$2:$E$311,4,)</f>
        <v>#N/A</v>
      </c>
      <c r="G322" s="6"/>
      <c r="H322" s="6"/>
      <c r="I322" s="6"/>
    </row>
    <row r="323" ht="15.75" customHeight="1">
      <c r="A323" s="6"/>
      <c r="B323" s="6"/>
      <c r="C323" s="6"/>
      <c r="D323" s="6"/>
      <c r="E323" s="6" t="str">
        <f>VLOOKUP(B323,Sheet3!$B$2:$E$311,3,)</f>
        <v>#N/A</v>
      </c>
      <c r="F323" s="6" t="str">
        <f>VLOOKUP(B323,Sheet3!$B$2:$E$311,4,)</f>
        <v>#N/A</v>
      </c>
      <c r="G323" s="6"/>
      <c r="H323" s="6"/>
      <c r="I323" s="6"/>
    </row>
    <row r="324" ht="15.75" customHeight="1">
      <c r="A324" s="6"/>
      <c r="B324" s="6"/>
      <c r="C324" s="6"/>
      <c r="D324" s="6"/>
      <c r="E324" s="6" t="str">
        <f>VLOOKUP(B324,Sheet3!$B$2:$E$311,3,)</f>
        <v>#N/A</v>
      </c>
      <c r="F324" s="6" t="str">
        <f>VLOOKUP(B324,Sheet3!$B$2:$E$311,4,)</f>
        <v>#N/A</v>
      </c>
      <c r="G324" s="6"/>
      <c r="H324" s="6"/>
      <c r="I324" s="6"/>
    </row>
    <row r="325" ht="15.75" customHeight="1">
      <c r="A325" s="6"/>
      <c r="B325" s="6"/>
      <c r="C325" s="6"/>
      <c r="D325" s="6"/>
      <c r="E325" s="6" t="str">
        <f>VLOOKUP(B325,Sheet3!$B$2:$E$311,3,)</f>
        <v>#N/A</v>
      </c>
      <c r="F325" s="6" t="str">
        <f>VLOOKUP(B325,Sheet3!$B$2:$E$311,4,)</f>
        <v>#N/A</v>
      </c>
      <c r="G325" s="6"/>
      <c r="H325" s="6"/>
      <c r="I325" s="6"/>
    </row>
    <row r="326" ht="15.75" customHeight="1">
      <c r="A326" s="6"/>
      <c r="B326" s="6"/>
      <c r="C326" s="6"/>
      <c r="D326" s="6"/>
      <c r="E326" s="6" t="str">
        <f>VLOOKUP(B326,Sheet3!$B$2:$E$311,3,)</f>
        <v>#N/A</v>
      </c>
      <c r="F326" s="6" t="str">
        <f>VLOOKUP(B326,Sheet3!$B$2:$E$311,4,)</f>
        <v>#N/A</v>
      </c>
      <c r="G326" s="6"/>
      <c r="H326" s="6"/>
      <c r="I326" s="6"/>
    </row>
    <row r="327" ht="15.75" customHeight="1">
      <c r="A327" s="6"/>
      <c r="B327" s="6"/>
      <c r="C327" s="6"/>
      <c r="D327" s="6"/>
      <c r="E327" s="6" t="str">
        <f>VLOOKUP(B327,Sheet3!$B$2:$E$311,3,)</f>
        <v>#N/A</v>
      </c>
      <c r="F327" s="6" t="str">
        <f>VLOOKUP(B327,Sheet3!$B$2:$E$311,4,)</f>
        <v>#N/A</v>
      </c>
      <c r="G327" s="6"/>
      <c r="H327" s="6"/>
      <c r="I327" s="6"/>
    </row>
    <row r="328" ht="15.75" customHeight="1">
      <c r="A328" s="6"/>
      <c r="B328" s="6"/>
      <c r="C328" s="6"/>
      <c r="D328" s="6"/>
      <c r="E328" s="6" t="str">
        <f>VLOOKUP(B328,Sheet3!$B$2:$E$311,3,)</f>
        <v>#N/A</v>
      </c>
      <c r="F328" s="6" t="str">
        <f>VLOOKUP(B328,Sheet3!$B$2:$E$311,4,)</f>
        <v>#N/A</v>
      </c>
      <c r="G328" s="6"/>
      <c r="H328" s="6"/>
      <c r="I328" s="6"/>
    </row>
    <row r="329" ht="15.75" customHeight="1">
      <c r="A329" s="6"/>
      <c r="B329" s="6"/>
      <c r="C329" s="6"/>
      <c r="D329" s="6"/>
      <c r="E329" s="6" t="str">
        <f>VLOOKUP(B329,Sheet3!$B$2:$E$311,3,)</f>
        <v>#N/A</v>
      </c>
      <c r="F329" s="6" t="str">
        <f>VLOOKUP(B329,Sheet3!$B$2:$E$311,4,)</f>
        <v>#N/A</v>
      </c>
      <c r="G329" s="6"/>
      <c r="H329" s="6"/>
      <c r="I329" s="6"/>
    </row>
    <row r="330" ht="15.75" customHeight="1">
      <c r="A330" s="6"/>
      <c r="B330" s="6"/>
      <c r="C330" s="6"/>
      <c r="D330" s="6"/>
      <c r="E330" s="6" t="str">
        <f>VLOOKUP(B330,Sheet3!$B$2:$E$311,3,)</f>
        <v>#N/A</v>
      </c>
      <c r="F330" s="6" t="str">
        <f>VLOOKUP(B330,Sheet3!$B$2:$E$311,4,)</f>
        <v>#N/A</v>
      </c>
      <c r="G330" s="6"/>
      <c r="H330" s="6"/>
      <c r="I330" s="6"/>
    </row>
    <row r="331" ht="15.75" customHeight="1">
      <c r="A331" s="6"/>
      <c r="B331" s="6"/>
      <c r="C331" s="6"/>
      <c r="D331" s="6"/>
      <c r="E331" s="6" t="str">
        <f>VLOOKUP(B331,Sheet3!$B$2:$E$311,3,)</f>
        <v>#N/A</v>
      </c>
      <c r="F331" s="6" t="str">
        <f>VLOOKUP(B331,Sheet3!$B$2:$E$311,4,)</f>
        <v>#N/A</v>
      </c>
      <c r="G331" s="6"/>
      <c r="H331" s="6"/>
      <c r="I331" s="6"/>
    </row>
    <row r="332" ht="15.75" customHeight="1">
      <c r="A332" s="6"/>
      <c r="B332" s="6"/>
      <c r="C332" s="6"/>
      <c r="D332" s="6"/>
      <c r="E332" s="6" t="str">
        <f>VLOOKUP(B332,Sheet3!$B$2:$E$311,3,)</f>
        <v>#N/A</v>
      </c>
      <c r="F332" s="6" t="str">
        <f>VLOOKUP(B332,Sheet3!$B$2:$E$311,4,)</f>
        <v>#N/A</v>
      </c>
      <c r="G332" s="6"/>
      <c r="H332" s="6"/>
      <c r="I332" s="6"/>
    </row>
    <row r="333" ht="15.75" customHeight="1">
      <c r="A333" s="6"/>
      <c r="B333" s="6"/>
      <c r="C333" s="6"/>
      <c r="D333" s="6"/>
      <c r="E333" s="6" t="str">
        <f>VLOOKUP(B333,Sheet3!$B$2:$E$311,3,)</f>
        <v>#N/A</v>
      </c>
      <c r="F333" s="6" t="str">
        <f>VLOOKUP(B333,Sheet3!$B$2:$E$311,4,)</f>
        <v>#N/A</v>
      </c>
      <c r="G333" s="6"/>
      <c r="H333" s="6"/>
      <c r="I333" s="6"/>
    </row>
    <row r="334" ht="15.75" customHeight="1">
      <c r="A334" s="6"/>
      <c r="B334" s="6"/>
      <c r="C334" s="6"/>
      <c r="D334" s="6"/>
      <c r="E334" s="6" t="str">
        <f>VLOOKUP(B334,Sheet3!$B$2:$E$311,3,)</f>
        <v>#N/A</v>
      </c>
      <c r="F334" s="6" t="str">
        <f>VLOOKUP(B334,Sheet3!$B$2:$E$311,4,)</f>
        <v>#N/A</v>
      </c>
      <c r="G334" s="6"/>
      <c r="H334" s="6"/>
      <c r="I334" s="6"/>
    </row>
    <row r="335" ht="15.75" customHeight="1">
      <c r="A335" s="6"/>
      <c r="B335" s="6"/>
      <c r="C335" s="6"/>
      <c r="D335" s="6"/>
      <c r="E335" s="6" t="str">
        <f>VLOOKUP(B335,Sheet3!$B$2:$E$311,3,)</f>
        <v>#N/A</v>
      </c>
      <c r="F335" s="6" t="str">
        <f>VLOOKUP(B335,Sheet3!$B$2:$E$311,4,)</f>
        <v>#N/A</v>
      </c>
      <c r="G335" s="6"/>
      <c r="H335" s="6"/>
      <c r="I335" s="6"/>
    </row>
    <row r="336" ht="15.75" customHeight="1">
      <c r="A336" s="6"/>
      <c r="B336" s="6"/>
      <c r="C336" s="6"/>
      <c r="D336" s="6"/>
      <c r="E336" s="6" t="str">
        <f>VLOOKUP(B336,Sheet3!$B$2:$E$311,3,)</f>
        <v>#N/A</v>
      </c>
      <c r="F336" s="6" t="str">
        <f>VLOOKUP(B336,Sheet3!$B$2:$E$311,4,)</f>
        <v>#N/A</v>
      </c>
      <c r="G336" s="6"/>
      <c r="H336" s="6"/>
      <c r="I336" s="6"/>
    </row>
    <row r="337" ht="15.75" customHeight="1">
      <c r="A337" s="6"/>
      <c r="B337" s="6"/>
      <c r="C337" s="6"/>
      <c r="D337" s="6"/>
      <c r="E337" s="6" t="str">
        <f>VLOOKUP(B337,Sheet3!$B$2:$E$311,3,)</f>
        <v>#N/A</v>
      </c>
      <c r="F337" s="6" t="str">
        <f>VLOOKUP(B337,Sheet3!$B$2:$E$311,4,)</f>
        <v>#N/A</v>
      </c>
      <c r="G337" s="6"/>
      <c r="H337" s="6"/>
      <c r="I337" s="6"/>
    </row>
    <row r="338" ht="15.75" customHeight="1">
      <c r="A338" s="6"/>
      <c r="B338" s="6"/>
      <c r="C338" s="6"/>
      <c r="D338" s="6"/>
      <c r="E338" s="6" t="str">
        <f>VLOOKUP(B338,Sheet3!$B$2:$E$311,3,)</f>
        <v>#N/A</v>
      </c>
      <c r="F338" s="6" t="str">
        <f>VLOOKUP(B338,Sheet3!$B$2:$E$311,4,)</f>
        <v>#N/A</v>
      </c>
      <c r="G338" s="6"/>
      <c r="H338" s="6"/>
      <c r="I338" s="6"/>
    </row>
    <row r="339" ht="15.75" customHeight="1">
      <c r="A339" s="6"/>
      <c r="B339" s="6"/>
      <c r="C339" s="6"/>
      <c r="D339" s="6"/>
      <c r="E339" s="6" t="str">
        <f>VLOOKUP(B339,Sheet3!$B$2:$E$311,3,)</f>
        <v>#N/A</v>
      </c>
      <c r="F339" s="6" t="str">
        <f>VLOOKUP(B339,Sheet3!$B$2:$E$311,4,)</f>
        <v>#N/A</v>
      </c>
      <c r="G339" s="6"/>
      <c r="H339" s="6"/>
      <c r="I339" s="6"/>
    </row>
    <row r="340" ht="15.75" customHeight="1">
      <c r="A340" s="6"/>
      <c r="B340" s="6"/>
      <c r="C340" s="6"/>
      <c r="D340" s="6"/>
      <c r="E340" s="6" t="str">
        <f>VLOOKUP(B340,Sheet3!$B$2:$E$311,3,)</f>
        <v>#N/A</v>
      </c>
      <c r="F340" s="6" t="str">
        <f>VLOOKUP(B340,Sheet3!$B$2:$E$311,4,)</f>
        <v>#N/A</v>
      </c>
      <c r="G340" s="6"/>
      <c r="H340" s="6"/>
      <c r="I340" s="6"/>
    </row>
    <row r="341" ht="15.75" customHeight="1">
      <c r="A341" s="6"/>
      <c r="B341" s="6"/>
      <c r="C341" s="6"/>
      <c r="D341" s="6"/>
      <c r="E341" s="6" t="str">
        <f>VLOOKUP(B341,Sheet3!$B$2:$E$311,3,)</f>
        <v>#N/A</v>
      </c>
      <c r="F341" s="6" t="str">
        <f>VLOOKUP(B341,Sheet3!$B$2:$E$311,4,)</f>
        <v>#N/A</v>
      </c>
      <c r="G341" s="6"/>
      <c r="H341" s="6"/>
      <c r="I341" s="6"/>
    </row>
    <row r="342" ht="15.75" customHeight="1">
      <c r="A342" s="6"/>
      <c r="B342" s="6"/>
      <c r="C342" s="6"/>
      <c r="D342" s="6"/>
      <c r="E342" s="6" t="str">
        <f>VLOOKUP(B342,Sheet3!$B$2:$E$311,3,)</f>
        <v>#N/A</v>
      </c>
      <c r="F342" s="6" t="str">
        <f>VLOOKUP(B342,Sheet3!$B$2:$E$311,4,)</f>
        <v>#N/A</v>
      </c>
      <c r="G342" s="6"/>
      <c r="H342" s="6"/>
      <c r="I342" s="6"/>
    </row>
    <row r="343" ht="15.75" customHeight="1">
      <c r="A343" s="6"/>
      <c r="B343" s="6"/>
      <c r="C343" s="6"/>
      <c r="D343" s="6"/>
      <c r="E343" s="6" t="str">
        <f>VLOOKUP(B343,Sheet3!$B$2:$E$311,3,)</f>
        <v>#N/A</v>
      </c>
      <c r="F343" s="6" t="str">
        <f>VLOOKUP(B343,Sheet3!$B$2:$E$311,4,)</f>
        <v>#N/A</v>
      </c>
      <c r="G343" s="6"/>
      <c r="H343" s="6"/>
      <c r="I343" s="6"/>
    </row>
    <row r="344" ht="15.75" customHeight="1">
      <c r="A344" s="6"/>
      <c r="B344" s="6"/>
      <c r="C344" s="6"/>
      <c r="D344" s="6"/>
      <c r="E344" s="6" t="str">
        <f>VLOOKUP(B344,Sheet3!$B$2:$E$311,3,)</f>
        <v>#N/A</v>
      </c>
      <c r="F344" s="6" t="str">
        <f>VLOOKUP(B344,Sheet3!$B$2:$E$311,4,)</f>
        <v>#N/A</v>
      </c>
      <c r="G344" s="6"/>
      <c r="H344" s="6"/>
      <c r="I344" s="6"/>
    </row>
    <row r="345" ht="15.75" customHeight="1">
      <c r="A345" s="6"/>
      <c r="B345" s="6"/>
      <c r="C345" s="6"/>
      <c r="D345" s="6"/>
      <c r="E345" s="6" t="str">
        <f>VLOOKUP(B345,Sheet3!$B$2:$E$311,3,)</f>
        <v>#N/A</v>
      </c>
      <c r="F345" s="6" t="str">
        <f>VLOOKUP(B345,Sheet3!$B$2:$E$311,4,)</f>
        <v>#N/A</v>
      </c>
      <c r="G345" s="6"/>
      <c r="H345" s="6"/>
      <c r="I345" s="6"/>
    </row>
    <row r="346" ht="15.75" customHeight="1">
      <c r="A346" s="6"/>
      <c r="B346" s="6"/>
      <c r="C346" s="6"/>
      <c r="D346" s="6"/>
      <c r="E346" s="6" t="str">
        <f>VLOOKUP(B346,Sheet3!$B$2:$E$311,3,)</f>
        <v>#N/A</v>
      </c>
      <c r="F346" s="6" t="str">
        <f>VLOOKUP(B346,Sheet3!$B$2:$E$311,4,)</f>
        <v>#N/A</v>
      </c>
      <c r="G346" s="6"/>
      <c r="H346" s="6"/>
      <c r="I346" s="6"/>
    </row>
    <row r="347" ht="15.75" customHeight="1">
      <c r="A347" s="6"/>
      <c r="B347" s="6"/>
      <c r="C347" s="6"/>
      <c r="D347" s="6"/>
      <c r="E347" s="6" t="str">
        <f>VLOOKUP(B347,Sheet3!$B$2:$E$311,3,)</f>
        <v>#N/A</v>
      </c>
      <c r="F347" s="6" t="str">
        <f>VLOOKUP(B347,Sheet3!$B$2:$E$311,4,)</f>
        <v>#N/A</v>
      </c>
      <c r="G347" s="6"/>
      <c r="H347" s="6"/>
      <c r="I347" s="6"/>
    </row>
    <row r="348" ht="15.75" customHeight="1">
      <c r="A348" s="6"/>
      <c r="B348" s="6"/>
      <c r="C348" s="6"/>
      <c r="D348" s="6"/>
      <c r="E348" s="6" t="str">
        <f>VLOOKUP(B348,Sheet3!$B$2:$E$311,3,)</f>
        <v>#N/A</v>
      </c>
      <c r="F348" s="6" t="str">
        <f>VLOOKUP(B348,Sheet3!$B$2:$E$311,4,)</f>
        <v>#N/A</v>
      </c>
      <c r="G348" s="6"/>
      <c r="H348" s="6"/>
      <c r="I348" s="6"/>
    </row>
    <row r="349" ht="15.75" customHeight="1">
      <c r="A349" s="6"/>
      <c r="B349" s="6"/>
      <c r="C349" s="6"/>
      <c r="D349" s="6"/>
      <c r="E349" s="6" t="str">
        <f>VLOOKUP(B349,Sheet3!$B$2:$E$311,3,)</f>
        <v>#N/A</v>
      </c>
      <c r="F349" s="6" t="str">
        <f>VLOOKUP(B349,Sheet3!$B$2:$E$311,4,)</f>
        <v>#N/A</v>
      </c>
      <c r="G349" s="6"/>
      <c r="H349" s="6"/>
      <c r="I349" s="6"/>
    </row>
    <row r="350" ht="15.75" customHeight="1">
      <c r="A350" s="6"/>
      <c r="B350" s="6"/>
      <c r="C350" s="6"/>
      <c r="D350" s="6"/>
      <c r="E350" s="6" t="str">
        <f>VLOOKUP(B350,Sheet3!$B$2:$E$311,3,)</f>
        <v>#N/A</v>
      </c>
      <c r="F350" s="6" t="str">
        <f>VLOOKUP(B350,Sheet3!$B$2:$E$311,4,)</f>
        <v>#N/A</v>
      </c>
      <c r="G350" s="6"/>
      <c r="H350" s="6"/>
      <c r="I350" s="6"/>
    </row>
    <row r="351" ht="15.75" customHeight="1">
      <c r="A351" s="6"/>
      <c r="B351" s="6"/>
      <c r="C351" s="6"/>
      <c r="D351" s="6"/>
      <c r="E351" s="6" t="str">
        <f>VLOOKUP(B351,Sheet3!$B$2:$E$311,3,)</f>
        <v>#N/A</v>
      </c>
      <c r="F351" s="6" t="str">
        <f>VLOOKUP(B351,Sheet3!$B$2:$E$311,4,)</f>
        <v>#N/A</v>
      </c>
      <c r="G351" s="6"/>
      <c r="H351" s="6"/>
      <c r="I351" s="6"/>
    </row>
    <row r="352" ht="15.75" customHeight="1">
      <c r="A352" s="6"/>
      <c r="B352" s="6"/>
      <c r="C352" s="6"/>
      <c r="D352" s="6"/>
      <c r="E352" s="6" t="str">
        <f>VLOOKUP(B352,Sheet3!$B$2:$E$311,3,)</f>
        <v>#N/A</v>
      </c>
      <c r="F352" s="6" t="str">
        <f>VLOOKUP(B352,Sheet3!$B$2:$E$311,4,)</f>
        <v>#N/A</v>
      </c>
      <c r="G352" s="6"/>
      <c r="H352" s="6"/>
      <c r="I352" s="6"/>
    </row>
    <row r="353" ht="15.75" customHeight="1">
      <c r="A353" s="6"/>
      <c r="B353" s="6"/>
      <c r="C353" s="6"/>
      <c r="D353" s="6"/>
      <c r="E353" s="6" t="str">
        <f>VLOOKUP(B353,Sheet3!$B$2:$E$311,3,)</f>
        <v>#N/A</v>
      </c>
      <c r="F353" s="6" t="str">
        <f>VLOOKUP(B353,Sheet3!$B$2:$E$311,4,)</f>
        <v>#N/A</v>
      </c>
      <c r="G353" s="6"/>
      <c r="H353" s="6"/>
      <c r="I353" s="6"/>
    </row>
    <row r="354" ht="15.75" customHeight="1">
      <c r="A354" s="6"/>
      <c r="B354" s="6"/>
      <c r="C354" s="6"/>
      <c r="D354" s="6"/>
      <c r="E354" s="6" t="str">
        <f>VLOOKUP(B354,Sheet3!$B$2:$E$311,3,)</f>
        <v>#N/A</v>
      </c>
      <c r="F354" s="6" t="str">
        <f>VLOOKUP(B354,Sheet3!$B$2:$E$311,4,)</f>
        <v>#N/A</v>
      </c>
      <c r="G354" s="6"/>
      <c r="H354" s="6"/>
      <c r="I354" s="6"/>
    </row>
    <row r="355" ht="15.75" customHeight="1">
      <c r="A355" s="6"/>
      <c r="B355" s="6"/>
      <c r="C355" s="6"/>
      <c r="D355" s="6"/>
      <c r="E355" s="6" t="str">
        <f>VLOOKUP(B355,Sheet3!$B$2:$E$311,3,)</f>
        <v>#N/A</v>
      </c>
      <c r="F355" s="6" t="str">
        <f>VLOOKUP(B355,Sheet3!$B$2:$E$311,4,)</f>
        <v>#N/A</v>
      </c>
      <c r="G355" s="6"/>
      <c r="H355" s="6"/>
      <c r="I355" s="6"/>
    </row>
    <row r="356" ht="15.75" customHeight="1">
      <c r="A356" s="6"/>
      <c r="B356" s="6"/>
      <c r="C356" s="6"/>
      <c r="D356" s="6"/>
      <c r="E356" s="6" t="str">
        <f>VLOOKUP(B356,Sheet3!$B$2:$E$311,3,)</f>
        <v>#N/A</v>
      </c>
      <c r="F356" s="6" t="str">
        <f>VLOOKUP(B356,Sheet3!$B$2:$E$311,4,)</f>
        <v>#N/A</v>
      </c>
      <c r="G356" s="6"/>
      <c r="H356" s="6"/>
      <c r="I356" s="6"/>
    </row>
    <row r="357" ht="15.75" customHeight="1">
      <c r="A357" s="6"/>
      <c r="B357" s="6"/>
      <c r="C357" s="6"/>
      <c r="D357" s="6"/>
      <c r="E357" s="6" t="str">
        <f>VLOOKUP(B357,Sheet3!$B$2:$E$311,3,)</f>
        <v>#N/A</v>
      </c>
      <c r="F357" s="6" t="str">
        <f>VLOOKUP(B357,Sheet3!$B$2:$E$311,4,)</f>
        <v>#N/A</v>
      </c>
      <c r="G357" s="6"/>
      <c r="H357" s="6"/>
      <c r="I357" s="6"/>
    </row>
    <row r="358" ht="15.75" customHeight="1">
      <c r="A358" s="6"/>
      <c r="B358" s="6"/>
      <c r="C358" s="6"/>
      <c r="D358" s="6"/>
      <c r="E358" s="6" t="str">
        <f>VLOOKUP(B358,Sheet3!$B$2:$E$311,3,)</f>
        <v>#N/A</v>
      </c>
      <c r="F358" s="6" t="str">
        <f>VLOOKUP(B358,Sheet3!$B$2:$E$311,4,)</f>
        <v>#N/A</v>
      </c>
      <c r="G358" s="6"/>
      <c r="H358" s="6"/>
      <c r="I358" s="6"/>
    </row>
    <row r="359" ht="15.75" customHeight="1">
      <c r="A359" s="6"/>
      <c r="B359" s="6"/>
      <c r="C359" s="6"/>
      <c r="D359" s="6"/>
      <c r="E359" s="6" t="str">
        <f>VLOOKUP(B359,Sheet3!$B$2:$E$311,3,)</f>
        <v>#N/A</v>
      </c>
      <c r="F359" s="6" t="str">
        <f>VLOOKUP(B359,Sheet3!$B$2:$E$311,4,)</f>
        <v>#N/A</v>
      </c>
      <c r="G359" s="6"/>
      <c r="H359" s="6"/>
      <c r="I359" s="6"/>
    </row>
    <row r="360" ht="15.75" customHeight="1">
      <c r="A360" s="6"/>
      <c r="B360" s="6"/>
      <c r="C360" s="6"/>
      <c r="D360" s="6"/>
      <c r="E360" s="6" t="str">
        <f>VLOOKUP(B360,Sheet3!$B$2:$E$311,3,)</f>
        <v>#N/A</v>
      </c>
      <c r="F360" s="6" t="str">
        <f>VLOOKUP(B360,Sheet3!$B$2:$E$311,4,)</f>
        <v>#N/A</v>
      </c>
      <c r="G360" s="6"/>
      <c r="H360" s="6"/>
      <c r="I360" s="6"/>
    </row>
    <row r="361" ht="15.75" customHeight="1">
      <c r="A361" s="6"/>
      <c r="B361" s="6"/>
      <c r="C361" s="6"/>
      <c r="D361" s="6"/>
      <c r="E361" s="6" t="str">
        <f>VLOOKUP(B361,Sheet3!$B$2:$E$311,3,)</f>
        <v>#N/A</v>
      </c>
      <c r="F361" s="6" t="str">
        <f>VLOOKUP(B361,Sheet3!$B$2:$E$311,4,)</f>
        <v>#N/A</v>
      </c>
      <c r="G361" s="6"/>
      <c r="H361" s="6"/>
      <c r="I361" s="6"/>
    </row>
    <row r="362" ht="15.75" customHeight="1">
      <c r="A362" s="6"/>
      <c r="B362" s="6"/>
      <c r="C362" s="6"/>
      <c r="D362" s="6"/>
      <c r="E362" s="6" t="str">
        <f>VLOOKUP(B362,Sheet3!$B$2:$E$311,3,)</f>
        <v>#N/A</v>
      </c>
      <c r="F362" s="6" t="str">
        <f>VLOOKUP(B362,Sheet3!$B$2:$E$311,4,)</f>
        <v>#N/A</v>
      </c>
      <c r="G362" s="6"/>
      <c r="H362" s="6"/>
      <c r="I362" s="6"/>
    </row>
    <row r="363" ht="15.75" customHeight="1">
      <c r="A363" s="6"/>
      <c r="B363" s="6"/>
      <c r="C363" s="6"/>
      <c r="D363" s="6"/>
      <c r="E363" s="6" t="str">
        <f>VLOOKUP(B363,Sheet3!$B$2:$E$311,3,)</f>
        <v>#N/A</v>
      </c>
      <c r="F363" s="6" t="str">
        <f>VLOOKUP(B363,Sheet3!$B$2:$E$311,4,)</f>
        <v>#N/A</v>
      </c>
      <c r="G363" s="6"/>
      <c r="H363" s="6"/>
      <c r="I363" s="6"/>
    </row>
    <row r="364" ht="15.75" customHeight="1">
      <c r="A364" s="6"/>
      <c r="B364" s="6"/>
      <c r="C364" s="6"/>
      <c r="D364" s="6"/>
      <c r="E364" s="6" t="str">
        <f>VLOOKUP(B364,Sheet3!$B$2:$E$311,3,)</f>
        <v>#N/A</v>
      </c>
      <c r="F364" s="6" t="str">
        <f>VLOOKUP(B364,Sheet3!$B$2:$E$311,4,)</f>
        <v>#N/A</v>
      </c>
      <c r="G364" s="6"/>
      <c r="H364" s="6"/>
      <c r="I364" s="6"/>
    </row>
    <row r="365" ht="15.75" customHeight="1">
      <c r="A365" s="6"/>
      <c r="B365" s="6"/>
      <c r="C365" s="6"/>
      <c r="D365" s="6"/>
      <c r="E365" s="6" t="str">
        <f>VLOOKUP(B365,Sheet3!$B$2:$E$311,3,)</f>
        <v>#N/A</v>
      </c>
      <c r="F365" s="6" t="str">
        <f>VLOOKUP(B365,Sheet3!$B$2:$E$311,4,)</f>
        <v>#N/A</v>
      </c>
      <c r="G365" s="6"/>
      <c r="H365" s="6"/>
      <c r="I365" s="6"/>
    </row>
    <row r="366" ht="15.75" customHeight="1">
      <c r="A366" s="6"/>
      <c r="B366" s="6"/>
      <c r="C366" s="6"/>
      <c r="D366" s="6"/>
      <c r="E366" s="6" t="str">
        <f>VLOOKUP(B366,Sheet3!$B$2:$E$311,3,)</f>
        <v>#N/A</v>
      </c>
      <c r="F366" s="6" t="str">
        <f>VLOOKUP(B366,Sheet3!$B$2:$E$311,4,)</f>
        <v>#N/A</v>
      </c>
      <c r="G366" s="6"/>
      <c r="H366" s="6"/>
      <c r="I366" s="6"/>
    </row>
    <row r="367" ht="15.75" customHeight="1">
      <c r="A367" s="6"/>
      <c r="B367" s="6"/>
      <c r="C367" s="6"/>
      <c r="D367" s="6"/>
      <c r="E367" s="6" t="str">
        <f>VLOOKUP(B367,Sheet3!$B$2:$E$311,3,)</f>
        <v>#N/A</v>
      </c>
      <c r="F367" s="6" t="str">
        <f>VLOOKUP(B367,Sheet3!$B$2:$E$311,4,)</f>
        <v>#N/A</v>
      </c>
      <c r="G367" s="6"/>
      <c r="H367" s="6"/>
      <c r="I367" s="6"/>
    </row>
    <row r="368" ht="15.75" customHeight="1">
      <c r="A368" s="6"/>
      <c r="B368" s="6"/>
      <c r="C368" s="6"/>
      <c r="D368" s="6"/>
      <c r="E368" s="6" t="str">
        <f>VLOOKUP(B368,Sheet3!$B$2:$E$311,3,)</f>
        <v>#N/A</v>
      </c>
      <c r="F368" s="6" t="str">
        <f>VLOOKUP(B368,Sheet3!$B$2:$E$311,4,)</f>
        <v>#N/A</v>
      </c>
      <c r="G368" s="6"/>
      <c r="H368" s="6"/>
      <c r="I368" s="6"/>
    </row>
    <row r="369" ht="15.75" customHeight="1">
      <c r="A369" s="6"/>
      <c r="B369" s="6"/>
      <c r="C369" s="6"/>
      <c r="D369" s="6"/>
      <c r="E369" s="6" t="str">
        <f>VLOOKUP(B369,Sheet3!$B$2:$E$311,3,)</f>
        <v>#N/A</v>
      </c>
      <c r="F369" s="6" t="str">
        <f>VLOOKUP(B369,Sheet3!$B$2:$E$311,4,)</f>
        <v>#N/A</v>
      </c>
      <c r="G369" s="6"/>
      <c r="H369" s="6"/>
      <c r="I369" s="6"/>
    </row>
    <row r="370" ht="15.75" customHeight="1">
      <c r="A370" s="6"/>
      <c r="B370" s="6"/>
      <c r="C370" s="6"/>
      <c r="D370" s="6"/>
      <c r="E370" s="6" t="str">
        <f>VLOOKUP(B370,Sheet3!$B$2:$E$311,3,)</f>
        <v>#N/A</v>
      </c>
      <c r="F370" s="6" t="str">
        <f>VLOOKUP(B370,Sheet3!$B$2:$E$311,4,)</f>
        <v>#N/A</v>
      </c>
      <c r="G370" s="6"/>
      <c r="H370" s="6"/>
      <c r="I370" s="6"/>
    </row>
    <row r="371" ht="15.75" customHeight="1">
      <c r="A371" s="6"/>
      <c r="B371" s="6"/>
      <c r="C371" s="6"/>
      <c r="D371" s="6"/>
      <c r="E371" s="6" t="str">
        <f>VLOOKUP(B371,Sheet3!$B$2:$E$311,3,)</f>
        <v>#N/A</v>
      </c>
      <c r="F371" s="6" t="str">
        <f>VLOOKUP(B371,Sheet3!$B$2:$E$311,4,)</f>
        <v>#N/A</v>
      </c>
      <c r="G371" s="6"/>
      <c r="H371" s="6"/>
      <c r="I371" s="6"/>
    </row>
    <row r="372" ht="15.75" customHeight="1">
      <c r="A372" s="6"/>
      <c r="B372" s="6"/>
      <c r="C372" s="6"/>
      <c r="D372" s="6"/>
      <c r="E372" s="6" t="str">
        <f>VLOOKUP(B372,Sheet3!$B$2:$E$311,3,)</f>
        <v>#N/A</v>
      </c>
      <c r="F372" s="6" t="str">
        <f>VLOOKUP(B372,Sheet3!$B$2:$E$311,4,)</f>
        <v>#N/A</v>
      </c>
      <c r="G372" s="6"/>
      <c r="H372" s="6"/>
      <c r="I372" s="6"/>
    </row>
    <row r="373" ht="15.75" customHeight="1">
      <c r="A373" s="6"/>
      <c r="B373" s="6"/>
      <c r="C373" s="6"/>
      <c r="D373" s="6"/>
      <c r="E373" s="6" t="str">
        <f>VLOOKUP(B373,Sheet3!$B$2:$E$311,3,)</f>
        <v>#N/A</v>
      </c>
      <c r="F373" s="6" t="str">
        <f>VLOOKUP(B373,Sheet3!$B$2:$E$311,4,)</f>
        <v>#N/A</v>
      </c>
      <c r="G373" s="6"/>
      <c r="H373" s="6"/>
      <c r="I373" s="6"/>
    </row>
    <row r="374" ht="15.75" customHeight="1">
      <c r="A374" s="6"/>
      <c r="B374" s="6"/>
      <c r="C374" s="6"/>
      <c r="D374" s="6"/>
      <c r="E374" s="6" t="str">
        <f>VLOOKUP(B374,Sheet3!$B$2:$E$311,3,)</f>
        <v>#N/A</v>
      </c>
      <c r="F374" s="6" t="str">
        <f>VLOOKUP(B374,Sheet3!$B$2:$E$311,4,)</f>
        <v>#N/A</v>
      </c>
      <c r="G374" s="6"/>
      <c r="H374" s="6"/>
      <c r="I374" s="6"/>
    </row>
    <row r="375" ht="15.75" customHeight="1">
      <c r="A375" s="6"/>
      <c r="B375" s="6"/>
      <c r="C375" s="6"/>
      <c r="D375" s="6"/>
      <c r="E375" s="6" t="str">
        <f>VLOOKUP(B375,Sheet3!$B$2:$E$311,3,)</f>
        <v>#N/A</v>
      </c>
      <c r="F375" s="6" t="str">
        <f>VLOOKUP(B375,Sheet3!$B$2:$E$311,4,)</f>
        <v>#N/A</v>
      </c>
      <c r="G375" s="6"/>
      <c r="H375" s="6"/>
      <c r="I375" s="6"/>
    </row>
    <row r="376" ht="15.75" customHeight="1">
      <c r="A376" s="6"/>
      <c r="B376" s="6"/>
      <c r="C376" s="6"/>
      <c r="D376" s="6"/>
      <c r="E376" s="6" t="str">
        <f>VLOOKUP(B376,Sheet3!$B$2:$E$311,3,)</f>
        <v>#N/A</v>
      </c>
      <c r="F376" s="6" t="str">
        <f>VLOOKUP(B376,Sheet3!$B$2:$E$311,4,)</f>
        <v>#N/A</v>
      </c>
      <c r="G376" s="6"/>
      <c r="H376" s="6"/>
      <c r="I376" s="6"/>
    </row>
    <row r="377" ht="15.75" customHeight="1">
      <c r="A377" s="6"/>
      <c r="B377" s="6"/>
      <c r="C377" s="6"/>
      <c r="D377" s="6"/>
      <c r="E377" s="6" t="str">
        <f>VLOOKUP(B377,Sheet3!$B$2:$E$311,3,)</f>
        <v>#N/A</v>
      </c>
      <c r="F377" s="6" t="str">
        <f>VLOOKUP(B377,Sheet3!$B$2:$E$311,4,)</f>
        <v>#N/A</v>
      </c>
      <c r="G377" s="6"/>
      <c r="H377" s="6"/>
      <c r="I377" s="6"/>
    </row>
    <row r="378" ht="15.75" customHeight="1">
      <c r="A378" s="6"/>
      <c r="B378" s="6"/>
      <c r="C378" s="6"/>
      <c r="D378" s="6"/>
      <c r="E378" s="6" t="str">
        <f>VLOOKUP(B378,Sheet3!$B$2:$E$311,3,)</f>
        <v>#N/A</v>
      </c>
      <c r="F378" s="6" t="str">
        <f>VLOOKUP(B378,Sheet3!$B$2:$E$311,4,)</f>
        <v>#N/A</v>
      </c>
      <c r="G378" s="6"/>
      <c r="H378" s="6"/>
      <c r="I378" s="6"/>
    </row>
    <row r="379" ht="15.75" customHeight="1">
      <c r="A379" s="6"/>
      <c r="B379" s="6"/>
      <c r="C379" s="6"/>
      <c r="D379" s="6"/>
      <c r="E379" s="6" t="str">
        <f>VLOOKUP(B379,Sheet3!$B$2:$E$311,3,)</f>
        <v>#N/A</v>
      </c>
      <c r="F379" s="6" t="str">
        <f>VLOOKUP(B379,Sheet3!$B$2:$E$311,4,)</f>
        <v>#N/A</v>
      </c>
      <c r="G379" s="6"/>
      <c r="H379" s="6"/>
      <c r="I379" s="6"/>
    </row>
    <row r="380" ht="15.75" customHeight="1">
      <c r="A380" s="6"/>
      <c r="B380" s="6"/>
      <c r="C380" s="6"/>
      <c r="D380" s="6"/>
      <c r="E380" s="6" t="str">
        <f>VLOOKUP(B380,Sheet3!$B$2:$E$311,3,)</f>
        <v>#N/A</v>
      </c>
      <c r="F380" s="6" t="str">
        <f>VLOOKUP(B380,Sheet3!$B$2:$E$311,4,)</f>
        <v>#N/A</v>
      </c>
      <c r="G380" s="6"/>
      <c r="H380" s="6"/>
      <c r="I380" s="6"/>
    </row>
    <row r="381" ht="15.75" customHeight="1">
      <c r="A381" s="6"/>
      <c r="B381" s="6"/>
      <c r="C381" s="6"/>
      <c r="D381" s="6"/>
      <c r="E381" s="6" t="str">
        <f>VLOOKUP(B381,Sheet3!$B$2:$E$311,3,)</f>
        <v>#N/A</v>
      </c>
      <c r="F381" s="6" t="str">
        <f>VLOOKUP(B381,Sheet3!$B$2:$E$311,4,)</f>
        <v>#N/A</v>
      </c>
      <c r="G381" s="6"/>
      <c r="H381" s="6"/>
      <c r="I381" s="6"/>
    </row>
    <row r="382" ht="15.75" customHeight="1">
      <c r="A382" s="6"/>
      <c r="B382" s="6"/>
      <c r="C382" s="6"/>
      <c r="D382" s="6"/>
      <c r="E382" s="6" t="str">
        <f>VLOOKUP(B382,Sheet3!$B$2:$E$311,3,)</f>
        <v>#N/A</v>
      </c>
      <c r="F382" s="6" t="str">
        <f>VLOOKUP(B382,Sheet3!$B$2:$E$311,4,)</f>
        <v>#N/A</v>
      </c>
      <c r="G382" s="6"/>
      <c r="H382" s="6"/>
      <c r="I382" s="6"/>
    </row>
    <row r="383" ht="15.75" customHeight="1">
      <c r="A383" s="6"/>
      <c r="B383" s="6"/>
      <c r="C383" s="6"/>
      <c r="D383" s="6"/>
      <c r="E383" s="6" t="str">
        <f>VLOOKUP(B383,Sheet3!$B$2:$E$311,3,)</f>
        <v>#N/A</v>
      </c>
      <c r="F383" s="6" t="str">
        <f>VLOOKUP(B383,Sheet3!$B$2:$E$311,4,)</f>
        <v>#N/A</v>
      </c>
      <c r="G383" s="6"/>
      <c r="H383" s="6"/>
      <c r="I383" s="6"/>
    </row>
    <row r="384" ht="15.75" customHeight="1">
      <c r="A384" s="6"/>
      <c r="B384" s="6"/>
      <c r="C384" s="6"/>
      <c r="D384" s="6"/>
      <c r="E384" s="6" t="str">
        <f>VLOOKUP(B384,Sheet3!$B$2:$E$311,3,)</f>
        <v>#N/A</v>
      </c>
      <c r="F384" s="6" t="str">
        <f>VLOOKUP(B384,Sheet3!$B$2:$E$311,4,)</f>
        <v>#N/A</v>
      </c>
      <c r="G384" s="6"/>
      <c r="H384" s="6"/>
      <c r="I384" s="6"/>
    </row>
    <row r="385" ht="15.75" customHeight="1">
      <c r="A385" s="6"/>
      <c r="B385" s="6"/>
      <c r="C385" s="6"/>
      <c r="D385" s="6"/>
      <c r="E385" s="6" t="str">
        <f>VLOOKUP(B385,Sheet3!$B$2:$E$311,3,)</f>
        <v>#N/A</v>
      </c>
      <c r="F385" s="6" t="str">
        <f>VLOOKUP(B385,Sheet3!$B$2:$E$311,4,)</f>
        <v>#N/A</v>
      </c>
      <c r="G385" s="6"/>
      <c r="H385" s="6"/>
      <c r="I385" s="6"/>
    </row>
    <row r="386" ht="15.75" customHeight="1">
      <c r="A386" s="6"/>
      <c r="B386" s="6"/>
      <c r="C386" s="6"/>
      <c r="D386" s="6"/>
      <c r="E386" s="6" t="str">
        <f>VLOOKUP(B386,Sheet3!$B$2:$E$311,3,)</f>
        <v>#N/A</v>
      </c>
      <c r="F386" s="6" t="str">
        <f>VLOOKUP(B386,Sheet3!$B$2:$E$311,4,)</f>
        <v>#N/A</v>
      </c>
      <c r="G386" s="6"/>
      <c r="H386" s="6"/>
      <c r="I386" s="6"/>
    </row>
    <row r="387" ht="15.75" customHeight="1">
      <c r="A387" s="6"/>
      <c r="B387" s="6"/>
      <c r="C387" s="6"/>
      <c r="D387" s="6"/>
      <c r="E387" s="6" t="str">
        <f>VLOOKUP(B387,Sheet3!$B$2:$E$311,3,)</f>
        <v>#N/A</v>
      </c>
      <c r="F387" s="6" t="str">
        <f>VLOOKUP(B387,Sheet3!$B$2:$E$311,4,)</f>
        <v>#N/A</v>
      </c>
      <c r="G387" s="6"/>
      <c r="H387" s="6"/>
      <c r="I387" s="6"/>
    </row>
    <row r="388" ht="15.75" customHeight="1">
      <c r="A388" s="6"/>
      <c r="B388" s="6"/>
      <c r="C388" s="6"/>
      <c r="D388" s="6"/>
      <c r="E388" s="6" t="str">
        <f>VLOOKUP(B388,Sheet3!$B$2:$E$311,3,)</f>
        <v>#N/A</v>
      </c>
      <c r="F388" s="6" t="str">
        <f>VLOOKUP(B388,Sheet3!$B$2:$E$311,4,)</f>
        <v>#N/A</v>
      </c>
      <c r="G388" s="6"/>
      <c r="H388" s="6"/>
      <c r="I388" s="6"/>
    </row>
    <row r="389" ht="15.75" customHeight="1">
      <c r="A389" s="6"/>
      <c r="B389" s="6"/>
      <c r="C389" s="6"/>
      <c r="D389" s="6"/>
      <c r="E389" s="6" t="str">
        <f>VLOOKUP(B389,Sheet3!$B$2:$E$311,3,)</f>
        <v>#N/A</v>
      </c>
      <c r="F389" s="6" t="str">
        <f>VLOOKUP(B389,Sheet3!$B$2:$E$311,4,)</f>
        <v>#N/A</v>
      </c>
      <c r="G389" s="6"/>
      <c r="H389" s="6"/>
      <c r="I389" s="6"/>
    </row>
    <row r="390" ht="15.75" customHeight="1">
      <c r="A390" s="6"/>
      <c r="B390" s="6"/>
      <c r="C390" s="6"/>
      <c r="D390" s="6"/>
      <c r="E390" s="6" t="str">
        <f>VLOOKUP(B390,Sheet3!$B$2:$E$311,3,)</f>
        <v>#N/A</v>
      </c>
      <c r="F390" s="6" t="str">
        <f>VLOOKUP(B390,Sheet3!$B$2:$E$311,4,)</f>
        <v>#N/A</v>
      </c>
      <c r="G390" s="6"/>
      <c r="H390" s="6"/>
      <c r="I390" s="6"/>
    </row>
    <row r="391" ht="15.75" customHeight="1">
      <c r="A391" s="6"/>
      <c r="B391" s="6"/>
      <c r="C391" s="6"/>
      <c r="D391" s="6"/>
      <c r="E391" s="6" t="str">
        <f>VLOOKUP(B391,Sheet3!$B$2:$E$311,3,)</f>
        <v>#N/A</v>
      </c>
      <c r="F391" s="6" t="str">
        <f>VLOOKUP(B391,Sheet3!$B$2:$E$311,4,)</f>
        <v>#N/A</v>
      </c>
      <c r="G391" s="6"/>
      <c r="H391" s="6"/>
      <c r="I391" s="6"/>
    </row>
    <row r="392" ht="15.75" customHeight="1">
      <c r="A392" s="6"/>
      <c r="B392" s="6"/>
      <c r="C392" s="6"/>
      <c r="D392" s="6"/>
      <c r="E392" s="6" t="str">
        <f>VLOOKUP(B392,Sheet3!$B$2:$E$311,3,)</f>
        <v>#N/A</v>
      </c>
      <c r="F392" s="6" t="str">
        <f>VLOOKUP(B392,Sheet3!$B$2:$E$311,4,)</f>
        <v>#N/A</v>
      </c>
      <c r="G392" s="6"/>
      <c r="H392" s="6"/>
      <c r="I392" s="6"/>
    </row>
    <row r="393" ht="15.75" customHeight="1">
      <c r="A393" s="6"/>
      <c r="B393" s="6"/>
      <c r="C393" s="6"/>
      <c r="D393" s="6"/>
      <c r="E393" s="6" t="str">
        <f>VLOOKUP(B393,Sheet3!$B$2:$E$311,3,)</f>
        <v>#N/A</v>
      </c>
      <c r="F393" s="6" t="str">
        <f>VLOOKUP(B393,Sheet3!$B$2:$E$311,4,)</f>
        <v>#N/A</v>
      </c>
      <c r="G393" s="6"/>
      <c r="H393" s="6"/>
      <c r="I393" s="6"/>
    </row>
    <row r="394" ht="15.75" customHeight="1">
      <c r="A394" s="6"/>
      <c r="B394" s="6"/>
      <c r="C394" s="6"/>
      <c r="D394" s="6"/>
      <c r="E394" s="6" t="str">
        <f>VLOOKUP(B394,Sheet3!$B$2:$E$311,3,)</f>
        <v>#N/A</v>
      </c>
      <c r="F394" s="6" t="str">
        <f>VLOOKUP(B394,Sheet3!$B$2:$E$311,4,)</f>
        <v>#N/A</v>
      </c>
      <c r="G394" s="6"/>
      <c r="H394" s="6"/>
      <c r="I394" s="6"/>
    </row>
    <row r="395" ht="15.75" customHeight="1">
      <c r="A395" s="6"/>
      <c r="B395" s="6"/>
      <c r="C395" s="6"/>
      <c r="D395" s="6"/>
      <c r="E395" s="6" t="str">
        <f>VLOOKUP(B395,Sheet3!$B$2:$E$311,3,)</f>
        <v>#N/A</v>
      </c>
      <c r="F395" s="6" t="str">
        <f>VLOOKUP(B395,Sheet3!$B$2:$E$311,4,)</f>
        <v>#N/A</v>
      </c>
      <c r="G395" s="6"/>
      <c r="H395" s="6"/>
      <c r="I395" s="6"/>
    </row>
    <row r="396" ht="15.75" customHeight="1">
      <c r="A396" s="6"/>
      <c r="B396" s="6"/>
      <c r="C396" s="6"/>
      <c r="D396" s="6"/>
      <c r="E396" s="6" t="str">
        <f>VLOOKUP(B396,Sheet3!$B$2:$E$311,3,)</f>
        <v>#N/A</v>
      </c>
      <c r="F396" s="6" t="str">
        <f>VLOOKUP(B396,Sheet3!$B$2:$E$311,4,)</f>
        <v>#N/A</v>
      </c>
      <c r="G396" s="6"/>
      <c r="H396" s="6"/>
      <c r="I396" s="6"/>
    </row>
    <row r="397" ht="15.75" customHeight="1">
      <c r="A397" s="6"/>
      <c r="B397" s="6"/>
      <c r="C397" s="6"/>
      <c r="D397" s="6"/>
      <c r="E397" s="6" t="str">
        <f>VLOOKUP(B397,Sheet3!$B$2:$E$311,3,)</f>
        <v>#N/A</v>
      </c>
      <c r="F397" s="6" t="str">
        <f>VLOOKUP(B397,Sheet3!$B$2:$E$311,4,)</f>
        <v>#N/A</v>
      </c>
      <c r="G397" s="6"/>
      <c r="H397" s="6"/>
      <c r="I397" s="6"/>
    </row>
    <row r="398" ht="15.75" customHeight="1">
      <c r="A398" s="6"/>
      <c r="B398" s="6"/>
      <c r="C398" s="6"/>
      <c r="D398" s="6"/>
      <c r="E398" s="6" t="str">
        <f>VLOOKUP(B398,Sheet3!$B$2:$E$311,3,)</f>
        <v>#N/A</v>
      </c>
      <c r="F398" s="6" t="str">
        <f>VLOOKUP(B398,Sheet3!$B$2:$E$311,4,)</f>
        <v>#N/A</v>
      </c>
      <c r="G398" s="6"/>
      <c r="H398" s="6"/>
      <c r="I398" s="6"/>
    </row>
    <row r="399" ht="15.75" customHeight="1">
      <c r="A399" s="6"/>
      <c r="B399" s="6"/>
      <c r="C399" s="6"/>
      <c r="D399" s="6"/>
      <c r="E399" s="6" t="str">
        <f>VLOOKUP(B399,Sheet3!$B$2:$E$311,3,)</f>
        <v>#N/A</v>
      </c>
      <c r="F399" s="6" t="str">
        <f>VLOOKUP(B399,Sheet3!$B$2:$E$311,4,)</f>
        <v>#N/A</v>
      </c>
      <c r="G399" s="6"/>
      <c r="H399" s="6"/>
      <c r="I399" s="6"/>
    </row>
    <row r="400" ht="15.75" customHeight="1">
      <c r="A400" s="6"/>
      <c r="B400" s="6"/>
      <c r="C400" s="6"/>
      <c r="D400" s="6"/>
      <c r="E400" s="6" t="str">
        <f>VLOOKUP(B400,Sheet3!$B$2:$E$311,3,)</f>
        <v>#N/A</v>
      </c>
      <c r="F400" s="6" t="str">
        <f>VLOOKUP(B400,Sheet3!$B$2:$E$311,4,)</f>
        <v>#N/A</v>
      </c>
      <c r="G400" s="6"/>
      <c r="H400" s="6"/>
      <c r="I400" s="6"/>
    </row>
    <row r="401" ht="15.75" customHeight="1">
      <c r="A401" s="6"/>
      <c r="B401" s="6"/>
      <c r="C401" s="6"/>
      <c r="D401" s="6"/>
      <c r="E401" s="6" t="str">
        <f>VLOOKUP(B401,Sheet3!$B$2:$E$311,3,)</f>
        <v>#N/A</v>
      </c>
      <c r="F401" s="6" t="str">
        <f>VLOOKUP(B401,Sheet3!$B$2:$E$311,4,)</f>
        <v>#N/A</v>
      </c>
      <c r="G401" s="6"/>
      <c r="H401" s="6"/>
      <c r="I401" s="6"/>
    </row>
    <row r="402" ht="15.75" customHeight="1">
      <c r="A402" s="6"/>
      <c r="B402" s="6"/>
      <c r="C402" s="6"/>
      <c r="D402" s="6"/>
      <c r="E402" s="6" t="str">
        <f>VLOOKUP(B402,Sheet3!$B$2:$E$311,3,)</f>
        <v>#N/A</v>
      </c>
      <c r="F402" s="6" t="str">
        <f>VLOOKUP(B402,Sheet3!$B$2:$E$311,4,)</f>
        <v>#N/A</v>
      </c>
      <c r="G402" s="6"/>
      <c r="H402" s="6"/>
      <c r="I402" s="6"/>
    </row>
    <row r="403" ht="15.75" customHeight="1">
      <c r="A403" s="6"/>
      <c r="B403" s="6"/>
      <c r="C403" s="6"/>
      <c r="D403" s="6"/>
      <c r="E403" s="6" t="str">
        <f>VLOOKUP(B403,Sheet3!$B$2:$E$311,3,)</f>
        <v>#N/A</v>
      </c>
      <c r="F403" s="6" t="str">
        <f>VLOOKUP(B403,Sheet3!$B$2:$E$311,4,)</f>
        <v>#N/A</v>
      </c>
      <c r="G403" s="6"/>
      <c r="H403" s="6"/>
      <c r="I403" s="6"/>
    </row>
    <row r="404" ht="15.75" customHeight="1">
      <c r="A404" s="6"/>
      <c r="B404" s="6"/>
      <c r="C404" s="6"/>
      <c r="D404" s="6"/>
      <c r="E404" s="6" t="str">
        <f>VLOOKUP(B404,Sheet3!$B$2:$E$311,3,)</f>
        <v>#N/A</v>
      </c>
      <c r="F404" s="6" t="str">
        <f>VLOOKUP(B404,Sheet3!$B$2:$E$311,4,)</f>
        <v>#N/A</v>
      </c>
      <c r="G404" s="6"/>
      <c r="H404" s="6"/>
      <c r="I404" s="6"/>
    </row>
    <row r="405" ht="15.75" customHeight="1">
      <c r="A405" s="6"/>
      <c r="B405" s="6"/>
      <c r="C405" s="6"/>
      <c r="D405" s="6"/>
      <c r="E405" s="6" t="str">
        <f>VLOOKUP(B405,Sheet3!$B$2:$E$311,3,)</f>
        <v>#N/A</v>
      </c>
      <c r="F405" s="6" t="str">
        <f>VLOOKUP(B405,Sheet3!$B$2:$E$311,4,)</f>
        <v>#N/A</v>
      </c>
      <c r="G405" s="6"/>
      <c r="H405" s="6"/>
      <c r="I405" s="6"/>
    </row>
    <row r="406" ht="15.75" customHeight="1">
      <c r="A406" s="6"/>
      <c r="B406" s="6"/>
      <c r="C406" s="6"/>
      <c r="D406" s="6"/>
      <c r="E406" s="6" t="str">
        <f>VLOOKUP(B406,Sheet3!$B$2:$E$311,3,)</f>
        <v>#N/A</v>
      </c>
      <c r="F406" s="6" t="str">
        <f>VLOOKUP(B406,Sheet3!$B$2:$E$311,4,)</f>
        <v>#N/A</v>
      </c>
      <c r="G406" s="6"/>
      <c r="H406" s="6"/>
      <c r="I406" s="6"/>
    </row>
    <row r="407" ht="15.75" customHeight="1">
      <c r="A407" s="6"/>
      <c r="B407" s="6"/>
      <c r="C407" s="6"/>
      <c r="D407" s="6"/>
      <c r="E407" s="6" t="str">
        <f>VLOOKUP(B407,Sheet3!$B$2:$E$311,3,)</f>
        <v>#N/A</v>
      </c>
      <c r="F407" s="6" t="str">
        <f>VLOOKUP(B407,Sheet3!$B$2:$E$311,4,)</f>
        <v>#N/A</v>
      </c>
      <c r="G407" s="6"/>
      <c r="H407" s="6"/>
      <c r="I407" s="6"/>
    </row>
    <row r="408" ht="15.75" customHeight="1">
      <c r="A408" s="6"/>
      <c r="B408" s="6"/>
      <c r="C408" s="6"/>
      <c r="D408" s="6"/>
      <c r="E408" s="6" t="str">
        <f>VLOOKUP(B408,Sheet3!$B$2:$E$311,3,)</f>
        <v>#N/A</v>
      </c>
      <c r="F408" s="6" t="str">
        <f>VLOOKUP(B408,Sheet3!$B$2:$E$311,4,)</f>
        <v>#N/A</v>
      </c>
      <c r="G408" s="6"/>
      <c r="H408" s="6"/>
      <c r="I408" s="6"/>
    </row>
    <row r="409" ht="15.75" customHeight="1">
      <c r="A409" s="6"/>
      <c r="B409" s="6"/>
      <c r="C409" s="6"/>
      <c r="D409" s="6"/>
      <c r="E409" s="6" t="str">
        <f>VLOOKUP(B409,Sheet3!$B$2:$E$311,3,)</f>
        <v>#N/A</v>
      </c>
      <c r="F409" s="6" t="str">
        <f>VLOOKUP(B409,Sheet3!$B$2:$E$311,4,)</f>
        <v>#N/A</v>
      </c>
      <c r="G409" s="6"/>
      <c r="H409" s="6"/>
      <c r="I409" s="6"/>
    </row>
    <row r="410" ht="15.75" customHeight="1">
      <c r="A410" s="6"/>
      <c r="B410" s="6"/>
      <c r="C410" s="6"/>
      <c r="D410" s="6"/>
      <c r="E410" s="6" t="str">
        <f>VLOOKUP(B410,Sheet3!$B$2:$E$311,3,)</f>
        <v>#N/A</v>
      </c>
      <c r="F410" s="6" t="str">
        <f>VLOOKUP(B410,Sheet3!$B$2:$E$311,4,)</f>
        <v>#N/A</v>
      </c>
      <c r="G410" s="6"/>
      <c r="H410" s="6"/>
      <c r="I410" s="6"/>
    </row>
    <row r="411" ht="15.75" customHeight="1">
      <c r="A411" s="6"/>
      <c r="B411" s="6"/>
      <c r="C411" s="6"/>
      <c r="D411" s="6"/>
      <c r="E411" s="6" t="str">
        <f>VLOOKUP(B411,Sheet3!$B$2:$E$311,3,)</f>
        <v>#N/A</v>
      </c>
      <c r="F411" s="6" t="str">
        <f>VLOOKUP(B411,Sheet3!$B$2:$E$311,4,)</f>
        <v>#N/A</v>
      </c>
      <c r="G411" s="6"/>
      <c r="H411" s="6"/>
      <c r="I411" s="6"/>
    </row>
    <row r="412" ht="15.75" customHeight="1">
      <c r="A412" s="6"/>
      <c r="B412" s="6"/>
      <c r="C412" s="6"/>
      <c r="D412" s="6"/>
      <c r="E412" s="6" t="str">
        <f>VLOOKUP(B412,Sheet3!$B$2:$E$311,3,)</f>
        <v>#N/A</v>
      </c>
      <c r="F412" s="6" t="str">
        <f>VLOOKUP(B412,Sheet3!$B$2:$E$311,4,)</f>
        <v>#N/A</v>
      </c>
      <c r="G412" s="6"/>
      <c r="H412" s="6"/>
      <c r="I412" s="6"/>
    </row>
    <row r="413" ht="15.75" customHeight="1">
      <c r="A413" s="6"/>
      <c r="B413" s="6"/>
      <c r="C413" s="6"/>
      <c r="D413" s="6"/>
      <c r="E413" s="6" t="str">
        <f>VLOOKUP(B413,Sheet3!$B$2:$E$311,3,)</f>
        <v>#N/A</v>
      </c>
      <c r="F413" s="6" t="str">
        <f>VLOOKUP(B413,Sheet3!$B$2:$E$311,4,)</f>
        <v>#N/A</v>
      </c>
      <c r="G413" s="6"/>
      <c r="H413" s="6"/>
      <c r="I413" s="6"/>
    </row>
    <row r="414" ht="15.75" customHeight="1">
      <c r="A414" s="6"/>
      <c r="B414" s="6"/>
      <c r="C414" s="6"/>
      <c r="D414" s="6"/>
      <c r="E414" s="6" t="str">
        <f>VLOOKUP(B414,Sheet3!$B$2:$E$311,3,)</f>
        <v>#N/A</v>
      </c>
      <c r="F414" s="6" t="str">
        <f>VLOOKUP(B414,Sheet3!$B$2:$E$311,4,)</f>
        <v>#N/A</v>
      </c>
      <c r="G414" s="6"/>
      <c r="H414" s="6"/>
      <c r="I414" s="6"/>
    </row>
    <row r="415" ht="15.75" customHeight="1">
      <c r="A415" s="6"/>
      <c r="B415" s="6"/>
      <c r="C415" s="6"/>
      <c r="D415" s="6"/>
      <c r="E415" s="6" t="str">
        <f>VLOOKUP(B415,Sheet3!$B$2:$E$311,3,)</f>
        <v>#N/A</v>
      </c>
      <c r="F415" s="6" t="str">
        <f>VLOOKUP(B415,Sheet3!$B$2:$E$311,4,)</f>
        <v>#N/A</v>
      </c>
      <c r="G415" s="6"/>
      <c r="H415" s="6"/>
      <c r="I415" s="6"/>
    </row>
    <row r="416" ht="15.75" customHeight="1">
      <c r="A416" s="6"/>
      <c r="B416" s="6"/>
      <c r="C416" s="6"/>
      <c r="D416" s="6"/>
      <c r="E416" s="6" t="str">
        <f>VLOOKUP(B416,Sheet3!$B$2:$E$311,3,)</f>
        <v>#N/A</v>
      </c>
      <c r="F416" s="6" t="str">
        <f>VLOOKUP(B416,Sheet3!$B$2:$E$311,4,)</f>
        <v>#N/A</v>
      </c>
      <c r="G416" s="6"/>
      <c r="H416" s="6"/>
      <c r="I416" s="6"/>
    </row>
    <row r="417" ht="15.75" customHeight="1">
      <c r="A417" s="6"/>
      <c r="B417" s="6"/>
      <c r="C417" s="6"/>
      <c r="D417" s="6"/>
      <c r="E417" s="6" t="str">
        <f>VLOOKUP(B417,Sheet3!$B$2:$E$311,3,)</f>
        <v>#N/A</v>
      </c>
      <c r="F417" s="6" t="str">
        <f>VLOOKUP(B417,Sheet3!$B$2:$E$311,4,)</f>
        <v>#N/A</v>
      </c>
      <c r="G417" s="6"/>
      <c r="H417" s="6"/>
      <c r="I417" s="6"/>
    </row>
    <row r="418" ht="15.75" customHeight="1">
      <c r="A418" s="6"/>
      <c r="B418" s="6"/>
      <c r="C418" s="6"/>
      <c r="D418" s="6"/>
      <c r="E418" s="6" t="str">
        <f>VLOOKUP(B418,Sheet3!$B$2:$E$311,3,)</f>
        <v>#N/A</v>
      </c>
      <c r="F418" s="6" t="str">
        <f>VLOOKUP(B418,Sheet3!$B$2:$E$311,4,)</f>
        <v>#N/A</v>
      </c>
      <c r="G418" s="6"/>
      <c r="H418" s="6"/>
      <c r="I418" s="6"/>
    </row>
    <row r="419" ht="15.75" customHeight="1">
      <c r="A419" s="6"/>
      <c r="B419" s="6"/>
      <c r="C419" s="6"/>
      <c r="D419" s="6"/>
      <c r="E419" s="6" t="str">
        <f>VLOOKUP(B419,Sheet3!$B$2:$E$311,3,)</f>
        <v>#N/A</v>
      </c>
      <c r="F419" s="6" t="str">
        <f>VLOOKUP(B419,Sheet3!$B$2:$E$311,4,)</f>
        <v>#N/A</v>
      </c>
      <c r="G419" s="6"/>
      <c r="H419" s="6"/>
      <c r="I419" s="6"/>
    </row>
    <row r="420" ht="15.75" customHeight="1">
      <c r="A420" s="6"/>
      <c r="B420" s="6"/>
      <c r="C420" s="6"/>
      <c r="D420" s="6"/>
      <c r="E420" s="6" t="str">
        <f>VLOOKUP(B420,Sheet3!$B$2:$E$311,3,)</f>
        <v>#N/A</v>
      </c>
      <c r="F420" s="6" t="str">
        <f>VLOOKUP(B420,Sheet3!$B$2:$E$311,4,)</f>
        <v>#N/A</v>
      </c>
      <c r="G420" s="6"/>
      <c r="H420" s="6"/>
      <c r="I420" s="6"/>
    </row>
    <row r="421" ht="15.75" customHeight="1">
      <c r="A421" s="6"/>
      <c r="B421" s="6"/>
      <c r="C421" s="6"/>
      <c r="D421" s="6"/>
      <c r="E421" s="6" t="str">
        <f>VLOOKUP(B421,Sheet3!$B$2:$E$311,3,)</f>
        <v>#N/A</v>
      </c>
      <c r="F421" s="6" t="str">
        <f>VLOOKUP(B421,Sheet3!$B$2:$E$311,4,)</f>
        <v>#N/A</v>
      </c>
      <c r="G421" s="6"/>
      <c r="H421" s="6"/>
      <c r="I421" s="6"/>
    </row>
    <row r="422" ht="15.75" customHeight="1">
      <c r="A422" s="6"/>
      <c r="B422" s="6"/>
      <c r="C422" s="6"/>
      <c r="D422" s="6"/>
      <c r="E422" s="6" t="str">
        <f>VLOOKUP(B422,Sheet3!$B$2:$E$311,3,)</f>
        <v>#N/A</v>
      </c>
      <c r="F422" s="6" t="str">
        <f>VLOOKUP(B422,Sheet3!$B$2:$E$311,4,)</f>
        <v>#N/A</v>
      </c>
      <c r="G422" s="6"/>
      <c r="H422" s="6"/>
      <c r="I422" s="6"/>
    </row>
    <row r="423" ht="15.75" customHeight="1">
      <c r="A423" s="6"/>
      <c r="B423" s="6"/>
      <c r="C423" s="6"/>
      <c r="D423" s="6"/>
      <c r="E423" s="6" t="str">
        <f>VLOOKUP(B423,Sheet3!$B$2:$E$311,3,)</f>
        <v>#N/A</v>
      </c>
      <c r="F423" s="6" t="str">
        <f>VLOOKUP(B423,Sheet3!$B$2:$E$311,4,)</f>
        <v>#N/A</v>
      </c>
      <c r="G423" s="6"/>
      <c r="H423" s="6"/>
      <c r="I423" s="6"/>
    </row>
    <row r="424" ht="15.75" customHeight="1">
      <c r="A424" s="6"/>
      <c r="B424" s="6"/>
      <c r="C424" s="6"/>
      <c r="D424" s="6"/>
      <c r="E424" s="6" t="str">
        <f>VLOOKUP(B424,Sheet3!$B$2:$E$311,3,)</f>
        <v>#N/A</v>
      </c>
      <c r="F424" s="6" t="str">
        <f>VLOOKUP(B424,Sheet3!$B$2:$E$311,4,)</f>
        <v>#N/A</v>
      </c>
      <c r="G424" s="6"/>
      <c r="H424" s="6"/>
      <c r="I424" s="6"/>
    </row>
    <row r="425" ht="15.75" customHeight="1">
      <c r="A425" s="6"/>
      <c r="B425" s="6"/>
      <c r="C425" s="6"/>
      <c r="D425" s="6"/>
      <c r="E425" s="6" t="str">
        <f>VLOOKUP(B425,Sheet3!$B$2:$E$311,3,)</f>
        <v>#N/A</v>
      </c>
      <c r="F425" s="6" t="str">
        <f>VLOOKUP(B425,Sheet3!$B$2:$E$311,4,)</f>
        <v>#N/A</v>
      </c>
      <c r="G425" s="6"/>
      <c r="H425" s="6"/>
      <c r="I425" s="6"/>
    </row>
    <row r="426" ht="15.75" customHeight="1">
      <c r="A426" s="6"/>
      <c r="B426" s="6"/>
      <c r="C426" s="6"/>
      <c r="D426" s="6"/>
      <c r="E426" s="6" t="str">
        <f>VLOOKUP(B426,Sheet3!$B$2:$E$311,3,)</f>
        <v>#N/A</v>
      </c>
      <c r="F426" s="6" t="str">
        <f>VLOOKUP(B426,Sheet3!$B$2:$E$311,4,)</f>
        <v>#N/A</v>
      </c>
      <c r="G426" s="6"/>
      <c r="H426" s="6"/>
      <c r="I426" s="6"/>
    </row>
    <row r="427" ht="15.75" customHeight="1">
      <c r="A427" s="6"/>
      <c r="B427" s="6"/>
      <c r="C427" s="6"/>
      <c r="D427" s="6"/>
      <c r="E427" s="6" t="str">
        <f>VLOOKUP(B427,Sheet3!$B$2:$E$311,3,)</f>
        <v>#N/A</v>
      </c>
      <c r="F427" s="6" t="str">
        <f>VLOOKUP(B427,Sheet3!$B$2:$E$311,4,)</f>
        <v>#N/A</v>
      </c>
      <c r="G427" s="6"/>
      <c r="H427" s="6"/>
      <c r="I427" s="6"/>
    </row>
    <row r="428" ht="15.75" customHeight="1">
      <c r="A428" s="6"/>
      <c r="B428" s="6"/>
      <c r="C428" s="6"/>
      <c r="D428" s="6"/>
      <c r="E428" s="6" t="str">
        <f>VLOOKUP(B428,Sheet3!$B$2:$E$311,3,)</f>
        <v>#N/A</v>
      </c>
      <c r="F428" s="6" t="str">
        <f>VLOOKUP(B428,Sheet3!$B$2:$E$311,4,)</f>
        <v>#N/A</v>
      </c>
      <c r="G428" s="6"/>
      <c r="H428" s="6"/>
      <c r="I428" s="6"/>
    </row>
    <row r="429" ht="15.75" customHeight="1">
      <c r="A429" s="6"/>
      <c r="B429" s="6"/>
      <c r="C429" s="6"/>
      <c r="D429" s="6"/>
      <c r="E429" s="6" t="str">
        <f>VLOOKUP(B429,Sheet3!$B$2:$E$311,3,)</f>
        <v>#N/A</v>
      </c>
      <c r="F429" s="6" t="str">
        <f>VLOOKUP(B429,Sheet3!$B$2:$E$311,4,)</f>
        <v>#N/A</v>
      </c>
      <c r="G429" s="6"/>
      <c r="H429" s="6"/>
      <c r="I429" s="6"/>
    </row>
    <row r="430" ht="15.75" customHeight="1">
      <c r="A430" s="6"/>
      <c r="B430" s="6"/>
      <c r="C430" s="6"/>
      <c r="D430" s="6"/>
      <c r="E430" s="6" t="str">
        <f>VLOOKUP(B430,Sheet3!$B$2:$E$311,3,)</f>
        <v>#N/A</v>
      </c>
      <c r="F430" s="6" t="str">
        <f>VLOOKUP(B430,Sheet3!$B$2:$E$311,4,)</f>
        <v>#N/A</v>
      </c>
      <c r="G430" s="6"/>
      <c r="H430" s="6"/>
      <c r="I430" s="6"/>
    </row>
    <row r="431" ht="15.75" customHeight="1">
      <c r="A431" s="6"/>
      <c r="B431" s="6"/>
      <c r="C431" s="6"/>
      <c r="D431" s="6"/>
      <c r="E431" s="6" t="str">
        <f>VLOOKUP(B431,Sheet3!$B$2:$E$311,3,)</f>
        <v>#N/A</v>
      </c>
      <c r="F431" s="6" t="str">
        <f>VLOOKUP(B431,Sheet3!$B$2:$E$311,4,)</f>
        <v>#N/A</v>
      </c>
      <c r="G431" s="6"/>
      <c r="H431" s="6"/>
      <c r="I431" s="6"/>
    </row>
    <row r="432" ht="15.75" customHeight="1">
      <c r="A432" s="6"/>
      <c r="B432" s="6"/>
      <c r="C432" s="6"/>
      <c r="D432" s="6"/>
      <c r="E432" s="6" t="str">
        <f>VLOOKUP(B432,Sheet3!$B$2:$E$311,3,)</f>
        <v>#N/A</v>
      </c>
      <c r="F432" s="6" t="str">
        <f>VLOOKUP(B432,Sheet3!$B$2:$E$311,4,)</f>
        <v>#N/A</v>
      </c>
      <c r="G432" s="6"/>
      <c r="H432" s="6"/>
      <c r="I432" s="6"/>
    </row>
    <row r="433" ht="15.75" customHeight="1">
      <c r="A433" s="6"/>
      <c r="B433" s="6"/>
      <c r="C433" s="6"/>
      <c r="D433" s="6"/>
      <c r="E433" s="6" t="str">
        <f>VLOOKUP(B433,Sheet3!$B$2:$E$311,3,)</f>
        <v>#N/A</v>
      </c>
      <c r="F433" s="6" t="str">
        <f>VLOOKUP(B433,Sheet3!$B$2:$E$311,4,)</f>
        <v>#N/A</v>
      </c>
      <c r="G433" s="6"/>
      <c r="H433" s="6"/>
      <c r="I433" s="6"/>
    </row>
    <row r="434" ht="15.75" customHeight="1">
      <c r="A434" s="6"/>
      <c r="B434" s="6"/>
      <c r="C434" s="6"/>
      <c r="D434" s="6"/>
      <c r="E434" s="6" t="str">
        <f>VLOOKUP(B434,Sheet3!$B$2:$E$311,3,)</f>
        <v>#N/A</v>
      </c>
      <c r="F434" s="6" t="str">
        <f>VLOOKUP(B434,Sheet3!$B$2:$E$311,4,)</f>
        <v>#N/A</v>
      </c>
      <c r="G434" s="6"/>
      <c r="H434" s="6"/>
      <c r="I434" s="6"/>
    </row>
    <row r="435" ht="15.75" customHeight="1">
      <c r="A435" s="6"/>
      <c r="B435" s="6"/>
      <c r="C435" s="6"/>
      <c r="D435" s="6"/>
      <c r="E435" s="6" t="str">
        <f>VLOOKUP(B435,Sheet3!$B$2:$E$311,3,)</f>
        <v>#N/A</v>
      </c>
      <c r="F435" s="6" t="str">
        <f>VLOOKUP(B435,Sheet3!$B$2:$E$311,4,)</f>
        <v>#N/A</v>
      </c>
      <c r="G435" s="6"/>
      <c r="H435" s="6"/>
      <c r="I435" s="6"/>
    </row>
    <row r="436" ht="15.75" customHeight="1">
      <c r="A436" s="6"/>
      <c r="B436" s="6"/>
      <c r="C436" s="6"/>
      <c r="D436" s="6"/>
      <c r="E436" s="6" t="str">
        <f>VLOOKUP(B436,Sheet3!$B$2:$E$311,3,)</f>
        <v>#N/A</v>
      </c>
      <c r="F436" s="6" t="str">
        <f>VLOOKUP(B436,Sheet3!$B$2:$E$311,4,)</f>
        <v>#N/A</v>
      </c>
      <c r="G436" s="6"/>
      <c r="H436" s="6"/>
      <c r="I436" s="6"/>
    </row>
    <row r="437" ht="15.75" customHeight="1">
      <c r="A437" s="6"/>
      <c r="B437" s="6"/>
      <c r="C437" s="6"/>
      <c r="D437" s="6"/>
      <c r="E437" s="6" t="str">
        <f>VLOOKUP(B437,Sheet3!$B$2:$E$311,3,)</f>
        <v>#N/A</v>
      </c>
      <c r="F437" s="6" t="str">
        <f>VLOOKUP(B437,Sheet3!$B$2:$E$311,4,)</f>
        <v>#N/A</v>
      </c>
      <c r="G437" s="6"/>
      <c r="H437" s="6"/>
      <c r="I437" s="6"/>
    </row>
    <row r="438" ht="15.75" customHeight="1">
      <c r="A438" s="6"/>
      <c r="B438" s="6"/>
      <c r="C438" s="6"/>
      <c r="D438" s="6"/>
      <c r="E438" s="6" t="str">
        <f>VLOOKUP(B438,Sheet3!$B$2:$E$311,3,)</f>
        <v>#N/A</v>
      </c>
      <c r="F438" s="6" t="str">
        <f>VLOOKUP(B438,Sheet3!$B$2:$E$311,4,)</f>
        <v>#N/A</v>
      </c>
      <c r="G438" s="6"/>
      <c r="H438" s="6"/>
      <c r="I438" s="6"/>
    </row>
    <row r="439" ht="15.75" customHeight="1">
      <c r="A439" s="6"/>
      <c r="B439" s="6"/>
      <c r="C439" s="6"/>
      <c r="D439" s="6"/>
      <c r="E439" s="6" t="str">
        <f>VLOOKUP(B439,Sheet3!$B$2:$E$311,3,)</f>
        <v>#N/A</v>
      </c>
      <c r="F439" s="6" t="str">
        <f>VLOOKUP(B439,Sheet3!$B$2:$E$311,4,)</f>
        <v>#N/A</v>
      </c>
      <c r="G439" s="6"/>
      <c r="H439" s="6"/>
      <c r="I439" s="6"/>
    </row>
    <row r="440" ht="15.75" customHeight="1">
      <c r="A440" s="6"/>
      <c r="B440" s="6"/>
      <c r="C440" s="6"/>
      <c r="D440" s="6"/>
      <c r="E440" s="6" t="str">
        <f>VLOOKUP(B440,Sheet3!$B$2:$E$311,3,)</f>
        <v>#N/A</v>
      </c>
      <c r="F440" s="6" t="str">
        <f>VLOOKUP(B440,Sheet3!$B$2:$E$311,4,)</f>
        <v>#N/A</v>
      </c>
      <c r="G440" s="6"/>
      <c r="H440" s="6"/>
      <c r="I440" s="6"/>
    </row>
    <row r="441" ht="15.75" customHeight="1">
      <c r="A441" s="6"/>
      <c r="B441" s="6"/>
      <c r="C441" s="6"/>
      <c r="D441" s="6"/>
      <c r="E441" s="6" t="str">
        <f>VLOOKUP(B441,Sheet3!$B$2:$E$311,3,)</f>
        <v>#N/A</v>
      </c>
      <c r="F441" s="6" t="str">
        <f>VLOOKUP(B441,Sheet3!$B$2:$E$311,4,)</f>
        <v>#N/A</v>
      </c>
      <c r="G441" s="6"/>
      <c r="H441" s="6"/>
      <c r="I441" s="6"/>
    </row>
    <row r="442" ht="15.75" customHeight="1">
      <c r="A442" s="6"/>
      <c r="B442" s="6"/>
      <c r="C442" s="6"/>
      <c r="D442" s="6"/>
      <c r="E442" s="6" t="str">
        <f>VLOOKUP(B442,Sheet3!$B$2:$E$311,3,)</f>
        <v>#N/A</v>
      </c>
      <c r="F442" s="6" t="str">
        <f>VLOOKUP(B442,Sheet3!$B$2:$E$311,4,)</f>
        <v>#N/A</v>
      </c>
      <c r="G442" s="6"/>
      <c r="H442" s="6"/>
      <c r="I442" s="6"/>
    </row>
    <row r="443" ht="15.75" customHeight="1">
      <c r="A443" s="6"/>
      <c r="B443" s="6"/>
      <c r="C443" s="6"/>
      <c r="D443" s="6"/>
      <c r="E443" s="6" t="str">
        <f>VLOOKUP(B443,Sheet3!$B$2:$E$311,3,)</f>
        <v>#N/A</v>
      </c>
      <c r="F443" s="6" t="str">
        <f>VLOOKUP(B443,Sheet3!$B$2:$E$311,4,)</f>
        <v>#N/A</v>
      </c>
      <c r="G443" s="6"/>
      <c r="H443" s="6"/>
      <c r="I443" s="6"/>
    </row>
    <row r="444" ht="15.75" customHeight="1">
      <c r="A444" s="6"/>
      <c r="B444" s="6"/>
      <c r="C444" s="6"/>
      <c r="D444" s="6"/>
      <c r="E444" s="6" t="str">
        <f>VLOOKUP(B444,Sheet3!$B$2:$E$311,3,)</f>
        <v>#N/A</v>
      </c>
      <c r="F444" s="6" t="str">
        <f>VLOOKUP(B444,Sheet3!$B$2:$E$311,4,)</f>
        <v>#N/A</v>
      </c>
      <c r="G444" s="6"/>
      <c r="H444" s="6"/>
      <c r="I444" s="6"/>
    </row>
    <row r="445" ht="15.75" customHeight="1">
      <c r="A445" s="6"/>
      <c r="B445" s="6"/>
      <c r="C445" s="6"/>
      <c r="D445" s="6"/>
      <c r="E445" s="6" t="str">
        <f>VLOOKUP(B445,Sheet3!$B$2:$E$311,3,)</f>
        <v>#N/A</v>
      </c>
      <c r="F445" s="6" t="str">
        <f>VLOOKUP(B445,Sheet3!$B$2:$E$311,4,)</f>
        <v>#N/A</v>
      </c>
      <c r="G445" s="6"/>
      <c r="H445" s="6"/>
      <c r="I445" s="6"/>
    </row>
    <row r="446" ht="15.75" customHeight="1">
      <c r="A446" s="6"/>
      <c r="B446" s="6"/>
      <c r="C446" s="6"/>
      <c r="D446" s="6"/>
      <c r="E446" s="6" t="str">
        <f>VLOOKUP(B446,Sheet3!$B$2:$E$311,3,)</f>
        <v>#N/A</v>
      </c>
      <c r="F446" s="6" t="str">
        <f>VLOOKUP(B446,Sheet3!$B$2:$E$311,4,)</f>
        <v>#N/A</v>
      </c>
      <c r="G446" s="6"/>
      <c r="H446" s="6"/>
      <c r="I446" s="6"/>
    </row>
    <row r="447" ht="15.75" customHeight="1">
      <c r="A447" s="6"/>
      <c r="B447" s="6"/>
      <c r="C447" s="6"/>
      <c r="D447" s="6"/>
      <c r="E447" s="6" t="str">
        <f>VLOOKUP(B447,Sheet3!$B$2:$E$311,3,)</f>
        <v>#N/A</v>
      </c>
      <c r="F447" s="6" t="str">
        <f>VLOOKUP(B447,Sheet3!$B$2:$E$311,4,)</f>
        <v>#N/A</v>
      </c>
      <c r="G447" s="6"/>
      <c r="H447" s="6"/>
      <c r="I447" s="6"/>
    </row>
    <row r="448" ht="15.75" customHeight="1">
      <c r="A448" s="6"/>
      <c r="B448" s="6"/>
      <c r="C448" s="6"/>
      <c r="D448" s="6"/>
      <c r="E448" s="6" t="str">
        <f>VLOOKUP(B448,Sheet3!$B$2:$E$311,3,)</f>
        <v>#N/A</v>
      </c>
      <c r="F448" s="6" t="str">
        <f>VLOOKUP(B448,Sheet3!$B$2:$E$311,4,)</f>
        <v>#N/A</v>
      </c>
      <c r="G448" s="6"/>
      <c r="H448" s="6"/>
      <c r="I448" s="6"/>
    </row>
    <row r="449" ht="15.75" customHeight="1">
      <c r="A449" s="6"/>
      <c r="B449" s="6"/>
      <c r="C449" s="6"/>
      <c r="D449" s="6"/>
      <c r="E449" s="6" t="str">
        <f>VLOOKUP(B449,Sheet3!$B$2:$E$311,3,)</f>
        <v>#N/A</v>
      </c>
      <c r="F449" s="6" t="str">
        <f>VLOOKUP(B449,Sheet3!$B$2:$E$311,4,)</f>
        <v>#N/A</v>
      </c>
      <c r="G449" s="6"/>
      <c r="H449" s="6"/>
      <c r="I449" s="6"/>
    </row>
    <row r="450" ht="15.75" customHeight="1">
      <c r="A450" s="6"/>
      <c r="B450" s="6"/>
      <c r="C450" s="6"/>
      <c r="D450" s="6"/>
      <c r="E450" s="6" t="str">
        <f>VLOOKUP(B450,Sheet3!$B$2:$E$311,3,)</f>
        <v>#N/A</v>
      </c>
      <c r="F450" s="6" t="str">
        <f>VLOOKUP(B450,Sheet3!$B$2:$E$311,4,)</f>
        <v>#N/A</v>
      </c>
      <c r="G450" s="6"/>
      <c r="H450" s="6"/>
      <c r="I450" s="6"/>
    </row>
    <row r="451" ht="15.75" customHeight="1">
      <c r="A451" s="6"/>
      <c r="B451" s="6"/>
      <c r="C451" s="6"/>
      <c r="D451" s="6"/>
      <c r="E451" s="6" t="str">
        <f>VLOOKUP(B451,Sheet3!$B$2:$E$311,3,)</f>
        <v>#N/A</v>
      </c>
      <c r="F451" s="6" t="str">
        <f>VLOOKUP(B451,Sheet3!$B$2:$E$311,4,)</f>
        <v>#N/A</v>
      </c>
      <c r="G451" s="6"/>
      <c r="H451" s="6"/>
      <c r="I451" s="6"/>
    </row>
    <row r="452" ht="15.75" customHeight="1">
      <c r="A452" s="6"/>
      <c r="B452" s="6"/>
      <c r="C452" s="6"/>
      <c r="D452" s="6"/>
      <c r="E452" s="6" t="str">
        <f>VLOOKUP(B452,Sheet3!$B$2:$E$311,3,)</f>
        <v>#N/A</v>
      </c>
      <c r="F452" s="6" t="str">
        <f>VLOOKUP(B452,Sheet3!$B$2:$E$311,4,)</f>
        <v>#N/A</v>
      </c>
      <c r="G452" s="6"/>
      <c r="H452" s="6"/>
      <c r="I452" s="6"/>
    </row>
    <row r="453" ht="15.75" customHeight="1">
      <c r="A453" s="6"/>
      <c r="B453" s="6"/>
      <c r="C453" s="6"/>
      <c r="D453" s="6"/>
      <c r="E453" s="6" t="str">
        <f>VLOOKUP(B453,Sheet3!$B$2:$E$311,3,)</f>
        <v>#N/A</v>
      </c>
      <c r="F453" s="6" t="str">
        <f>VLOOKUP(B453,Sheet3!$B$2:$E$311,4,)</f>
        <v>#N/A</v>
      </c>
      <c r="G453" s="6"/>
      <c r="H453" s="6"/>
      <c r="I453" s="6"/>
    </row>
    <row r="454" ht="15.75" customHeight="1">
      <c r="A454" s="6"/>
      <c r="B454" s="6"/>
      <c r="C454" s="6"/>
      <c r="D454" s="6"/>
      <c r="E454" s="6" t="str">
        <f>VLOOKUP(B454,Sheet3!$B$2:$E$311,3,)</f>
        <v>#N/A</v>
      </c>
      <c r="F454" s="6" t="str">
        <f>VLOOKUP(B454,Sheet3!$B$2:$E$311,4,)</f>
        <v>#N/A</v>
      </c>
      <c r="G454" s="6"/>
      <c r="H454" s="6"/>
      <c r="I454" s="6"/>
    </row>
    <row r="455" ht="15.75" customHeight="1">
      <c r="A455" s="6"/>
      <c r="B455" s="6"/>
      <c r="C455" s="6"/>
      <c r="D455" s="6"/>
      <c r="E455" s="6" t="str">
        <f>VLOOKUP(B455,Sheet3!$B$2:$E$311,3,)</f>
        <v>#N/A</v>
      </c>
      <c r="F455" s="6" t="str">
        <f>VLOOKUP(B455,Sheet3!$B$2:$E$311,4,)</f>
        <v>#N/A</v>
      </c>
      <c r="G455" s="6"/>
      <c r="H455" s="6"/>
      <c r="I455" s="6"/>
    </row>
    <row r="456" ht="15.75" customHeight="1">
      <c r="A456" s="6"/>
      <c r="B456" s="6"/>
      <c r="C456" s="6"/>
      <c r="D456" s="6"/>
      <c r="E456" s="6" t="str">
        <f>VLOOKUP(B456,Sheet3!$B$2:$E$311,3,)</f>
        <v>#N/A</v>
      </c>
      <c r="F456" s="6" t="str">
        <f>VLOOKUP(B456,Sheet3!$B$2:$E$311,4,)</f>
        <v>#N/A</v>
      </c>
      <c r="G456" s="6"/>
      <c r="H456" s="6"/>
      <c r="I456" s="6"/>
    </row>
    <row r="457" ht="15.75" customHeight="1">
      <c r="A457" s="6"/>
      <c r="B457" s="6"/>
      <c r="C457" s="6"/>
      <c r="D457" s="6"/>
      <c r="E457" s="6" t="str">
        <f>VLOOKUP(B457,Sheet3!$B$2:$E$311,3,)</f>
        <v>#N/A</v>
      </c>
      <c r="F457" s="6" t="str">
        <f>VLOOKUP(B457,Sheet3!$B$2:$E$311,4,)</f>
        <v>#N/A</v>
      </c>
      <c r="G457" s="6"/>
      <c r="H457" s="6"/>
      <c r="I457" s="6"/>
    </row>
    <row r="458" ht="15.75" customHeight="1">
      <c r="A458" s="6"/>
      <c r="B458" s="6"/>
      <c r="C458" s="6"/>
      <c r="D458" s="6"/>
      <c r="E458" s="6" t="str">
        <f>VLOOKUP(B458,Sheet3!$B$2:$E$311,3,)</f>
        <v>#N/A</v>
      </c>
      <c r="F458" s="6" t="str">
        <f>VLOOKUP(B458,Sheet3!$B$2:$E$311,4,)</f>
        <v>#N/A</v>
      </c>
      <c r="G458" s="6"/>
      <c r="H458" s="6"/>
      <c r="I458" s="6"/>
    </row>
    <row r="459" ht="15.75" customHeight="1">
      <c r="A459" s="6"/>
      <c r="B459" s="6"/>
      <c r="C459" s="6"/>
      <c r="D459" s="6"/>
      <c r="E459" s="6" t="str">
        <f>VLOOKUP(B459,Sheet3!$B$2:$E$311,3,)</f>
        <v>#N/A</v>
      </c>
      <c r="F459" s="6" t="str">
        <f>VLOOKUP(B459,Sheet3!$B$2:$E$311,4,)</f>
        <v>#N/A</v>
      </c>
      <c r="G459" s="6"/>
      <c r="H459" s="6"/>
      <c r="I459" s="6"/>
    </row>
    <row r="460" ht="15.75" customHeight="1">
      <c r="A460" s="6"/>
      <c r="B460" s="6"/>
      <c r="C460" s="6"/>
      <c r="D460" s="6"/>
      <c r="E460" s="6" t="str">
        <f>VLOOKUP(B460,Sheet3!$B$2:$E$311,3,)</f>
        <v>#N/A</v>
      </c>
      <c r="F460" s="6" t="str">
        <f>VLOOKUP(B460,Sheet3!$B$2:$E$311,4,)</f>
        <v>#N/A</v>
      </c>
      <c r="G460" s="6"/>
      <c r="H460" s="6"/>
      <c r="I460" s="6"/>
    </row>
    <row r="461" ht="15.75" customHeight="1">
      <c r="A461" s="6"/>
      <c r="B461" s="6"/>
      <c r="C461" s="6"/>
      <c r="D461" s="6"/>
      <c r="E461" s="6" t="str">
        <f>VLOOKUP(B461,Sheet3!$B$2:$E$311,3,)</f>
        <v>#N/A</v>
      </c>
      <c r="F461" s="6" t="str">
        <f>VLOOKUP(B461,Sheet3!$B$2:$E$311,4,)</f>
        <v>#N/A</v>
      </c>
      <c r="G461" s="6"/>
      <c r="H461" s="6"/>
      <c r="I461" s="6"/>
    </row>
    <row r="462" ht="15.75" customHeight="1">
      <c r="A462" s="6"/>
      <c r="B462" s="6"/>
      <c r="C462" s="6"/>
      <c r="D462" s="6"/>
      <c r="E462" s="6" t="str">
        <f>VLOOKUP(B462,Sheet3!$B$2:$E$311,3,)</f>
        <v>#N/A</v>
      </c>
      <c r="F462" s="6" t="str">
        <f>VLOOKUP(B462,Sheet3!$B$2:$E$311,4,)</f>
        <v>#N/A</v>
      </c>
      <c r="G462" s="6"/>
      <c r="H462" s="6"/>
      <c r="I462" s="6"/>
    </row>
    <row r="463" ht="15.75" customHeight="1">
      <c r="A463" s="6"/>
      <c r="B463" s="6"/>
      <c r="C463" s="6"/>
      <c r="D463" s="6"/>
      <c r="E463" s="6" t="str">
        <f>VLOOKUP(B463,Sheet3!$B$2:$E$311,3,)</f>
        <v>#N/A</v>
      </c>
      <c r="F463" s="6" t="str">
        <f>VLOOKUP(B463,Sheet3!$B$2:$E$311,4,)</f>
        <v>#N/A</v>
      </c>
      <c r="G463" s="6"/>
      <c r="H463" s="6"/>
      <c r="I463" s="6"/>
    </row>
    <row r="464" ht="15.75" customHeight="1">
      <c r="A464" s="6"/>
      <c r="B464" s="6"/>
      <c r="C464" s="6"/>
      <c r="D464" s="6"/>
      <c r="E464" s="6" t="str">
        <f>VLOOKUP(B464,Sheet3!$B$2:$E$311,3,)</f>
        <v>#N/A</v>
      </c>
      <c r="F464" s="6" t="str">
        <f>VLOOKUP(B464,Sheet3!$B$2:$E$311,4,)</f>
        <v>#N/A</v>
      </c>
      <c r="G464" s="6"/>
      <c r="H464" s="6"/>
      <c r="I464" s="6"/>
    </row>
    <row r="465" ht="15.75" customHeight="1">
      <c r="A465" s="6"/>
      <c r="B465" s="6"/>
      <c r="C465" s="6"/>
      <c r="D465" s="6"/>
      <c r="E465" s="6" t="str">
        <f>VLOOKUP(B465,Sheet3!$B$2:$E$311,3,)</f>
        <v>#N/A</v>
      </c>
      <c r="F465" s="6" t="str">
        <f>VLOOKUP(B465,Sheet3!$B$2:$E$311,4,)</f>
        <v>#N/A</v>
      </c>
      <c r="G465" s="6"/>
      <c r="H465" s="6"/>
      <c r="I465" s="6"/>
    </row>
    <row r="466" ht="15.75" customHeight="1">
      <c r="A466" s="6"/>
      <c r="B466" s="6"/>
      <c r="C466" s="6"/>
      <c r="D466" s="6"/>
      <c r="E466" s="6" t="str">
        <f>VLOOKUP(B466,Sheet3!$B$2:$E$311,3,)</f>
        <v>#N/A</v>
      </c>
      <c r="F466" s="6" t="str">
        <f>VLOOKUP(B466,Sheet3!$B$2:$E$311,4,)</f>
        <v>#N/A</v>
      </c>
      <c r="G466" s="6"/>
      <c r="H466" s="6"/>
      <c r="I466" s="6"/>
    </row>
    <row r="467" ht="15.75" customHeight="1">
      <c r="A467" s="6"/>
      <c r="B467" s="6"/>
      <c r="C467" s="6"/>
      <c r="D467" s="6"/>
      <c r="E467" s="6" t="str">
        <f>VLOOKUP(B467,Sheet3!$B$2:$E$311,3,)</f>
        <v>#N/A</v>
      </c>
      <c r="F467" s="6" t="str">
        <f>VLOOKUP(B467,Sheet3!$B$2:$E$311,4,)</f>
        <v>#N/A</v>
      </c>
      <c r="G467" s="6"/>
      <c r="H467" s="6"/>
      <c r="I467" s="6"/>
    </row>
    <row r="468" ht="15.75" customHeight="1">
      <c r="A468" s="6"/>
      <c r="B468" s="6"/>
      <c r="C468" s="6"/>
      <c r="D468" s="6"/>
      <c r="E468" s="6" t="str">
        <f>VLOOKUP(B468,Sheet3!$B$2:$E$311,3,)</f>
        <v>#N/A</v>
      </c>
      <c r="F468" s="6" t="str">
        <f>VLOOKUP(B468,Sheet3!$B$2:$E$311,4,)</f>
        <v>#N/A</v>
      </c>
      <c r="G468" s="6"/>
      <c r="H468" s="6"/>
      <c r="I468" s="6"/>
    </row>
    <row r="469" ht="15.75" customHeight="1">
      <c r="A469" s="6"/>
      <c r="B469" s="6"/>
      <c r="C469" s="6"/>
      <c r="D469" s="6"/>
      <c r="E469" s="6" t="str">
        <f>VLOOKUP(B469,Sheet3!$B$2:$E$311,3,)</f>
        <v>#N/A</v>
      </c>
      <c r="F469" s="6" t="str">
        <f>VLOOKUP(B469,Sheet3!$B$2:$E$311,4,)</f>
        <v>#N/A</v>
      </c>
      <c r="G469" s="6"/>
      <c r="H469" s="6"/>
      <c r="I469" s="6"/>
    </row>
    <row r="470" ht="15.75" customHeight="1">
      <c r="A470" s="6"/>
      <c r="B470" s="6"/>
      <c r="C470" s="6"/>
      <c r="D470" s="6"/>
      <c r="E470" s="6" t="str">
        <f>VLOOKUP(B470,Sheet3!$B$2:$E$311,3,)</f>
        <v>#N/A</v>
      </c>
      <c r="F470" s="6" t="str">
        <f>VLOOKUP(B470,Sheet3!$B$2:$E$311,4,)</f>
        <v>#N/A</v>
      </c>
      <c r="G470" s="6"/>
      <c r="H470" s="6"/>
      <c r="I470" s="6"/>
    </row>
    <row r="471" ht="15.75" customHeight="1">
      <c r="A471" s="6"/>
      <c r="B471" s="6"/>
      <c r="C471" s="6"/>
      <c r="D471" s="6"/>
      <c r="E471" s="6" t="str">
        <f>VLOOKUP(B471,Sheet3!$B$2:$E$311,3,)</f>
        <v>#N/A</v>
      </c>
      <c r="F471" s="6" t="str">
        <f>VLOOKUP(B471,Sheet3!$B$2:$E$311,4,)</f>
        <v>#N/A</v>
      </c>
      <c r="G471" s="6"/>
      <c r="H471" s="6"/>
      <c r="I471" s="6"/>
    </row>
    <row r="472" ht="15.75" customHeight="1">
      <c r="A472" s="6"/>
      <c r="B472" s="6"/>
      <c r="C472" s="6"/>
      <c r="D472" s="6"/>
      <c r="E472" s="6" t="str">
        <f>VLOOKUP(B472,Sheet3!$B$2:$E$311,3,)</f>
        <v>#N/A</v>
      </c>
      <c r="F472" s="6" t="str">
        <f>VLOOKUP(B472,Sheet3!$B$2:$E$311,4,)</f>
        <v>#N/A</v>
      </c>
      <c r="G472" s="6"/>
      <c r="H472" s="6"/>
      <c r="I472" s="6"/>
    </row>
    <row r="473" ht="15.75" customHeight="1">
      <c r="A473" s="6"/>
      <c r="B473" s="6"/>
      <c r="C473" s="6"/>
      <c r="D473" s="6"/>
      <c r="E473" s="6" t="str">
        <f>VLOOKUP(B473,Sheet3!$B$2:$E$311,3,)</f>
        <v>#N/A</v>
      </c>
      <c r="F473" s="6" t="str">
        <f>VLOOKUP(B473,Sheet3!$B$2:$E$311,4,)</f>
        <v>#N/A</v>
      </c>
      <c r="G473" s="6"/>
      <c r="H473" s="6"/>
      <c r="I473" s="6"/>
    </row>
    <row r="474" ht="15.75" customHeight="1">
      <c r="A474" s="6"/>
      <c r="B474" s="6"/>
      <c r="C474" s="6"/>
      <c r="D474" s="6"/>
      <c r="E474" s="6" t="str">
        <f>VLOOKUP(B474,Sheet3!$B$2:$E$311,3,)</f>
        <v>#N/A</v>
      </c>
      <c r="F474" s="6" t="str">
        <f>VLOOKUP(B474,Sheet3!$B$2:$E$311,4,)</f>
        <v>#N/A</v>
      </c>
      <c r="G474" s="6"/>
      <c r="H474" s="6"/>
      <c r="I474" s="6"/>
    </row>
    <row r="475" ht="15.75" customHeight="1">
      <c r="A475" s="6"/>
      <c r="B475" s="6"/>
      <c r="C475" s="6"/>
      <c r="D475" s="6"/>
      <c r="E475" s="6" t="str">
        <f>VLOOKUP(B475,Sheet3!$B$2:$E$311,3,)</f>
        <v>#N/A</v>
      </c>
      <c r="F475" s="6" t="str">
        <f>VLOOKUP(B475,Sheet3!$B$2:$E$311,4,)</f>
        <v>#N/A</v>
      </c>
      <c r="G475" s="6"/>
      <c r="H475" s="6"/>
      <c r="I475" s="6"/>
    </row>
    <row r="476" ht="15.75" customHeight="1">
      <c r="A476" s="6"/>
      <c r="B476" s="6"/>
      <c r="C476" s="6"/>
      <c r="D476" s="6"/>
      <c r="E476" s="6" t="str">
        <f>VLOOKUP(B476,Sheet3!$B$2:$E$311,3,)</f>
        <v>#N/A</v>
      </c>
      <c r="F476" s="6" t="str">
        <f>VLOOKUP(B476,Sheet3!$B$2:$E$311,4,)</f>
        <v>#N/A</v>
      </c>
      <c r="G476" s="6"/>
      <c r="H476" s="6"/>
      <c r="I476" s="6"/>
    </row>
    <row r="477" ht="15.75" customHeight="1">
      <c r="A477" s="6"/>
      <c r="B477" s="6"/>
      <c r="C477" s="6"/>
      <c r="D477" s="6"/>
      <c r="E477" s="6" t="str">
        <f>VLOOKUP(B477,Sheet3!$B$2:$E$311,3,)</f>
        <v>#N/A</v>
      </c>
      <c r="F477" s="6" t="str">
        <f>VLOOKUP(B477,Sheet3!$B$2:$E$311,4,)</f>
        <v>#N/A</v>
      </c>
      <c r="G477" s="6"/>
      <c r="H477" s="6"/>
      <c r="I477" s="6"/>
    </row>
    <row r="478" ht="15.75" customHeight="1">
      <c r="A478" s="6"/>
      <c r="B478" s="6"/>
      <c r="C478" s="6"/>
      <c r="D478" s="6"/>
      <c r="E478" s="6" t="str">
        <f>VLOOKUP(B478,Sheet3!$B$2:$E$311,3,)</f>
        <v>#N/A</v>
      </c>
      <c r="F478" s="6" t="str">
        <f>VLOOKUP(B478,Sheet3!$B$2:$E$311,4,)</f>
        <v>#N/A</v>
      </c>
      <c r="G478" s="6"/>
      <c r="H478" s="6"/>
      <c r="I478" s="6"/>
    </row>
    <row r="479" ht="15.75" customHeight="1">
      <c r="A479" s="6"/>
      <c r="B479" s="6"/>
      <c r="C479" s="6"/>
      <c r="D479" s="6"/>
      <c r="E479" s="6" t="str">
        <f>VLOOKUP(B479,Sheet3!$B$2:$E$311,3,)</f>
        <v>#N/A</v>
      </c>
      <c r="F479" s="6" t="str">
        <f>VLOOKUP(B479,Sheet3!$B$2:$E$311,4,)</f>
        <v>#N/A</v>
      </c>
      <c r="G479" s="6"/>
      <c r="H479" s="6"/>
      <c r="I479" s="6"/>
    </row>
    <row r="480" ht="15.75" customHeight="1">
      <c r="A480" s="6"/>
      <c r="B480" s="6"/>
      <c r="C480" s="6"/>
      <c r="D480" s="6"/>
      <c r="E480" s="6" t="str">
        <f>VLOOKUP(B480,Sheet3!$B$2:$E$311,3,)</f>
        <v>#N/A</v>
      </c>
      <c r="F480" s="6" t="str">
        <f>VLOOKUP(B480,Sheet3!$B$2:$E$311,4,)</f>
        <v>#N/A</v>
      </c>
      <c r="G480" s="6"/>
      <c r="H480" s="6"/>
      <c r="I480" s="6"/>
    </row>
    <row r="481" ht="15.75" customHeight="1">
      <c r="A481" s="6"/>
      <c r="B481" s="6"/>
      <c r="C481" s="6"/>
      <c r="D481" s="6"/>
      <c r="E481" s="6" t="str">
        <f>VLOOKUP(B481,Sheet3!$B$2:$E$311,3,)</f>
        <v>#N/A</v>
      </c>
      <c r="F481" s="6" t="str">
        <f>VLOOKUP(B481,Sheet3!$B$2:$E$311,4,)</f>
        <v>#N/A</v>
      </c>
      <c r="G481" s="6"/>
      <c r="H481" s="6"/>
      <c r="I481" s="6"/>
    </row>
    <row r="482" ht="15.75" customHeight="1">
      <c r="A482" s="6"/>
      <c r="B482" s="6"/>
      <c r="C482" s="6"/>
      <c r="D482" s="6"/>
      <c r="E482" s="6" t="str">
        <f>VLOOKUP(B482,Sheet3!$B$2:$E$311,3,)</f>
        <v>#N/A</v>
      </c>
      <c r="F482" s="6" t="str">
        <f>VLOOKUP(B482,Sheet3!$B$2:$E$311,4,)</f>
        <v>#N/A</v>
      </c>
      <c r="G482" s="6"/>
      <c r="H482" s="6"/>
      <c r="I482" s="6"/>
    </row>
    <row r="483" ht="15.75" customHeight="1">
      <c r="A483" s="6"/>
      <c r="B483" s="6"/>
      <c r="C483" s="6"/>
      <c r="D483" s="6"/>
      <c r="E483" s="6" t="str">
        <f>VLOOKUP(B483,Sheet3!$B$2:$E$311,3,)</f>
        <v>#N/A</v>
      </c>
      <c r="F483" s="6" t="str">
        <f>VLOOKUP(B483,Sheet3!$B$2:$E$311,4,)</f>
        <v>#N/A</v>
      </c>
      <c r="G483" s="6"/>
      <c r="H483" s="6"/>
      <c r="I483" s="6"/>
    </row>
    <row r="484" ht="15.75" customHeight="1">
      <c r="A484" s="6"/>
      <c r="B484" s="6"/>
      <c r="C484" s="6"/>
      <c r="D484" s="6"/>
      <c r="E484" s="6" t="str">
        <f>VLOOKUP(B484,Sheet3!$B$2:$E$311,3,)</f>
        <v>#N/A</v>
      </c>
      <c r="F484" s="6" t="str">
        <f>VLOOKUP(B484,Sheet3!$B$2:$E$311,4,)</f>
        <v>#N/A</v>
      </c>
      <c r="G484" s="6"/>
      <c r="H484" s="6"/>
      <c r="I484" s="6"/>
    </row>
    <row r="485" ht="15.75" customHeight="1">
      <c r="A485" s="6"/>
      <c r="B485" s="6"/>
      <c r="C485" s="6"/>
      <c r="D485" s="6"/>
      <c r="E485" s="6" t="str">
        <f>VLOOKUP(B485,Sheet3!$B$2:$E$311,3,)</f>
        <v>#N/A</v>
      </c>
      <c r="F485" s="6" t="str">
        <f>VLOOKUP(B485,Sheet3!$B$2:$E$311,4,)</f>
        <v>#N/A</v>
      </c>
      <c r="G485" s="6"/>
      <c r="H485" s="6"/>
      <c r="I485" s="6"/>
    </row>
    <row r="486" ht="15.75" customHeight="1">
      <c r="A486" s="6"/>
      <c r="B486" s="6"/>
      <c r="C486" s="6"/>
      <c r="D486" s="6"/>
      <c r="E486" s="6" t="str">
        <f>VLOOKUP(B486,Sheet3!$B$2:$E$311,3,)</f>
        <v>#N/A</v>
      </c>
      <c r="F486" s="6" t="str">
        <f>VLOOKUP(B486,Sheet3!$B$2:$E$311,4,)</f>
        <v>#N/A</v>
      </c>
      <c r="G486" s="6"/>
      <c r="H486" s="6"/>
      <c r="I486" s="6"/>
    </row>
    <row r="487" ht="15.75" customHeight="1">
      <c r="A487" s="6"/>
      <c r="B487" s="6"/>
      <c r="C487" s="6"/>
      <c r="D487" s="6"/>
      <c r="E487" s="6" t="str">
        <f>VLOOKUP(B487,Sheet3!$B$2:$E$311,3,)</f>
        <v>#N/A</v>
      </c>
      <c r="F487" s="6" t="str">
        <f>VLOOKUP(B487,Sheet3!$B$2:$E$311,4,)</f>
        <v>#N/A</v>
      </c>
      <c r="G487" s="6"/>
      <c r="H487" s="6"/>
      <c r="I487" s="6"/>
    </row>
    <row r="488" ht="15.75" customHeight="1">
      <c r="A488" s="6"/>
      <c r="B488" s="6"/>
      <c r="C488" s="6"/>
      <c r="D488" s="6"/>
      <c r="E488" s="6" t="str">
        <f>VLOOKUP(B488,Sheet3!$B$2:$E$311,3,)</f>
        <v>#N/A</v>
      </c>
      <c r="F488" s="6" t="str">
        <f>VLOOKUP(B488,Sheet3!$B$2:$E$311,4,)</f>
        <v>#N/A</v>
      </c>
      <c r="G488" s="6"/>
      <c r="H488" s="6"/>
      <c r="I488" s="6"/>
    </row>
    <row r="489" ht="15.75" customHeight="1">
      <c r="A489" s="6"/>
      <c r="B489" s="6"/>
      <c r="C489" s="6"/>
      <c r="D489" s="6"/>
      <c r="E489" s="6" t="str">
        <f>VLOOKUP(B489,Sheet3!$B$2:$E$311,3,)</f>
        <v>#N/A</v>
      </c>
      <c r="F489" s="6" t="str">
        <f>VLOOKUP(B489,Sheet3!$B$2:$E$311,4,)</f>
        <v>#N/A</v>
      </c>
      <c r="G489" s="6"/>
      <c r="H489" s="6"/>
      <c r="I489" s="6"/>
    </row>
    <row r="490" ht="15.75" customHeight="1">
      <c r="A490" s="6"/>
      <c r="B490" s="6"/>
      <c r="C490" s="6"/>
      <c r="D490" s="6"/>
      <c r="E490" s="6" t="str">
        <f>VLOOKUP(B490,Sheet3!$B$2:$E$311,3,)</f>
        <v>#N/A</v>
      </c>
      <c r="F490" s="6" t="str">
        <f>VLOOKUP(B490,Sheet3!$B$2:$E$311,4,)</f>
        <v>#N/A</v>
      </c>
      <c r="G490" s="6"/>
      <c r="H490" s="6"/>
      <c r="I490" s="6"/>
    </row>
    <row r="491" ht="15.75" customHeight="1">
      <c r="A491" s="6"/>
      <c r="B491" s="6"/>
      <c r="C491" s="6"/>
      <c r="D491" s="6"/>
      <c r="E491" s="6" t="str">
        <f>VLOOKUP(B491,Sheet3!$B$2:$E$311,3,)</f>
        <v>#N/A</v>
      </c>
      <c r="F491" s="6" t="str">
        <f>VLOOKUP(B491,Sheet3!$B$2:$E$311,4,)</f>
        <v>#N/A</v>
      </c>
      <c r="G491" s="6"/>
      <c r="H491" s="6"/>
      <c r="I491" s="6"/>
    </row>
    <row r="492" ht="15.75" customHeight="1">
      <c r="A492" s="6"/>
      <c r="B492" s="6"/>
      <c r="C492" s="6"/>
      <c r="D492" s="6"/>
      <c r="E492" s="6" t="str">
        <f>VLOOKUP(B492,Sheet3!$B$2:$E$311,3,)</f>
        <v>#N/A</v>
      </c>
      <c r="F492" s="6" t="str">
        <f>VLOOKUP(B492,Sheet3!$B$2:$E$311,4,)</f>
        <v>#N/A</v>
      </c>
      <c r="G492" s="6"/>
      <c r="H492" s="6"/>
      <c r="I492" s="6"/>
    </row>
    <row r="493" ht="15.75" customHeight="1">
      <c r="A493" s="6"/>
      <c r="B493" s="6"/>
      <c r="C493" s="6"/>
      <c r="D493" s="6"/>
      <c r="E493" s="6" t="str">
        <f>VLOOKUP(B493,Sheet3!$B$2:$E$311,3,)</f>
        <v>#N/A</v>
      </c>
      <c r="F493" s="6" t="str">
        <f>VLOOKUP(B493,Sheet3!$B$2:$E$311,4,)</f>
        <v>#N/A</v>
      </c>
      <c r="G493" s="6"/>
      <c r="H493" s="6"/>
      <c r="I493" s="6"/>
    </row>
    <row r="494" ht="15.75" customHeight="1">
      <c r="A494" s="6"/>
      <c r="B494" s="6"/>
      <c r="C494" s="6"/>
      <c r="D494" s="6"/>
      <c r="E494" s="6" t="str">
        <f>VLOOKUP(B494,Sheet3!$B$2:$E$311,3,)</f>
        <v>#N/A</v>
      </c>
      <c r="F494" s="6" t="str">
        <f>VLOOKUP(B494,Sheet3!$B$2:$E$311,4,)</f>
        <v>#N/A</v>
      </c>
      <c r="G494" s="6"/>
      <c r="H494" s="6"/>
      <c r="I494" s="6"/>
    </row>
    <row r="495" ht="15.75" customHeight="1">
      <c r="A495" s="6"/>
      <c r="B495" s="6"/>
      <c r="C495" s="6"/>
      <c r="D495" s="6"/>
      <c r="E495" s="6" t="str">
        <f>VLOOKUP(B495,Sheet3!$B$2:$E$311,3,)</f>
        <v>#N/A</v>
      </c>
      <c r="F495" s="6" t="str">
        <f>VLOOKUP(B495,Sheet3!$B$2:$E$311,4,)</f>
        <v>#N/A</v>
      </c>
      <c r="G495" s="6"/>
      <c r="H495" s="6"/>
      <c r="I495" s="6"/>
    </row>
    <row r="496" ht="15.75" customHeight="1">
      <c r="A496" s="6"/>
      <c r="B496" s="6"/>
      <c r="C496" s="6"/>
      <c r="D496" s="6"/>
      <c r="E496" s="6" t="str">
        <f>VLOOKUP(B496,Sheet3!$B$2:$E$311,3,)</f>
        <v>#N/A</v>
      </c>
      <c r="F496" s="6" t="str">
        <f>VLOOKUP(B496,Sheet3!$B$2:$E$311,4,)</f>
        <v>#N/A</v>
      </c>
      <c r="G496" s="6"/>
      <c r="H496" s="6"/>
      <c r="I496" s="6"/>
    </row>
    <row r="497" ht="15.75" customHeight="1">
      <c r="A497" s="6"/>
      <c r="B497" s="6"/>
      <c r="C497" s="6"/>
      <c r="D497" s="6"/>
      <c r="E497" s="6" t="str">
        <f>VLOOKUP(B497,Sheet3!$B$2:$E$311,3,)</f>
        <v>#N/A</v>
      </c>
      <c r="F497" s="6" t="str">
        <f>VLOOKUP(B497,Sheet3!$B$2:$E$311,4,)</f>
        <v>#N/A</v>
      </c>
      <c r="G497" s="6"/>
      <c r="H497" s="6"/>
      <c r="I497" s="6"/>
    </row>
    <row r="498" ht="15.75" customHeight="1">
      <c r="A498" s="6"/>
      <c r="B498" s="6"/>
      <c r="C498" s="6"/>
      <c r="D498" s="6"/>
      <c r="E498" s="6" t="str">
        <f>VLOOKUP(B498,Sheet3!$B$2:$E$311,3,)</f>
        <v>#N/A</v>
      </c>
      <c r="F498" s="6" t="str">
        <f>VLOOKUP(B498,Sheet3!$B$2:$E$311,4,)</f>
        <v>#N/A</v>
      </c>
      <c r="G498" s="6"/>
      <c r="H498" s="6"/>
      <c r="I498" s="6"/>
    </row>
    <row r="499" ht="15.75" customHeight="1">
      <c r="A499" s="6"/>
      <c r="B499" s="6"/>
      <c r="C499" s="6"/>
      <c r="D499" s="6"/>
      <c r="E499" s="6" t="str">
        <f>VLOOKUP(B499,Sheet3!$B$2:$E$311,3,)</f>
        <v>#N/A</v>
      </c>
      <c r="F499" s="6" t="str">
        <f>VLOOKUP(B499,Sheet3!$B$2:$E$311,4,)</f>
        <v>#N/A</v>
      </c>
      <c r="G499" s="6"/>
      <c r="H499" s="6"/>
      <c r="I499" s="6"/>
    </row>
    <row r="500" ht="15.75" customHeight="1">
      <c r="A500" s="6"/>
      <c r="B500" s="6"/>
      <c r="C500" s="6"/>
      <c r="D500" s="6"/>
      <c r="E500" s="6" t="str">
        <f>VLOOKUP(B500,Sheet3!$B$2:$E$311,3,)</f>
        <v>#N/A</v>
      </c>
      <c r="F500" s="6" t="str">
        <f>VLOOKUP(B500,Sheet3!$B$2:$E$311,4,)</f>
        <v>#N/A</v>
      </c>
      <c r="G500" s="6"/>
      <c r="H500" s="6"/>
      <c r="I500" s="6"/>
    </row>
    <row r="501" ht="15.75" customHeight="1">
      <c r="A501" s="6"/>
      <c r="B501" s="6"/>
      <c r="C501" s="6"/>
      <c r="D501" s="6"/>
      <c r="E501" s="6" t="str">
        <f>VLOOKUP(B501,Sheet3!$B$2:$E$311,3,)</f>
        <v>#N/A</v>
      </c>
      <c r="F501" s="6" t="str">
        <f>VLOOKUP(B501,Sheet3!$B$2:$E$311,4,)</f>
        <v>#N/A</v>
      </c>
      <c r="G501" s="6"/>
      <c r="H501" s="6"/>
      <c r="I501" s="6"/>
    </row>
    <row r="502" ht="15.75" customHeight="1">
      <c r="A502" s="6"/>
      <c r="B502" s="6"/>
      <c r="C502" s="6"/>
      <c r="D502" s="6"/>
      <c r="E502" s="6" t="str">
        <f>VLOOKUP(B502,Sheet3!$B$2:$E$311,3,)</f>
        <v>#N/A</v>
      </c>
      <c r="F502" s="6" t="str">
        <f>VLOOKUP(B502,Sheet3!$B$2:$E$311,4,)</f>
        <v>#N/A</v>
      </c>
      <c r="G502" s="6"/>
      <c r="H502" s="6"/>
      <c r="I502" s="6"/>
    </row>
    <row r="503" ht="15.75" customHeight="1">
      <c r="A503" s="6"/>
      <c r="B503" s="6"/>
      <c r="C503" s="6"/>
      <c r="D503" s="6"/>
      <c r="E503" s="6" t="str">
        <f>VLOOKUP(B503,Sheet3!$B$2:$E$311,3,)</f>
        <v>#N/A</v>
      </c>
      <c r="F503" s="6" t="str">
        <f>VLOOKUP(B503,Sheet3!$B$2:$E$311,4,)</f>
        <v>#N/A</v>
      </c>
      <c r="G503" s="6"/>
      <c r="H503" s="6"/>
      <c r="I503" s="6"/>
    </row>
    <row r="504" ht="15.75" customHeight="1">
      <c r="A504" s="6"/>
      <c r="B504" s="6"/>
      <c r="C504" s="6"/>
      <c r="D504" s="6"/>
      <c r="E504" s="6" t="str">
        <f>VLOOKUP(B504,Sheet3!$B$2:$E$311,3,)</f>
        <v>#N/A</v>
      </c>
      <c r="F504" s="6" t="str">
        <f>VLOOKUP(B504,Sheet3!$B$2:$E$311,4,)</f>
        <v>#N/A</v>
      </c>
      <c r="G504" s="6"/>
      <c r="H504" s="6"/>
      <c r="I504" s="6"/>
    </row>
    <row r="505" ht="15.75" customHeight="1">
      <c r="A505" s="6"/>
      <c r="B505" s="6"/>
      <c r="C505" s="6"/>
      <c r="D505" s="6"/>
      <c r="E505" s="6" t="str">
        <f>VLOOKUP(B505,Sheet3!$B$2:$E$311,3,)</f>
        <v>#N/A</v>
      </c>
      <c r="F505" s="6" t="str">
        <f>VLOOKUP(B505,Sheet3!$B$2:$E$311,4,)</f>
        <v>#N/A</v>
      </c>
      <c r="G505" s="6"/>
      <c r="H505" s="6"/>
      <c r="I505" s="6"/>
    </row>
    <row r="506" ht="15.75" customHeight="1">
      <c r="A506" s="6"/>
      <c r="B506" s="6"/>
      <c r="C506" s="6"/>
      <c r="D506" s="6"/>
      <c r="E506" s="6" t="str">
        <f>VLOOKUP(B506,Sheet3!$B$2:$E$311,3,)</f>
        <v>#N/A</v>
      </c>
      <c r="F506" s="6" t="str">
        <f>VLOOKUP(B506,Sheet3!$B$2:$E$311,4,)</f>
        <v>#N/A</v>
      </c>
      <c r="G506" s="6"/>
      <c r="H506" s="6"/>
      <c r="I506" s="6"/>
    </row>
    <row r="507" ht="15.75" customHeight="1">
      <c r="A507" s="6"/>
      <c r="B507" s="6"/>
      <c r="C507" s="6"/>
      <c r="D507" s="6"/>
      <c r="E507" s="6" t="str">
        <f>VLOOKUP(B507,Sheet3!$B$2:$E$311,3,)</f>
        <v>#N/A</v>
      </c>
      <c r="F507" s="6" t="str">
        <f>VLOOKUP(B507,Sheet3!$B$2:$E$311,4,)</f>
        <v>#N/A</v>
      </c>
      <c r="G507" s="6"/>
      <c r="H507" s="6"/>
      <c r="I507" s="6"/>
    </row>
    <row r="508" ht="15.75" customHeight="1">
      <c r="A508" s="6"/>
      <c r="B508" s="6"/>
      <c r="C508" s="6"/>
      <c r="D508" s="6"/>
      <c r="E508" s="6" t="str">
        <f>VLOOKUP(B508,Sheet3!$B$2:$E$311,3,)</f>
        <v>#N/A</v>
      </c>
      <c r="F508" s="6" t="str">
        <f>VLOOKUP(B508,Sheet3!$B$2:$E$311,4,)</f>
        <v>#N/A</v>
      </c>
      <c r="G508" s="6"/>
      <c r="H508" s="6"/>
      <c r="I508" s="6"/>
    </row>
    <row r="509" ht="15.75" customHeight="1">
      <c r="A509" s="6"/>
      <c r="B509" s="6"/>
      <c r="C509" s="6"/>
      <c r="D509" s="6"/>
      <c r="E509" s="6" t="str">
        <f>VLOOKUP(B509,Sheet3!$B$2:$E$311,3,)</f>
        <v>#N/A</v>
      </c>
      <c r="F509" s="6" t="str">
        <f>VLOOKUP(B509,Sheet3!$B$2:$E$311,4,)</f>
        <v>#N/A</v>
      </c>
      <c r="G509" s="6"/>
      <c r="H509" s="6"/>
      <c r="I509" s="6"/>
    </row>
    <row r="510" ht="15.75" customHeight="1">
      <c r="A510" s="6"/>
      <c r="B510" s="6"/>
      <c r="C510" s="6"/>
      <c r="D510" s="6"/>
      <c r="E510" s="6" t="str">
        <f>VLOOKUP(B510,Sheet3!$B$2:$E$311,3,)</f>
        <v>#N/A</v>
      </c>
      <c r="F510" s="6" t="str">
        <f>VLOOKUP(B510,Sheet3!$B$2:$E$311,4,)</f>
        <v>#N/A</v>
      </c>
      <c r="G510" s="6"/>
      <c r="H510" s="6"/>
      <c r="I510" s="6"/>
    </row>
    <row r="511" ht="15.75" customHeight="1">
      <c r="A511" s="6"/>
      <c r="B511" s="6"/>
      <c r="C511" s="6"/>
      <c r="D511" s="6"/>
      <c r="E511" s="6" t="str">
        <f>VLOOKUP(B511,Sheet3!$B$2:$E$311,3,)</f>
        <v>#N/A</v>
      </c>
      <c r="F511" s="6" t="str">
        <f>VLOOKUP(B511,Sheet3!$B$2:$E$311,4,)</f>
        <v>#N/A</v>
      </c>
      <c r="G511" s="6"/>
      <c r="H511" s="6"/>
      <c r="I511" s="6"/>
    </row>
    <row r="512" ht="15.75" customHeight="1">
      <c r="A512" s="6"/>
      <c r="B512" s="6"/>
      <c r="C512" s="6"/>
      <c r="D512" s="6"/>
      <c r="E512" s="6" t="str">
        <f>VLOOKUP(B512,Sheet3!$B$2:$E$311,3,)</f>
        <v>#N/A</v>
      </c>
      <c r="F512" s="6" t="str">
        <f>VLOOKUP(B512,Sheet3!$B$2:$E$311,4,)</f>
        <v>#N/A</v>
      </c>
      <c r="G512" s="6"/>
      <c r="H512" s="6"/>
      <c r="I512" s="6"/>
    </row>
    <row r="513" ht="15.75" customHeight="1">
      <c r="A513" s="6"/>
      <c r="B513" s="6"/>
      <c r="C513" s="6"/>
      <c r="D513" s="6"/>
      <c r="E513" s="6" t="str">
        <f>VLOOKUP(B513,Sheet3!$B$2:$E$311,3,)</f>
        <v>#N/A</v>
      </c>
      <c r="F513" s="6" t="str">
        <f>VLOOKUP(B513,Sheet3!$B$2:$E$311,4,)</f>
        <v>#N/A</v>
      </c>
      <c r="G513" s="6"/>
      <c r="H513" s="6"/>
      <c r="I513" s="6"/>
    </row>
    <row r="514" ht="15.75" customHeight="1">
      <c r="A514" s="6"/>
      <c r="B514" s="6"/>
      <c r="C514" s="6"/>
      <c r="D514" s="6"/>
      <c r="E514" s="6" t="str">
        <f>VLOOKUP(B514,Sheet3!$B$2:$E$311,3,)</f>
        <v>#N/A</v>
      </c>
      <c r="F514" s="6" t="str">
        <f>VLOOKUP(B514,Sheet3!$B$2:$E$311,4,)</f>
        <v>#N/A</v>
      </c>
      <c r="G514" s="6"/>
      <c r="H514" s="6"/>
      <c r="I514" s="6"/>
    </row>
    <row r="515" ht="15.75" customHeight="1">
      <c r="A515" s="6"/>
      <c r="B515" s="6"/>
      <c r="C515" s="6"/>
      <c r="D515" s="6"/>
      <c r="E515" s="6" t="str">
        <f>VLOOKUP(B515,Sheet3!$B$2:$E$311,3,)</f>
        <v>#N/A</v>
      </c>
      <c r="F515" s="6" t="str">
        <f>VLOOKUP(B515,Sheet3!$B$2:$E$311,4,)</f>
        <v>#N/A</v>
      </c>
      <c r="G515" s="6"/>
      <c r="H515" s="6"/>
      <c r="I515" s="6"/>
    </row>
    <row r="516" ht="15.75" customHeight="1">
      <c r="A516" s="6"/>
      <c r="B516" s="6"/>
      <c r="C516" s="6"/>
      <c r="D516" s="6"/>
      <c r="E516" s="6" t="str">
        <f>VLOOKUP(B516,Sheet3!$B$2:$E$311,3,)</f>
        <v>#N/A</v>
      </c>
      <c r="F516" s="6" t="str">
        <f>VLOOKUP(B516,Sheet3!$B$2:$E$311,4,)</f>
        <v>#N/A</v>
      </c>
      <c r="G516" s="6"/>
      <c r="H516" s="6"/>
      <c r="I516" s="6"/>
    </row>
    <row r="517" ht="15.75" customHeight="1">
      <c r="A517" s="6"/>
      <c r="B517" s="6"/>
      <c r="C517" s="6"/>
      <c r="D517" s="6"/>
      <c r="E517" s="6" t="str">
        <f>VLOOKUP(B517,Sheet3!$B$2:$E$311,3,)</f>
        <v>#N/A</v>
      </c>
      <c r="F517" s="6" t="str">
        <f>VLOOKUP(B517,Sheet3!$B$2:$E$311,4,)</f>
        <v>#N/A</v>
      </c>
      <c r="G517" s="6"/>
      <c r="H517" s="6"/>
      <c r="I517" s="6"/>
    </row>
    <row r="518" ht="15.75" customHeight="1">
      <c r="A518" s="6"/>
      <c r="B518" s="6"/>
      <c r="C518" s="6"/>
      <c r="D518" s="6"/>
      <c r="E518" s="6" t="str">
        <f>VLOOKUP(B518,Sheet3!$B$2:$E$311,3,)</f>
        <v>#N/A</v>
      </c>
      <c r="F518" s="6" t="str">
        <f>VLOOKUP(B518,Sheet3!$B$2:$E$311,4,)</f>
        <v>#N/A</v>
      </c>
      <c r="G518" s="6"/>
      <c r="H518" s="6"/>
      <c r="I518" s="6"/>
    </row>
    <row r="519" ht="15.75" customHeight="1">
      <c r="A519" s="6"/>
      <c r="B519" s="6"/>
      <c r="C519" s="6"/>
      <c r="D519" s="6"/>
      <c r="E519" s="6" t="str">
        <f>VLOOKUP(B519,Sheet3!$B$2:$E$311,3,)</f>
        <v>#N/A</v>
      </c>
      <c r="F519" s="6" t="str">
        <f>VLOOKUP(B519,Sheet3!$B$2:$E$311,4,)</f>
        <v>#N/A</v>
      </c>
      <c r="G519" s="6"/>
      <c r="H519" s="6"/>
      <c r="I519" s="6"/>
    </row>
    <row r="520" ht="15.75" customHeight="1">
      <c r="A520" s="6"/>
      <c r="B520" s="6"/>
      <c r="C520" s="6"/>
      <c r="D520" s="6"/>
      <c r="E520" s="6" t="str">
        <f>VLOOKUP(B520,Sheet3!$B$2:$E$311,3,)</f>
        <v>#N/A</v>
      </c>
      <c r="F520" s="6" t="str">
        <f>VLOOKUP(B520,Sheet3!$B$2:$E$311,4,)</f>
        <v>#N/A</v>
      </c>
      <c r="G520" s="6"/>
      <c r="H520" s="6"/>
      <c r="I520" s="6"/>
    </row>
    <row r="521" ht="15.75" customHeight="1">
      <c r="A521" s="6"/>
      <c r="B521" s="6"/>
      <c r="C521" s="6"/>
      <c r="D521" s="6"/>
      <c r="E521" s="6" t="str">
        <f>VLOOKUP(B521,Sheet3!$B$2:$E$311,3,)</f>
        <v>#N/A</v>
      </c>
      <c r="F521" s="6" t="str">
        <f>VLOOKUP(B521,Sheet3!$B$2:$E$311,4,)</f>
        <v>#N/A</v>
      </c>
      <c r="G521" s="6"/>
      <c r="H521" s="6"/>
      <c r="I521" s="6"/>
    </row>
    <row r="522" ht="15.75" customHeight="1">
      <c r="A522" s="6"/>
      <c r="B522" s="6"/>
      <c r="C522" s="6"/>
      <c r="D522" s="6"/>
      <c r="E522" s="6" t="str">
        <f>VLOOKUP(B522,Sheet3!$B$2:$E$311,3,)</f>
        <v>#N/A</v>
      </c>
      <c r="F522" s="6" t="str">
        <f>VLOOKUP(B522,Sheet3!$B$2:$E$311,4,)</f>
        <v>#N/A</v>
      </c>
      <c r="G522" s="6"/>
      <c r="H522" s="6"/>
      <c r="I522" s="6"/>
    </row>
    <row r="523" ht="15.75" customHeight="1">
      <c r="A523" s="6"/>
      <c r="B523" s="6"/>
      <c r="C523" s="6"/>
      <c r="D523" s="6"/>
      <c r="E523" s="6" t="str">
        <f>VLOOKUP(B523,Sheet3!$B$2:$E$311,3,)</f>
        <v>#N/A</v>
      </c>
      <c r="F523" s="6" t="str">
        <f>VLOOKUP(B523,Sheet3!$B$2:$E$311,4,)</f>
        <v>#N/A</v>
      </c>
      <c r="G523" s="6"/>
      <c r="H523" s="6"/>
      <c r="I523" s="6"/>
    </row>
    <row r="524" ht="15.75" customHeight="1">
      <c r="A524" s="6"/>
      <c r="B524" s="6"/>
      <c r="C524" s="6"/>
      <c r="D524" s="6"/>
      <c r="E524" s="6" t="str">
        <f>VLOOKUP(B524,Sheet3!$B$2:$E$311,3,)</f>
        <v>#N/A</v>
      </c>
      <c r="F524" s="6" t="str">
        <f>VLOOKUP(B524,Sheet3!$B$2:$E$311,4,)</f>
        <v>#N/A</v>
      </c>
      <c r="G524" s="6"/>
      <c r="H524" s="6"/>
      <c r="I524" s="6"/>
    </row>
    <row r="525" ht="15.75" customHeight="1">
      <c r="A525" s="6"/>
      <c r="B525" s="6"/>
      <c r="C525" s="6"/>
      <c r="D525" s="6"/>
      <c r="E525" s="6" t="str">
        <f>VLOOKUP(B525,Sheet3!$B$2:$E$311,3,)</f>
        <v>#N/A</v>
      </c>
      <c r="F525" s="6" t="str">
        <f>VLOOKUP(B525,Sheet3!$B$2:$E$311,4,)</f>
        <v>#N/A</v>
      </c>
      <c r="G525" s="6"/>
      <c r="H525" s="6"/>
      <c r="I525" s="6"/>
    </row>
    <row r="526" ht="15.75" customHeight="1">
      <c r="A526" s="6"/>
      <c r="B526" s="6"/>
      <c r="C526" s="6"/>
      <c r="D526" s="6"/>
      <c r="E526" s="6" t="str">
        <f>VLOOKUP(B526,Sheet3!$B$2:$E$311,3,)</f>
        <v>#N/A</v>
      </c>
      <c r="F526" s="6" t="str">
        <f>VLOOKUP(B526,Sheet3!$B$2:$E$311,4,)</f>
        <v>#N/A</v>
      </c>
      <c r="G526" s="6"/>
      <c r="H526" s="6"/>
      <c r="I526" s="6"/>
    </row>
    <row r="527" ht="15.75" customHeight="1">
      <c r="A527" s="6"/>
      <c r="B527" s="6"/>
      <c r="C527" s="6"/>
      <c r="D527" s="6"/>
      <c r="E527" s="6" t="str">
        <f>VLOOKUP(B527,Sheet3!$B$2:$E$311,3,)</f>
        <v>#N/A</v>
      </c>
      <c r="F527" s="6" t="str">
        <f>VLOOKUP(B527,Sheet3!$B$2:$E$311,4,)</f>
        <v>#N/A</v>
      </c>
      <c r="G527" s="6"/>
      <c r="H527" s="6"/>
      <c r="I527" s="6"/>
    </row>
    <row r="528" ht="15.75" customHeight="1">
      <c r="A528" s="6"/>
      <c r="B528" s="6"/>
      <c r="C528" s="6"/>
      <c r="D528" s="6"/>
      <c r="E528" s="6" t="str">
        <f>VLOOKUP(B528,Sheet3!$B$2:$E$311,3,)</f>
        <v>#N/A</v>
      </c>
      <c r="F528" s="6" t="str">
        <f>VLOOKUP(B528,Sheet3!$B$2:$E$311,4,)</f>
        <v>#N/A</v>
      </c>
      <c r="G528" s="6"/>
      <c r="H528" s="6"/>
      <c r="I528" s="6"/>
    </row>
    <row r="529" ht="15.75" customHeight="1">
      <c r="A529" s="6"/>
      <c r="B529" s="6"/>
      <c r="C529" s="6"/>
      <c r="D529" s="6"/>
      <c r="E529" s="6" t="str">
        <f>VLOOKUP(B529,Sheet3!$B$2:$E$311,3,)</f>
        <v>#N/A</v>
      </c>
      <c r="F529" s="6" t="str">
        <f>VLOOKUP(B529,Sheet3!$B$2:$E$311,4,)</f>
        <v>#N/A</v>
      </c>
      <c r="G529" s="6"/>
      <c r="H529" s="6"/>
      <c r="I529" s="6"/>
    </row>
    <row r="530" ht="15.75" customHeight="1">
      <c r="A530" s="6"/>
      <c r="B530" s="6"/>
      <c r="C530" s="6"/>
      <c r="D530" s="6"/>
      <c r="E530" s="6" t="str">
        <f>VLOOKUP(B530,Sheet3!$B$2:$E$311,3,)</f>
        <v>#N/A</v>
      </c>
      <c r="F530" s="6" t="str">
        <f>VLOOKUP(B530,Sheet3!$B$2:$E$311,4,)</f>
        <v>#N/A</v>
      </c>
      <c r="G530" s="6"/>
      <c r="H530" s="6"/>
      <c r="I530" s="6"/>
    </row>
    <row r="531" ht="15.75" customHeight="1">
      <c r="A531" s="6"/>
      <c r="B531" s="6"/>
      <c r="C531" s="6"/>
      <c r="D531" s="6"/>
      <c r="E531" s="6" t="str">
        <f>VLOOKUP(B531,Sheet3!$B$2:$E$311,3,)</f>
        <v>#N/A</v>
      </c>
      <c r="F531" s="6" t="str">
        <f>VLOOKUP(B531,Sheet3!$B$2:$E$311,4,)</f>
        <v>#N/A</v>
      </c>
      <c r="G531" s="6"/>
      <c r="H531" s="6"/>
      <c r="I531" s="6"/>
    </row>
    <row r="532" ht="15.75" customHeight="1">
      <c r="A532" s="6"/>
      <c r="B532" s="6"/>
      <c r="C532" s="6"/>
      <c r="D532" s="6"/>
      <c r="E532" s="6" t="str">
        <f>VLOOKUP(B532,Sheet3!$B$2:$E$311,3,)</f>
        <v>#N/A</v>
      </c>
      <c r="F532" s="6" t="str">
        <f>VLOOKUP(B532,Sheet3!$B$2:$E$311,4,)</f>
        <v>#N/A</v>
      </c>
      <c r="G532" s="6"/>
      <c r="H532" s="6"/>
      <c r="I532" s="6"/>
    </row>
    <row r="533" ht="15.75" customHeight="1">
      <c r="A533" s="6"/>
      <c r="B533" s="6"/>
      <c r="C533" s="6"/>
      <c r="D533" s="6"/>
      <c r="E533" s="6" t="str">
        <f>VLOOKUP(B533,Sheet3!$B$2:$E$311,3,)</f>
        <v>#N/A</v>
      </c>
      <c r="F533" s="6" t="str">
        <f>VLOOKUP(B533,Sheet3!$B$2:$E$311,4,)</f>
        <v>#N/A</v>
      </c>
      <c r="G533" s="6"/>
      <c r="H533" s="6"/>
      <c r="I533" s="6"/>
    </row>
    <row r="534" ht="15.75" customHeight="1">
      <c r="A534" s="6"/>
      <c r="B534" s="6"/>
      <c r="C534" s="6"/>
      <c r="D534" s="6"/>
      <c r="E534" s="6" t="str">
        <f>VLOOKUP(B534,Sheet3!$B$2:$E$311,3,)</f>
        <v>#N/A</v>
      </c>
      <c r="F534" s="6" t="str">
        <f>VLOOKUP(B534,Sheet3!$B$2:$E$311,4,)</f>
        <v>#N/A</v>
      </c>
      <c r="G534" s="6"/>
      <c r="H534" s="6"/>
      <c r="I534" s="6"/>
    </row>
    <row r="535" ht="15.75" customHeight="1">
      <c r="A535" s="6"/>
      <c r="B535" s="6"/>
      <c r="C535" s="6"/>
      <c r="D535" s="6"/>
      <c r="E535" s="6" t="str">
        <f>VLOOKUP(B535,Sheet3!$B$2:$E$311,3,)</f>
        <v>#N/A</v>
      </c>
      <c r="F535" s="6" t="str">
        <f>VLOOKUP(B535,Sheet3!$B$2:$E$311,4,)</f>
        <v>#N/A</v>
      </c>
      <c r="G535" s="6"/>
      <c r="H535" s="6"/>
      <c r="I535" s="6"/>
    </row>
    <row r="536" ht="15.75" customHeight="1">
      <c r="A536" s="6"/>
      <c r="B536" s="6"/>
      <c r="C536" s="6"/>
      <c r="D536" s="6"/>
      <c r="E536" s="6" t="str">
        <f>VLOOKUP(B536,Sheet3!$B$2:$E$311,3,)</f>
        <v>#N/A</v>
      </c>
      <c r="F536" s="6" t="str">
        <f>VLOOKUP(B536,Sheet3!$B$2:$E$311,4,)</f>
        <v>#N/A</v>
      </c>
      <c r="G536" s="6"/>
      <c r="H536" s="6"/>
      <c r="I536" s="6"/>
    </row>
    <row r="537" ht="15.75" customHeight="1">
      <c r="A537" s="6"/>
      <c r="B537" s="6"/>
      <c r="C537" s="6"/>
      <c r="D537" s="6"/>
      <c r="E537" s="6" t="str">
        <f>VLOOKUP(B537,Sheet3!$B$2:$E$311,3,)</f>
        <v>#N/A</v>
      </c>
      <c r="F537" s="6" t="str">
        <f>VLOOKUP(B537,Sheet3!$B$2:$E$311,4,)</f>
        <v>#N/A</v>
      </c>
      <c r="G537" s="6"/>
      <c r="H537" s="6"/>
      <c r="I537" s="6"/>
    </row>
    <row r="538" ht="15.75" customHeight="1">
      <c r="A538" s="6"/>
      <c r="B538" s="6"/>
      <c r="C538" s="6"/>
      <c r="D538" s="6"/>
      <c r="E538" s="6" t="str">
        <f>VLOOKUP(B538,Sheet3!$B$2:$E$311,3,)</f>
        <v>#N/A</v>
      </c>
      <c r="F538" s="6" t="str">
        <f>VLOOKUP(B538,Sheet3!$B$2:$E$311,4,)</f>
        <v>#N/A</v>
      </c>
      <c r="G538" s="6"/>
      <c r="H538" s="6"/>
      <c r="I538" s="6"/>
    </row>
    <row r="539" ht="15.75" customHeight="1">
      <c r="A539" s="6"/>
      <c r="B539" s="6"/>
      <c r="C539" s="6"/>
      <c r="D539" s="6"/>
      <c r="E539" s="6" t="str">
        <f>VLOOKUP(B539,Sheet3!$B$2:$E$311,3,)</f>
        <v>#N/A</v>
      </c>
      <c r="F539" s="6" t="str">
        <f>VLOOKUP(B539,Sheet3!$B$2:$E$311,4,)</f>
        <v>#N/A</v>
      </c>
      <c r="G539" s="6"/>
      <c r="H539" s="6"/>
      <c r="I539" s="6"/>
    </row>
    <row r="540" ht="15.75" customHeight="1">
      <c r="A540" s="6"/>
      <c r="B540" s="6"/>
      <c r="C540" s="6"/>
      <c r="D540" s="6"/>
      <c r="E540" s="6" t="str">
        <f>VLOOKUP(B540,Sheet3!$B$2:$E$311,3,)</f>
        <v>#N/A</v>
      </c>
      <c r="F540" s="6" t="str">
        <f>VLOOKUP(B540,Sheet3!$B$2:$E$311,4,)</f>
        <v>#N/A</v>
      </c>
      <c r="G540" s="6"/>
      <c r="H540" s="6"/>
      <c r="I540" s="6"/>
    </row>
    <row r="541" ht="15.75" customHeight="1">
      <c r="A541" s="6"/>
      <c r="B541" s="6"/>
      <c r="C541" s="6"/>
      <c r="D541" s="6"/>
      <c r="E541" s="6" t="str">
        <f>VLOOKUP(B541,Sheet3!$B$2:$E$311,3,)</f>
        <v>#N/A</v>
      </c>
      <c r="F541" s="6" t="str">
        <f>VLOOKUP(B541,Sheet3!$B$2:$E$311,4,)</f>
        <v>#N/A</v>
      </c>
      <c r="G541" s="6"/>
      <c r="H541" s="6"/>
      <c r="I541" s="6"/>
    </row>
    <row r="542" ht="15.75" customHeight="1">
      <c r="A542" s="6"/>
      <c r="B542" s="6"/>
      <c r="C542" s="6"/>
      <c r="D542" s="6"/>
      <c r="E542" s="6" t="str">
        <f>VLOOKUP(B542,Sheet3!$B$2:$E$311,3,)</f>
        <v>#N/A</v>
      </c>
      <c r="F542" s="6" t="str">
        <f>VLOOKUP(B542,Sheet3!$B$2:$E$311,4,)</f>
        <v>#N/A</v>
      </c>
      <c r="G542" s="6"/>
      <c r="H542" s="6"/>
      <c r="I542" s="6"/>
    </row>
    <row r="543" ht="15.75" customHeight="1">
      <c r="A543" s="6"/>
      <c r="B543" s="6"/>
      <c r="C543" s="6"/>
      <c r="D543" s="6"/>
      <c r="E543" s="6" t="str">
        <f>VLOOKUP(B543,Sheet3!$B$2:$E$311,3,)</f>
        <v>#N/A</v>
      </c>
      <c r="F543" s="6" t="str">
        <f>VLOOKUP(B543,Sheet3!$B$2:$E$311,4,)</f>
        <v>#N/A</v>
      </c>
      <c r="G543" s="6"/>
      <c r="H543" s="6"/>
      <c r="I543" s="6"/>
    </row>
    <row r="544" ht="15.75" customHeight="1">
      <c r="A544" s="6"/>
      <c r="B544" s="6"/>
      <c r="C544" s="6"/>
      <c r="D544" s="6"/>
      <c r="E544" s="6" t="str">
        <f>VLOOKUP(B544,Sheet3!$B$2:$E$311,3,)</f>
        <v>#N/A</v>
      </c>
      <c r="F544" s="6" t="str">
        <f>VLOOKUP(B544,Sheet3!$B$2:$E$311,4,)</f>
        <v>#N/A</v>
      </c>
      <c r="G544" s="6"/>
      <c r="H544" s="6"/>
      <c r="I544" s="6"/>
    </row>
    <row r="545" ht="15.75" customHeight="1">
      <c r="A545" s="6"/>
      <c r="B545" s="6"/>
      <c r="C545" s="6"/>
      <c r="D545" s="6"/>
      <c r="E545" s="6" t="str">
        <f>VLOOKUP(B545,Sheet3!$B$2:$E$311,3,)</f>
        <v>#N/A</v>
      </c>
      <c r="F545" s="6" t="str">
        <f>VLOOKUP(B545,Sheet3!$B$2:$E$311,4,)</f>
        <v>#N/A</v>
      </c>
      <c r="G545" s="6"/>
      <c r="H545" s="6"/>
      <c r="I545" s="6"/>
    </row>
    <row r="546" ht="15.75" customHeight="1">
      <c r="A546" s="6"/>
      <c r="B546" s="6"/>
      <c r="C546" s="6"/>
      <c r="D546" s="6"/>
      <c r="E546" s="6" t="str">
        <f>VLOOKUP(B546,Sheet3!$B$2:$E$311,3,)</f>
        <v>#N/A</v>
      </c>
      <c r="F546" s="6" t="str">
        <f>VLOOKUP(B546,Sheet3!$B$2:$E$311,4,)</f>
        <v>#N/A</v>
      </c>
      <c r="G546" s="6"/>
      <c r="H546" s="6"/>
      <c r="I546" s="6"/>
    </row>
    <row r="547" ht="15.75" customHeight="1">
      <c r="A547" s="6"/>
      <c r="B547" s="6"/>
      <c r="C547" s="6"/>
      <c r="D547" s="6"/>
      <c r="E547" s="6" t="str">
        <f>VLOOKUP(B547,Sheet3!$B$2:$E$311,3,)</f>
        <v>#N/A</v>
      </c>
      <c r="F547" s="6" t="str">
        <f>VLOOKUP(B547,Sheet3!$B$2:$E$311,4,)</f>
        <v>#N/A</v>
      </c>
      <c r="G547" s="6"/>
      <c r="H547" s="6"/>
      <c r="I547" s="6"/>
    </row>
    <row r="548" ht="15.75" customHeight="1">
      <c r="A548" s="6"/>
      <c r="B548" s="6"/>
      <c r="C548" s="6"/>
      <c r="D548" s="6"/>
      <c r="E548" s="6" t="str">
        <f>VLOOKUP(B548,Sheet3!$B$2:$E$311,3,)</f>
        <v>#N/A</v>
      </c>
      <c r="F548" s="6" t="str">
        <f>VLOOKUP(B548,Sheet3!$B$2:$E$311,4,)</f>
        <v>#N/A</v>
      </c>
      <c r="G548" s="6"/>
      <c r="H548" s="6"/>
      <c r="I548" s="6"/>
    </row>
    <row r="549" ht="15.75" customHeight="1">
      <c r="A549" s="6"/>
      <c r="B549" s="6"/>
      <c r="C549" s="6"/>
      <c r="D549" s="6"/>
      <c r="E549" s="6" t="str">
        <f>VLOOKUP(B549,Sheet3!$B$2:$E$311,3,)</f>
        <v>#N/A</v>
      </c>
      <c r="F549" s="6" t="str">
        <f>VLOOKUP(B549,Sheet3!$B$2:$E$311,4,)</f>
        <v>#N/A</v>
      </c>
      <c r="G549" s="6"/>
      <c r="H549" s="6"/>
      <c r="I549" s="6"/>
    </row>
    <row r="550" ht="15.75" customHeight="1">
      <c r="A550" s="6"/>
      <c r="B550" s="6"/>
      <c r="C550" s="6"/>
      <c r="D550" s="6"/>
      <c r="E550" s="6" t="str">
        <f>VLOOKUP(B550,Sheet3!$B$2:$E$311,3,)</f>
        <v>#N/A</v>
      </c>
      <c r="F550" s="6" t="str">
        <f>VLOOKUP(B550,Sheet3!$B$2:$E$311,4,)</f>
        <v>#N/A</v>
      </c>
      <c r="G550" s="6"/>
      <c r="H550" s="6"/>
      <c r="I550" s="6"/>
    </row>
    <row r="551" ht="15.75" customHeight="1">
      <c r="A551" s="6"/>
      <c r="B551" s="21"/>
      <c r="C551" s="21"/>
      <c r="D551" s="21"/>
      <c r="E551" s="21" t="str">
        <f>VLOOKUP(B551,Sheet3!$B$2:$E$311,3,)</f>
        <v>#N/A</v>
      </c>
      <c r="F551" s="21" t="str">
        <f>VLOOKUP(B551,Sheet3!$B$2:$E$311,4,)</f>
        <v>#N/A</v>
      </c>
    </row>
    <row r="552" ht="15.75" customHeight="1">
      <c r="B552" s="21"/>
      <c r="C552" s="21"/>
      <c r="D552" s="21"/>
      <c r="E552" s="21" t="str">
        <f>VLOOKUP(B552,Sheet3!$B$2:$E$311,3,)</f>
        <v>#N/A</v>
      </c>
      <c r="F552" s="21" t="str">
        <f>VLOOKUP(B552,Sheet3!$B$2:$E$311,4,)</f>
        <v>#N/A</v>
      </c>
    </row>
    <row r="553" ht="15.75" customHeight="1">
      <c r="B553" s="21"/>
      <c r="C553" s="21"/>
      <c r="D553" s="21"/>
      <c r="E553" s="21" t="str">
        <f>VLOOKUP(B553,Sheet3!$B$2:$E$311,3,)</f>
        <v>#N/A</v>
      </c>
      <c r="F553" s="21" t="str">
        <f>VLOOKUP(B553,Sheet3!$B$2:$E$311,4,)</f>
        <v>#N/A</v>
      </c>
    </row>
    <row r="554" ht="15.75" customHeight="1">
      <c r="B554" s="21"/>
      <c r="C554" s="21"/>
      <c r="D554" s="21"/>
      <c r="E554" s="21" t="str">
        <f>VLOOKUP(B554,Sheet3!$B$2:$E$311,3,)</f>
        <v>#N/A</v>
      </c>
      <c r="F554" s="21" t="str">
        <f>VLOOKUP(B554,Sheet3!$B$2:$E$311,4,)</f>
        <v>#N/A</v>
      </c>
    </row>
    <row r="555" ht="15.75" customHeight="1">
      <c r="B555" s="21"/>
      <c r="C555" s="21"/>
      <c r="D555" s="21"/>
      <c r="E555" s="21" t="str">
        <f>VLOOKUP(B555,Sheet3!$B$2:$E$311,3,)</f>
        <v>#N/A</v>
      </c>
      <c r="F555" s="21" t="str">
        <f>VLOOKUP(B555,Sheet3!$B$2:$E$311,4,)</f>
        <v>#N/A</v>
      </c>
    </row>
    <row r="556" ht="15.75" customHeight="1">
      <c r="B556" s="21"/>
      <c r="C556" s="21"/>
      <c r="D556" s="21"/>
      <c r="E556" s="21" t="str">
        <f>VLOOKUP(B556,Sheet3!$B$2:$E$311,3,)</f>
        <v>#N/A</v>
      </c>
      <c r="F556" s="21" t="str">
        <f>VLOOKUP(B556,Sheet3!$B$2:$E$311,4,)</f>
        <v>#N/A</v>
      </c>
    </row>
    <row r="557" ht="15.75" customHeight="1">
      <c r="B557" s="21"/>
      <c r="C557" s="21"/>
      <c r="D557" s="21"/>
      <c r="E557" s="21" t="str">
        <f>VLOOKUP(B557,Sheet3!$B$2:$E$311,3,)</f>
        <v>#N/A</v>
      </c>
      <c r="F557" s="21" t="str">
        <f>VLOOKUP(B557,Sheet3!$B$2:$E$311,4,)</f>
        <v>#N/A</v>
      </c>
    </row>
    <row r="558" ht="15.75" customHeight="1">
      <c r="B558" s="21"/>
      <c r="C558" s="21"/>
      <c r="D558" s="21"/>
      <c r="E558" s="21" t="str">
        <f>VLOOKUP(B558,Sheet3!$B$2:$E$311,3,)</f>
        <v>#N/A</v>
      </c>
      <c r="F558" s="21" t="str">
        <f>VLOOKUP(B558,Sheet3!$B$2:$E$311,4,)</f>
        <v>#N/A</v>
      </c>
    </row>
    <row r="559" ht="15.75" customHeight="1">
      <c r="B559" s="21"/>
      <c r="C559" s="21"/>
      <c r="D559" s="21"/>
      <c r="E559" s="21" t="str">
        <f>VLOOKUP(B559,Sheet3!$B$2:$E$311,3,)</f>
        <v>#N/A</v>
      </c>
      <c r="F559" s="21" t="str">
        <f>VLOOKUP(B559,Sheet3!$B$2:$E$311,4,)</f>
        <v>#N/A</v>
      </c>
    </row>
    <row r="560" ht="15.75" customHeight="1">
      <c r="B560" s="21"/>
      <c r="C560" s="21"/>
      <c r="D560" s="21"/>
      <c r="E560" s="21" t="str">
        <f>VLOOKUP(B560,Sheet3!$B$2:$E$311,3,)</f>
        <v>#N/A</v>
      </c>
      <c r="F560" s="21" t="str">
        <f>VLOOKUP(B560,Sheet3!$B$2:$E$311,4,)</f>
        <v>#N/A</v>
      </c>
    </row>
    <row r="561" ht="15.75" customHeight="1">
      <c r="B561" s="21"/>
      <c r="C561" s="21"/>
      <c r="D561" s="21"/>
      <c r="E561" s="21" t="str">
        <f>VLOOKUP(B561,Sheet3!$B$2:$E$311,3,)</f>
        <v>#N/A</v>
      </c>
      <c r="F561" s="21" t="str">
        <f>VLOOKUP(B561,Sheet3!$B$2:$E$311,4,)</f>
        <v>#N/A</v>
      </c>
    </row>
    <row r="562" ht="15.75" customHeight="1">
      <c r="B562" s="21"/>
      <c r="C562" s="21"/>
      <c r="D562" s="21"/>
      <c r="E562" s="21" t="str">
        <f>VLOOKUP(B562,Sheet3!$B$2:$E$311,3,)</f>
        <v>#N/A</v>
      </c>
      <c r="F562" s="21" t="str">
        <f>VLOOKUP(B562,Sheet3!$B$2:$E$311,4,)</f>
        <v>#N/A</v>
      </c>
    </row>
    <row r="563" ht="15.75" customHeight="1">
      <c r="B563" s="21"/>
      <c r="C563" s="21"/>
      <c r="D563" s="21"/>
      <c r="E563" s="21" t="str">
        <f>VLOOKUP(B563,Sheet3!$B$2:$E$311,3,)</f>
        <v>#N/A</v>
      </c>
      <c r="F563" s="21" t="str">
        <f>VLOOKUP(B563,Sheet3!$B$2:$E$311,4,)</f>
        <v>#N/A</v>
      </c>
    </row>
    <row r="564" ht="15.75" customHeight="1">
      <c r="B564" s="21"/>
      <c r="C564" s="21"/>
      <c r="D564" s="21"/>
      <c r="E564" s="21" t="str">
        <f>VLOOKUP(B564,Sheet3!$B$2:$E$311,3,)</f>
        <v>#N/A</v>
      </c>
      <c r="F564" s="21" t="str">
        <f>VLOOKUP(B564,Sheet3!$B$2:$E$311,4,)</f>
        <v>#N/A</v>
      </c>
    </row>
    <row r="565" ht="15.75" customHeight="1">
      <c r="B565" s="21"/>
      <c r="C565" s="21"/>
      <c r="D565" s="21"/>
      <c r="E565" s="21" t="str">
        <f>VLOOKUP(B565,Sheet3!$B$2:$E$311,3,)</f>
        <v>#N/A</v>
      </c>
      <c r="F565" s="21" t="str">
        <f>VLOOKUP(B565,Sheet3!$B$2:$E$311,4,)</f>
        <v>#N/A</v>
      </c>
    </row>
    <row r="566" ht="15.75" customHeight="1">
      <c r="B566" s="21"/>
      <c r="C566" s="21"/>
      <c r="D566" s="21"/>
      <c r="E566" s="21" t="str">
        <f>VLOOKUP(B566,Sheet3!$B$2:$E$311,3,)</f>
        <v>#N/A</v>
      </c>
      <c r="F566" s="21" t="str">
        <f>VLOOKUP(B566,Sheet3!$B$2:$E$311,4,)</f>
        <v>#N/A</v>
      </c>
    </row>
    <row r="567" ht="15.75" customHeight="1">
      <c r="B567" s="21"/>
      <c r="C567" s="21"/>
      <c r="D567" s="21"/>
      <c r="E567" s="21" t="str">
        <f>VLOOKUP(B567,Sheet3!$B$2:$E$311,3,)</f>
        <v>#N/A</v>
      </c>
      <c r="F567" s="21" t="str">
        <f>VLOOKUP(B567,Sheet3!$B$2:$E$311,4,)</f>
        <v>#N/A</v>
      </c>
    </row>
    <row r="568" ht="15.75" customHeight="1">
      <c r="B568" s="21"/>
      <c r="C568" s="21"/>
      <c r="D568" s="21"/>
      <c r="E568" s="21" t="str">
        <f>VLOOKUP(B568,Sheet3!$B$2:$E$311,3,)</f>
        <v>#N/A</v>
      </c>
      <c r="F568" s="21" t="str">
        <f>VLOOKUP(B568,Sheet3!$B$2:$E$311,4,)</f>
        <v>#N/A</v>
      </c>
    </row>
    <row r="569" ht="15.75" customHeight="1">
      <c r="B569" s="21"/>
      <c r="C569" s="21"/>
      <c r="D569" s="21"/>
      <c r="E569" s="21" t="str">
        <f>VLOOKUP(B569,Sheet3!$B$2:$E$311,3,)</f>
        <v>#N/A</v>
      </c>
      <c r="F569" s="21" t="str">
        <f>VLOOKUP(B569,Sheet3!$B$2:$E$311,4,)</f>
        <v>#N/A</v>
      </c>
    </row>
    <row r="570" ht="15.75" customHeight="1">
      <c r="B570" s="21"/>
      <c r="C570" s="21"/>
      <c r="D570" s="21"/>
      <c r="E570" s="21" t="str">
        <f>VLOOKUP(B570,Sheet3!$B$2:$E$311,3,)</f>
        <v>#N/A</v>
      </c>
      <c r="F570" s="21" t="str">
        <f>VLOOKUP(B570,Sheet3!$B$2:$E$311,4,)</f>
        <v>#N/A</v>
      </c>
    </row>
    <row r="571" ht="15.75" customHeight="1">
      <c r="B571" s="21"/>
      <c r="C571" s="21"/>
      <c r="D571" s="21"/>
      <c r="E571" s="21" t="str">
        <f>VLOOKUP(B571,Sheet3!$B$2:$E$311,3,)</f>
        <v>#N/A</v>
      </c>
      <c r="F571" s="21" t="str">
        <f>VLOOKUP(B571,Sheet3!$B$2:$E$311,4,)</f>
        <v>#N/A</v>
      </c>
    </row>
    <row r="572" ht="15.75" customHeight="1">
      <c r="B572" s="21"/>
      <c r="C572" s="21"/>
      <c r="D572" s="21"/>
      <c r="E572" s="21" t="str">
        <f>VLOOKUP(B572,Sheet3!$B$2:$E$311,3,)</f>
        <v>#N/A</v>
      </c>
      <c r="F572" s="21" t="str">
        <f>VLOOKUP(B572,Sheet3!$B$2:$E$311,4,)</f>
        <v>#N/A</v>
      </c>
    </row>
    <row r="573" ht="15.75" customHeight="1">
      <c r="B573" s="21"/>
      <c r="C573" s="21"/>
      <c r="D573" s="21"/>
      <c r="E573" s="21" t="str">
        <f>VLOOKUP(B573,Sheet3!$B$2:$E$311,3,)</f>
        <v>#N/A</v>
      </c>
      <c r="F573" s="21" t="str">
        <f>VLOOKUP(B573,Sheet3!$B$2:$E$311,4,)</f>
        <v>#N/A</v>
      </c>
    </row>
    <row r="574" ht="15.75" customHeight="1">
      <c r="B574" s="21"/>
      <c r="C574" s="21"/>
      <c r="D574" s="21"/>
      <c r="E574" s="21" t="str">
        <f>VLOOKUP(B574,Sheet3!$B$2:$E$311,3,)</f>
        <v>#N/A</v>
      </c>
      <c r="F574" s="21" t="str">
        <f>VLOOKUP(B574,Sheet3!$B$2:$E$311,4,)</f>
        <v>#N/A</v>
      </c>
    </row>
    <row r="575" ht="15.75" customHeight="1">
      <c r="B575" s="21"/>
      <c r="C575" s="21"/>
      <c r="D575" s="21"/>
      <c r="E575" s="21" t="str">
        <f>VLOOKUP(B575,Sheet3!$B$2:$E$311,3,)</f>
        <v>#N/A</v>
      </c>
      <c r="F575" s="21" t="str">
        <f>VLOOKUP(B575,Sheet3!$B$2:$E$311,4,)</f>
        <v>#N/A</v>
      </c>
    </row>
    <row r="576" ht="15.75" customHeight="1">
      <c r="B576" s="21"/>
      <c r="C576" s="21"/>
      <c r="D576" s="21"/>
      <c r="E576" s="21" t="str">
        <f>VLOOKUP(B576,Sheet3!$B$2:$E$311,3,)</f>
        <v>#N/A</v>
      </c>
      <c r="F576" s="21" t="str">
        <f>VLOOKUP(B576,Sheet3!$B$2:$E$311,4,)</f>
        <v>#N/A</v>
      </c>
    </row>
    <row r="577" ht="15.75" customHeight="1">
      <c r="B577" s="21"/>
      <c r="C577" s="21"/>
      <c r="D577" s="21"/>
      <c r="E577" s="21" t="str">
        <f>VLOOKUP(B577,Sheet3!$B$2:$E$311,3,)</f>
        <v>#N/A</v>
      </c>
      <c r="F577" s="21" t="str">
        <f>VLOOKUP(B577,Sheet3!$B$2:$E$311,4,)</f>
        <v>#N/A</v>
      </c>
    </row>
    <row r="578" ht="15.75" customHeight="1">
      <c r="B578" s="21"/>
      <c r="C578" s="21"/>
      <c r="D578" s="21"/>
      <c r="E578" s="21" t="str">
        <f>VLOOKUP(B578,Sheet3!$B$2:$E$311,3,)</f>
        <v>#N/A</v>
      </c>
      <c r="F578" s="21" t="str">
        <f>VLOOKUP(B578,Sheet3!$B$2:$E$311,4,)</f>
        <v>#N/A</v>
      </c>
    </row>
    <row r="579" ht="15.75" customHeight="1">
      <c r="B579" s="21"/>
      <c r="C579" s="21"/>
      <c r="D579" s="21"/>
      <c r="E579" s="21" t="str">
        <f>VLOOKUP(B579,Sheet3!$B$2:$E$311,3,)</f>
        <v>#N/A</v>
      </c>
      <c r="F579" s="21" t="str">
        <f>VLOOKUP(B579,Sheet3!$B$2:$E$311,4,)</f>
        <v>#N/A</v>
      </c>
    </row>
    <row r="580" ht="15.75" customHeight="1">
      <c r="B580" s="21"/>
      <c r="C580" s="21"/>
      <c r="D580" s="21"/>
      <c r="E580" s="21" t="str">
        <f>VLOOKUP(B580,Sheet3!$B$2:$E$311,3,)</f>
        <v>#N/A</v>
      </c>
      <c r="F580" s="21" t="str">
        <f>VLOOKUP(B580,Sheet3!$B$2:$E$311,4,)</f>
        <v>#N/A</v>
      </c>
    </row>
    <row r="581" ht="15.75" customHeight="1">
      <c r="B581" s="21"/>
      <c r="C581" s="21"/>
      <c r="D581" s="21"/>
      <c r="E581" s="21" t="str">
        <f>VLOOKUP(B581,Sheet3!$B$2:$E$311,3,)</f>
        <v>#N/A</v>
      </c>
      <c r="F581" s="21" t="str">
        <f>VLOOKUP(B581,Sheet3!$B$2:$E$311,4,)</f>
        <v>#N/A</v>
      </c>
    </row>
    <row r="582" ht="15.75" customHeight="1">
      <c r="B582" s="21"/>
      <c r="C582" s="21"/>
      <c r="D582" s="21"/>
      <c r="E582" s="21" t="str">
        <f>VLOOKUP(B582,Sheet3!$B$2:$E$311,3,)</f>
        <v>#N/A</v>
      </c>
      <c r="F582" s="21" t="str">
        <f>VLOOKUP(B582,Sheet3!$B$2:$E$311,4,)</f>
        <v>#N/A</v>
      </c>
    </row>
    <row r="583" ht="15.75" customHeight="1">
      <c r="B583" s="21"/>
      <c r="C583" s="21"/>
      <c r="D583" s="21"/>
      <c r="E583" s="21" t="str">
        <f>VLOOKUP(B583,Sheet3!$B$2:$E$311,3,)</f>
        <v>#N/A</v>
      </c>
      <c r="F583" s="21" t="str">
        <f>VLOOKUP(B583,Sheet3!$B$2:$E$311,4,)</f>
        <v>#N/A</v>
      </c>
    </row>
    <row r="584" ht="15.75" customHeight="1">
      <c r="B584" s="21"/>
      <c r="C584" s="21"/>
      <c r="D584" s="21"/>
      <c r="E584" s="21" t="str">
        <f>VLOOKUP(B584,Sheet3!$B$2:$E$311,3,)</f>
        <v>#N/A</v>
      </c>
      <c r="F584" s="21" t="str">
        <f>VLOOKUP(B584,Sheet3!$B$2:$E$311,4,)</f>
        <v>#N/A</v>
      </c>
    </row>
    <row r="585" ht="15.75" customHeight="1">
      <c r="B585" s="21"/>
      <c r="C585" s="21"/>
      <c r="D585" s="21"/>
      <c r="E585" s="21" t="str">
        <f>VLOOKUP(B585,Sheet3!$B$2:$E$311,3,)</f>
        <v>#N/A</v>
      </c>
      <c r="F585" s="21" t="str">
        <f>VLOOKUP(B585,Sheet3!$B$2:$E$311,4,)</f>
        <v>#N/A</v>
      </c>
    </row>
    <row r="586" ht="15.75" customHeight="1">
      <c r="B586" s="21"/>
      <c r="C586" s="21"/>
      <c r="D586" s="21"/>
      <c r="E586" s="21" t="str">
        <f>VLOOKUP(B586,Sheet3!$B$2:$E$311,3,)</f>
        <v>#N/A</v>
      </c>
      <c r="F586" s="21" t="str">
        <f>VLOOKUP(B586,Sheet3!$B$2:$E$311,4,)</f>
        <v>#N/A</v>
      </c>
    </row>
    <row r="587" ht="15.75" customHeight="1">
      <c r="B587" s="21"/>
      <c r="C587" s="21"/>
      <c r="D587" s="21"/>
      <c r="E587" s="21" t="str">
        <f>VLOOKUP(B587,Sheet3!$B$2:$E$311,3,)</f>
        <v>#N/A</v>
      </c>
      <c r="F587" s="21" t="str">
        <f>VLOOKUP(B587,Sheet3!$B$2:$E$311,4,)</f>
        <v>#N/A</v>
      </c>
    </row>
    <row r="588" ht="15.75" customHeight="1">
      <c r="B588" s="21"/>
      <c r="C588" s="21"/>
      <c r="D588" s="21"/>
      <c r="E588" s="21" t="str">
        <f>VLOOKUP(B588,Sheet3!$B$2:$E$311,3,)</f>
        <v>#N/A</v>
      </c>
      <c r="F588" s="21" t="str">
        <f>VLOOKUP(B588,Sheet3!$B$2:$E$311,4,)</f>
        <v>#N/A</v>
      </c>
    </row>
    <row r="589" ht="15.75" customHeight="1">
      <c r="B589" s="21"/>
      <c r="C589" s="21"/>
      <c r="D589" s="21"/>
      <c r="E589" s="21" t="str">
        <f>VLOOKUP(B589,Sheet3!$B$2:$E$311,3,)</f>
        <v>#N/A</v>
      </c>
      <c r="F589" s="21" t="str">
        <f>VLOOKUP(B589,Sheet3!$B$2:$E$311,4,)</f>
        <v>#N/A</v>
      </c>
    </row>
    <row r="590" ht="15.75" customHeight="1">
      <c r="B590" s="21"/>
      <c r="C590" s="21"/>
      <c r="D590" s="21"/>
      <c r="E590" s="21" t="str">
        <f>VLOOKUP(B590,Sheet3!$B$2:$E$311,3,)</f>
        <v>#N/A</v>
      </c>
      <c r="F590" s="21" t="str">
        <f>VLOOKUP(B590,Sheet3!$B$2:$E$311,4,)</f>
        <v>#N/A</v>
      </c>
    </row>
    <row r="591" ht="15.75" customHeight="1">
      <c r="B591" s="21"/>
      <c r="C591" s="21"/>
      <c r="D591" s="21"/>
      <c r="E591" s="21" t="str">
        <f>VLOOKUP(B591,Sheet3!$B$2:$E$311,3,)</f>
        <v>#N/A</v>
      </c>
      <c r="F591" s="21" t="str">
        <f>VLOOKUP(B591,Sheet3!$B$2:$E$311,4,)</f>
        <v>#N/A</v>
      </c>
    </row>
    <row r="592" ht="15.75" customHeight="1">
      <c r="B592" s="21"/>
      <c r="C592" s="21"/>
      <c r="D592" s="21"/>
      <c r="E592" s="21" t="str">
        <f>VLOOKUP(B592,Sheet3!$B$2:$E$311,3,)</f>
        <v>#N/A</v>
      </c>
      <c r="F592" s="21" t="str">
        <f>VLOOKUP(B592,Sheet3!$B$2:$E$311,4,)</f>
        <v>#N/A</v>
      </c>
    </row>
    <row r="593" ht="15.75" customHeight="1">
      <c r="B593" s="21"/>
      <c r="C593" s="21"/>
      <c r="D593" s="21"/>
      <c r="E593" s="21" t="str">
        <f>VLOOKUP(B593,Sheet3!$B$2:$E$311,3,)</f>
        <v>#N/A</v>
      </c>
      <c r="F593" s="21" t="str">
        <f>VLOOKUP(B593,Sheet3!$B$2:$E$311,4,)</f>
        <v>#N/A</v>
      </c>
    </row>
    <row r="594" ht="15.75" customHeight="1">
      <c r="B594" s="21"/>
      <c r="C594" s="21"/>
      <c r="D594" s="21"/>
      <c r="E594" s="21" t="str">
        <f>VLOOKUP(B594,Sheet3!$B$2:$E$311,3,)</f>
        <v>#N/A</v>
      </c>
      <c r="F594" s="21" t="str">
        <f>VLOOKUP(B594,Sheet3!$B$2:$E$311,4,)</f>
        <v>#N/A</v>
      </c>
    </row>
    <row r="595" ht="15.75" customHeight="1">
      <c r="B595" s="21"/>
      <c r="C595" s="21"/>
      <c r="D595" s="21"/>
      <c r="E595" s="21" t="str">
        <f>VLOOKUP(B595,Sheet3!$B$2:$E$311,3,)</f>
        <v>#N/A</v>
      </c>
      <c r="F595" s="21" t="str">
        <f>VLOOKUP(B595,Sheet3!$B$2:$E$311,4,)</f>
        <v>#N/A</v>
      </c>
    </row>
    <row r="596" ht="15.75" customHeight="1">
      <c r="B596" s="21"/>
      <c r="C596" s="21"/>
      <c r="D596" s="21"/>
      <c r="E596" s="21" t="str">
        <f>VLOOKUP(B596,Sheet3!$B$2:$E$311,3,)</f>
        <v>#N/A</v>
      </c>
      <c r="F596" s="21" t="str">
        <f>VLOOKUP(B596,Sheet3!$B$2:$E$311,4,)</f>
        <v>#N/A</v>
      </c>
    </row>
    <row r="597" ht="15.75" customHeight="1">
      <c r="B597" s="21"/>
      <c r="C597" s="21"/>
      <c r="D597" s="21"/>
      <c r="E597" s="21" t="str">
        <f>VLOOKUP(B597,Sheet3!$B$2:$E$311,3,)</f>
        <v>#N/A</v>
      </c>
      <c r="F597" s="21" t="str">
        <f>VLOOKUP(B597,Sheet3!$B$2:$E$311,4,)</f>
        <v>#N/A</v>
      </c>
    </row>
    <row r="598" ht="15.75" customHeight="1">
      <c r="B598" s="21"/>
      <c r="C598" s="21"/>
      <c r="D598" s="21"/>
      <c r="E598" s="21" t="str">
        <f>VLOOKUP(B598,Sheet3!$B$2:$E$311,3,)</f>
        <v>#N/A</v>
      </c>
      <c r="F598" s="21" t="str">
        <f>VLOOKUP(B598,Sheet3!$B$2:$E$311,4,)</f>
        <v>#N/A</v>
      </c>
    </row>
    <row r="599" ht="15.75" customHeight="1">
      <c r="B599" s="21"/>
      <c r="C599" s="21"/>
      <c r="D599" s="21"/>
      <c r="E599" s="21" t="str">
        <f>VLOOKUP(B599,Sheet3!$B$2:$E$311,3,)</f>
        <v>#N/A</v>
      </c>
      <c r="F599" s="21" t="str">
        <f>VLOOKUP(B599,Sheet3!$B$2:$E$311,4,)</f>
        <v>#N/A</v>
      </c>
    </row>
    <row r="600" ht="15.75" customHeight="1">
      <c r="B600" s="21"/>
      <c r="C600" s="21"/>
      <c r="D600" s="21"/>
      <c r="E600" s="21" t="str">
        <f>VLOOKUP(B600,Sheet3!$B$2:$E$311,3,)</f>
        <v>#N/A</v>
      </c>
      <c r="F600" s="21" t="str">
        <f>VLOOKUP(B600,Sheet3!$B$2:$E$311,4,)</f>
        <v>#N/A</v>
      </c>
    </row>
    <row r="601" ht="15.75" customHeight="1">
      <c r="B601" s="21"/>
      <c r="C601" s="21"/>
      <c r="D601" s="21"/>
      <c r="E601" s="21" t="str">
        <f>VLOOKUP(B601,Sheet3!$B$2:$E$311,3,)</f>
        <v>#N/A</v>
      </c>
      <c r="F601" s="21" t="str">
        <f>VLOOKUP(B601,Sheet3!$B$2:$E$311,4,)</f>
        <v>#N/A</v>
      </c>
    </row>
    <row r="602" ht="15.75" customHeight="1">
      <c r="B602" s="21"/>
      <c r="C602" s="21"/>
      <c r="D602" s="21"/>
      <c r="E602" s="21" t="str">
        <f>VLOOKUP(B602,Sheet3!$B$2:$E$311,3,)</f>
        <v>#N/A</v>
      </c>
      <c r="F602" s="21" t="str">
        <f>VLOOKUP(B602,Sheet3!$B$2:$E$311,4,)</f>
        <v>#N/A</v>
      </c>
    </row>
    <row r="603" ht="15.75" customHeight="1">
      <c r="B603" s="21"/>
      <c r="C603" s="21"/>
      <c r="D603" s="21"/>
      <c r="E603" s="21" t="str">
        <f>VLOOKUP(B603,Sheet3!$B$2:$E$311,3,)</f>
        <v>#N/A</v>
      </c>
      <c r="F603" s="21" t="str">
        <f>VLOOKUP(B603,Sheet3!$B$2:$E$311,4,)</f>
        <v>#N/A</v>
      </c>
    </row>
    <row r="604" ht="15.75" customHeight="1">
      <c r="B604" s="21"/>
      <c r="C604" s="21"/>
      <c r="D604" s="21"/>
      <c r="E604" s="21" t="str">
        <f>VLOOKUP(B604,Sheet3!$B$2:$E$311,3,)</f>
        <v>#N/A</v>
      </c>
      <c r="F604" s="21" t="str">
        <f>VLOOKUP(B604,Sheet3!$B$2:$E$311,4,)</f>
        <v>#N/A</v>
      </c>
    </row>
    <row r="605" ht="15.75" customHeight="1">
      <c r="B605" s="21"/>
      <c r="C605" s="21"/>
      <c r="D605" s="21"/>
      <c r="E605" s="21" t="str">
        <f>VLOOKUP(B605,Sheet3!$B$2:$E$311,3,)</f>
        <v>#N/A</v>
      </c>
      <c r="F605" s="21" t="str">
        <f>VLOOKUP(B605,Sheet3!$B$2:$E$311,4,)</f>
        <v>#N/A</v>
      </c>
    </row>
    <row r="606" ht="15.75" customHeight="1">
      <c r="B606" s="21"/>
      <c r="C606" s="21"/>
      <c r="D606" s="21"/>
      <c r="E606" s="21" t="str">
        <f>VLOOKUP(B606,Sheet3!$B$2:$E$311,3,)</f>
        <v>#N/A</v>
      </c>
      <c r="F606" s="21" t="str">
        <f>VLOOKUP(B606,Sheet3!$B$2:$E$311,4,)</f>
        <v>#N/A</v>
      </c>
    </row>
    <row r="607" ht="15.75" customHeight="1">
      <c r="B607" s="21"/>
      <c r="C607" s="21"/>
      <c r="D607" s="21"/>
      <c r="E607" s="21" t="str">
        <f>VLOOKUP(B607,Sheet3!$B$2:$E$311,3,)</f>
        <v>#N/A</v>
      </c>
      <c r="F607" s="21" t="str">
        <f>VLOOKUP(B607,Sheet3!$B$2:$E$311,4,)</f>
        <v>#N/A</v>
      </c>
    </row>
    <row r="608" ht="15.75" customHeight="1">
      <c r="B608" s="21"/>
      <c r="C608" s="21"/>
      <c r="D608" s="21"/>
      <c r="E608" s="21" t="str">
        <f>VLOOKUP(B608,Sheet3!$B$2:$E$311,3,)</f>
        <v>#N/A</v>
      </c>
      <c r="F608" s="21" t="str">
        <f>VLOOKUP(B608,Sheet3!$B$2:$E$311,4,)</f>
        <v>#N/A</v>
      </c>
    </row>
    <row r="609" ht="15.75" customHeight="1">
      <c r="B609" s="21"/>
      <c r="C609" s="21"/>
      <c r="D609" s="21"/>
      <c r="E609" s="21" t="str">
        <f>VLOOKUP(B609,Sheet3!$B$2:$E$311,3,)</f>
        <v>#N/A</v>
      </c>
      <c r="F609" s="21" t="str">
        <f>VLOOKUP(B609,Sheet3!$B$2:$E$311,4,)</f>
        <v>#N/A</v>
      </c>
    </row>
    <row r="610" ht="15.75" customHeight="1">
      <c r="B610" s="21"/>
      <c r="C610" s="21"/>
      <c r="D610" s="21"/>
      <c r="E610" s="21" t="str">
        <f>VLOOKUP(B610,Sheet3!$B$2:$E$311,3,)</f>
        <v>#N/A</v>
      </c>
      <c r="F610" s="21" t="str">
        <f>VLOOKUP(B610,Sheet3!$B$2:$E$311,4,)</f>
        <v>#N/A</v>
      </c>
    </row>
    <row r="611" ht="15.75" customHeight="1">
      <c r="B611" s="21"/>
      <c r="C611" s="21"/>
      <c r="D611" s="21"/>
      <c r="E611" s="21" t="str">
        <f>VLOOKUP(B611,Sheet3!$B$2:$E$311,3,)</f>
        <v>#N/A</v>
      </c>
      <c r="F611" s="21" t="str">
        <f>VLOOKUP(B611,Sheet3!$B$2:$E$311,4,)</f>
        <v>#N/A</v>
      </c>
    </row>
    <row r="612" ht="15.75" customHeight="1">
      <c r="B612" s="21"/>
      <c r="C612" s="21"/>
      <c r="D612" s="21"/>
      <c r="E612" s="21" t="str">
        <f>VLOOKUP(B612,Sheet3!$B$2:$E$311,3,)</f>
        <v>#N/A</v>
      </c>
      <c r="F612" s="21" t="str">
        <f>VLOOKUP(B612,Sheet3!$B$2:$E$311,4,)</f>
        <v>#N/A</v>
      </c>
    </row>
    <row r="613" ht="15.75" customHeight="1">
      <c r="B613" s="21"/>
      <c r="C613" s="21"/>
      <c r="D613" s="21"/>
      <c r="E613" s="21" t="str">
        <f>VLOOKUP(B613,Sheet3!$B$2:$E$311,3,)</f>
        <v>#N/A</v>
      </c>
      <c r="F613" s="21" t="str">
        <f>VLOOKUP(B613,Sheet3!$B$2:$E$311,4,)</f>
        <v>#N/A</v>
      </c>
    </row>
    <row r="614" ht="15.75" customHeight="1">
      <c r="B614" s="21"/>
      <c r="C614" s="21"/>
      <c r="D614" s="21"/>
      <c r="E614" s="21" t="str">
        <f>VLOOKUP(B614,Sheet3!$B$2:$E$311,3,)</f>
        <v>#N/A</v>
      </c>
      <c r="F614" s="21" t="str">
        <f>VLOOKUP(B614,Sheet3!$B$2:$E$311,4,)</f>
        <v>#N/A</v>
      </c>
    </row>
    <row r="615" ht="15.75" customHeight="1">
      <c r="B615" s="21"/>
      <c r="C615" s="21"/>
      <c r="D615" s="21"/>
      <c r="E615" s="21" t="str">
        <f>VLOOKUP(B615,Sheet3!$B$2:$E$311,3,)</f>
        <v>#N/A</v>
      </c>
      <c r="F615" s="21" t="str">
        <f>VLOOKUP(B615,Sheet3!$B$2:$E$311,4,)</f>
        <v>#N/A</v>
      </c>
    </row>
    <row r="616" ht="15.75" customHeight="1">
      <c r="B616" s="21"/>
      <c r="C616" s="21"/>
      <c r="D616" s="21"/>
      <c r="E616" s="21" t="str">
        <f>VLOOKUP(B616,Sheet3!$B$2:$E$311,3,)</f>
        <v>#N/A</v>
      </c>
      <c r="F616" s="21" t="str">
        <f>VLOOKUP(B616,Sheet3!$B$2:$E$311,4,)</f>
        <v>#N/A</v>
      </c>
    </row>
    <row r="617" ht="15.75" customHeight="1">
      <c r="B617" s="21"/>
      <c r="C617" s="21"/>
      <c r="D617" s="21"/>
      <c r="E617" s="21" t="str">
        <f>VLOOKUP(B617,Sheet3!$B$2:$E$311,3,)</f>
        <v>#N/A</v>
      </c>
      <c r="F617" s="21" t="str">
        <f>VLOOKUP(B617,Sheet3!$B$2:$E$311,4,)</f>
        <v>#N/A</v>
      </c>
    </row>
    <row r="618" ht="15.75" customHeight="1">
      <c r="B618" s="21"/>
      <c r="C618" s="21"/>
      <c r="D618" s="21"/>
      <c r="E618" s="21" t="str">
        <f>VLOOKUP(B618,Sheet3!$B$2:$E$311,3,)</f>
        <v>#N/A</v>
      </c>
      <c r="F618" s="21" t="str">
        <f>VLOOKUP(B618,Sheet3!$B$2:$E$311,4,)</f>
        <v>#N/A</v>
      </c>
    </row>
    <row r="619" ht="15.75" customHeight="1">
      <c r="B619" s="21"/>
      <c r="C619" s="21"/>
      <c r="D619" s="21"/>
      <c r="E619" s="21" t="str">
        <f>VLOOKUP(B619,Sheet3!$B$2:$E$311,3,)</f>
        <v>#N/A</v>
      </c>
      <c r="F619" s="21" t="str">
        <f>VLOOKUP(B619,Sheet3!$B$2:$E$311,4,)</f>
        <v>#N/A</v>
      </c>
    </row>
    <row r="620" ht="15.75" customHeight="1">
      <c r="B620" s="21"/>
      <c r="C620" s="21"/>
      <c r="D620" s="21"/>
      <c r="E620" s="21" t="str">
        <f>VLOOKUP(B620,Sheet3!$B$2:$E$311,3,)</f>
        <v>#N/A</v>
      </c>
      <c r="F620" s="21" t="str">
        <f>VLOOKUP(B620,Sheet3!$B$2:$E$311,4,)</f>
        <v>#N/A</v>
      </c>
    </row>
    <row r="621" ht="15.75" customHeight="1">
      <c r="B621" s="21"/>
      <c r="C621" s="21"/>
      <c r="D621" s="21"/>
      <c r="E621" s="21" t="str">
        <f>VLOOKUP(B621,Sheet3!$B$2:$E$311,3,)</f>
        <v>#N/A</v>
      </c>
      <c r="F621" s="21" t="str">
        <f>VLOOKUP(B621,Sheet3!$B$2:$E$311,4,)</f>
        <v>#N/A</v>
      </c>
    </row>
    <row r="622" ht="15.75" customHeight="1">
      <c r="B622" s="21"/>
      <c r="C622" s="21"/>
      <c r="D622" s="21"/>
      <c r="E622" s="21" t="str">
        <f>VLOOKUP(B622,Sheet3!$B$2:$E$311,3,)</f>
        <v>#N/A</v>
      </c>
      <c r="F622" s="21" t="str">
        <f>VLOOKUP(B622,Sheet3!$B$2:$E$311,4,)</f>
        <v>#N/A</v>
      </c>
    </row>
    <row r="623" ht="15.75" customHeight="1">
      <c r="B623" s="21"/>
      <c r="C623" s="21"/>
      <c r="D623" s="21"/>
      <c r="E623" s="21" t="str">
        <f>VLOOKUP(B623,Sheet3!$B$2:$E$311,3,)</f>
        <v>#N/A</v>
      </c>
      <c r="F623" s="21" t="str">
        <f>VLOOKUP(B623,Sheet3!$B$2:$E$311,4,)</f>
        <v>#N/A</v>
      </c>
    </row>
    <row r="624" ht="15.75" customHeight="1">
      <c r="B624" s="21"/>
      <c r="C624" s="21"/>
      <c r="D624" s="21"/>
      <c r="E624" s="21" t="str">
        <f>VLOOKUP(B624,Sheet3!$B$2:$E$311,3,)</f>
        <v>#N/A</v>
      </c>
      <c r="F624" s="21" t="str">
        <f>VLOOKUP(B624,Sheet3!$B$2:$E$311,4,)</f>
        <v>#N/A</v>
      </c>
    </row>
    <row r="625" ht="15.75" customHeight="1">
      <c r="B625" s="21"/>
      <c r="C625" s="21"/>
      <c r="D625" s="21"/>
      <c r="E625" s="21" t="str">
        <f>VLOOKUP(B625,Sheet3!$B$2:$E$311,3,)</f>
        <v>#N/A</v>
      </c>
      <c r="F625" s="21" t="str">
        <f>VLOOKUP(B625,Sheet3!$B$2:$E$311,4,)</f>
        <v>#N/A</v>
      </c>
    </row>
    <row r="626" ht="15.75" customHeight="1">
      <c r="B626" s="21"/>
      <c r="C626" s="21"/>
      <c r="D626" s="21"/>
      <c r="E626" s="21" t="str">
        <f>VLOOKUP(B626,Sheet3!$B$2:$E$311,3,)</f>
        <v>#N/A</v>
      </c>
      <c r="F626" s="21" t="str">
        <f>VLOOKUP(B626,Sheet3!$B$2:$E$311,4,)</f>
        <v>#N/A</v>
      </c>
    </row>
    <row r="627" ht="15.75" customHeight="1">
      <c r="B627" s="21"/>
      <c r="C627" s="21"/>
      <c r="D627" s="21"/>
      <c r="E627" s="21" t="str">
        <f>VLOOKUP(B627,Sheet3!$B$2:$E$311,3,)</f>
        <v>#N/A</v>
      </c>
      <c r="F627" s="21" t="str">
        <f>VLOOKUP(B627,Sheet3!$B$2:$E$311,4,)</f>
        <v>#N/A</v>
      </c>
    </row>
    <row r="628" ht="15.75" customHeight="1">
      <c r="B628" s="21"/>
      <c r="C628" s="21"/>
      <c r="D628" s="21"/>
      <c r="E628" s="21" t="str">
        <f>VLOOKUP(B628,Sheet3!$B$2:$E$311,3,)</f>
        <v>#N/A</v>
      </c>
      <c r="F628" s="21" t="str">
        <f>VLOOKUP(B628,Sheet3!$B$2:$E$311,4,)</f>
        <v>#N/A</v>
      </c>
    </row>
    <row r="629" ht="15.75" customHeight="1">
      <c r="B629" s="21"/>
      <c r="C629" s="21"/>
      <c r="D629" s="21"/>
      <c r="E629" s="21" t="str">
        <f>VLOOKUP(B629,Sheet3!$B$2:$E$311,3,)</f>
        <v>#N/A</v>
      </c>
      <c r="F629" s="21" t="str">
        <f>VLOOKUP(B629,Sheet3!$B$2:$E$311,4,)</f>
        <v>#N/A</v>
      </c>
    </row>
    <row r="630" ht="15.75" customHeight="1">
      <c r="B630" s="21"/>
      <c r="C630" s="21"/>
      <c r="D630" s="21"/>
      <c r="E630" s="21" t="str">
        <f>VLOOKUP(B630,Sheet3!$B$2:$E$311,3,)</f>
        <v>#N/A</v>
      </c>
      <c r="F630" s="21" t="str">
        <f>VLOOKUP(B630,Sheet3!$B$2:$E$311,4,)</f>
        <v>#N/A</v>
      </c>
    </row>
    <row r="631" ht="15.75" customHeight="1">
      <c r="B631" s="21"/>
      <c r="C631" s="21"/>
      <c r="D631" s="21"/>
      <c r="E631" s="21" t="str">
        <f>VLOOKUP(B631,Sheet3!$B$2:$E$311,3,)</f>
        <v>#N/A</v>
      </c>
      <c r="F631" s="21" t="str">
        <f>VLOOKUP(B631,Sheet3!$B$2:$E$311,4,)</f>
        <v>#N/A</v>
      </c>
    </row>
    <row r="632" ht="15.75" customHeight="1">
      <c r="B632" s="21"/>
      <c r="C632" s="21"/>
      <c r="D632" s="21"/>
      <c r="E632" s="21" t="str">
        <f>VLOOKUP(B632,Sheet3!$B$2:$E$311,3,)</f>
        <v>#N/A</v>
      </c>
      <c r="F632" s="21" t="str">
        <f>VLOOKUP(B632,Sheet3!$B$2:$E$311,4,)</f>
        <v>#N/A</v>
      </c>
    </row>
    <row r="633" ht="15.75" customHeight="1">
      <c r="B633" s="21"/>
      <c r="C633" s="21"/>
      <c r="D633" s="21"/>
      <c r="E633" s="21" t="str">
        <f>VLOOKUP(B633,Sheet3!$B$2:$E$311,3,)</f>
        <v>#N/A</v>
      </c>
      <c r="F633" s="21" t="str">
        <f>VLOOKUP(B633,Sheet3!$B$2:$E$311,4,)</f>
        <v>#N/A</v>
      </c>
    </row>
    <row r="634" ht="15.75" customHeight="1">
      <c r="B634" s="21"/>
      <c r="C634" s="21"/>
      <c r="D634" s="21"/>
      <c r="E634" s="21" t="str">
        <f>VLOOKUP(B634,Sheet3!$B$2:$E$311,3,)</f>
        <v>#N/A</v>
      </c>
      <c r="F634" s="21" t="str">
        <f>VLOOKUP(B634,Sheet3!$B$2:$E$311,4,)</f>
        <v>#N/A</v>
      </c>
    </row>
    <row r="635" ht="15.75" customHeight="1">
      <c r="B635" s="21"/>
      <c r="C635" s="21"/>
      <c r="D635" s="21"/>
      <c r="E635" s="21" t="str">
        <f>VLOOKUP(B635,Sheet3!$B$2:$E$311,3,)</f>
        <v>#N/A</v>
      </c>
      <c r="F635" s="21" t="str">
        <f>VLOOKUP(B635,Sheet3!$B$2:$E$311,4,)</f>
        <v>#N/A</v>
      </c>
    </row>
    <row r="636" ht="15.75" customHeight="1">
      <c r="B636" s="21"/>
      <c r="C636" s="21"/>
      <c r="D636" s="21"/>
      <c r="E636" s="21" t="str">
        <f>VLOOKUP(B636,Sheet3!$B$2:$E$311,3,)</f>
        <v>#N/A</v>
      </c>
      <c r="F636" s="21" t="str">
        <f>VLOOKUP(B636,Sheet3!$B$2:$E$311,4,)</f>
        <v>#N/A</v>
      </c>
    </row>
    <row r="637" ht="15.75" customHeight="1">
      <c r="B637" s="21"/>
      <c r="C637" s="21"/>
      <c r="D637" s="21"/>
      <c r="E637" s="21" t="str">
        <f>VLOOKUP(B637,Sheet3!$B$2:$E$311,3,)</f>
        <v>#N/A</v>
      </c>
      <c r="F637" s="21" t="str">
        <f>VLOOKUP(B637,Sheet3!$B$2:$E$311,4,)</f>
        <v>#N/A</v>
      </c>
    </row>
    <row r="638" ht="15.75" customHeight="1">
      <c r="B638" s="21"/>
      <c r="C638" s="21"/>
      <c r="D638" s="21"/>
      <c r="E638" s="21" t="str">
        <f>VLOOKUP(B638,Sheet3!$B$2:$E$311,3,)</f>
        <v>#N/A</v>
      </c>
      <c r="F638" s="21" t="str">
        <f>VLOOKUP(B638,Sheet3!$B$2:$E$311,4,)</f>
        <v>#N/A</v>
      </c>
    </row>
    <row r="639" ht="15.75" customHeight="1">
      <c r="B639" s="21"/>
      <c r="C639" s="21"/>
      <c r="D639" s="21"/>
      <c r="E639" s="21" t="str">
        <f>VLOOKUP(B639,Sheet3!$B$2:$E$311,3,)</f>
        <v>#N/A</v>
      </c>
      <c r="F639" s="21" t="str">
        <f>VLOOKUP(B639,Sheet3!$B$2:$E$311,4,)</f>
        <v>#N/A</v>
      </c>
    </row>
    <row r="640" ht="15.75" customHeight="1">
      <c r="B640" s="21"/>
      <c r="C640" s="21"/>
      <c r="D640" s="21"/>
      <c r="E640" s="21" t="str">
        <f>VLOOKUP(B640,Sheet3!$B$2:$E$311,3,)</f>
        <v>#N/A</v>
      </c>
      <c r="F640" s="21" t="str">
        <f>VLOOKUP(B640,Sheet3!$B$2:$E$311,4,)</f>
        <v>#N/A</v>
      </c>
    </row>
    <row r="641" ht="15.75" customHeight="1">
      <c r="B641" s="21"/>
      <c r="C641" s="21"/>
      <c r="D641" s="21"/>
      <c r="E641" s="21" t="str">
        <f>VLOOKUP(B641,Sheet3!$B$2:$E$311,3,)</f>
        <v>#N/A</v>
      </c>
      <c r="F641" s="21" t="str">
        <f>VLOOKUP(B641,Sheet3!$B$2:$E$311,4,)</f>
        <v>#N/A</v>
      </c>
    </row>
    <row r="642" ht="15.75" customHeight="1">
      <c r="B642" s="21"/>
      <c r="C642" s="21"/>
      <c r="D642" s="21"/>
      <c r="E642" s="21" t="str">
        <f>VLOOKUP(B642,Sheet3!$B$2:$E$311,3,)</f>
        <v>#N/A</v>
      </c>
      <c r="F642" s="21" t="str">
        <f>VLOOKUP(B642,Sheet3!$B$2:$E$311,4,)</f>
        <v>#N/A</v>
      </c>
    </row>
    <row r="643" ht="15.75" customHeight="1">
      <c r="B643" s="21"/>
      <c r="C643" s="21"/>
      <c r="D643" s="21"/>
      <c r="E643" s="21" t="str">
        <f>VLOOKUP(B643,Sheet3!$B$2:$E$311,3,)</f>
        <v>#N/A</v>
      </c>
      <c r="F643" s="21" t="str">
        <f>VLOOKUP(B643,Sheet3!$B$2:$E$311,4,)</f>
        <v>#N/A</v>
      </c>
    </row>
    <row r="644" ht="15.75" customHeight="1">
      <c r="B644" s="21"/>
      <c r="C644" s="21"/>
      <c r="D644" s="21"/>
      <c r="E644" s="21" t="str">
        <f>VLOOKUP(B644,Sheet3!$B$2:$E$311,3,)</f>
        <v>#N/A</v>
      </c>
      <c r="F644" s="21" t="str">
        <f>VLOOKUP(B644,Sheet3!$B$2:$E$311,4,)</f>
        <v>#N/A</v>
      </c>
    </row>
    <row r="645" ht="15.75" customHeight="1">
      <c r="B645" s="21"/>
      <c r="C645" s="21"/>
      <c r="D645" s="21"/>
      <c r="E645" s="21" t="str">
        <f>VLOOKUP(B645,Sheet3!$B$2:$E$311,3,)</f>
        <v>#N/A</v>
      </c>
      <c r="F645" s="21" t="str">
        <f>VLOOKUP(B645,Sheet3!$B$2:$E$311,4,)</f>
        <v>#N/A</v>
      </c>
    </row>
    <row r="646" ht="15.75" customHeight="1">
      <c r="B646" s="21"/>
      <c r="C646" s="21"/>
      <c r="D646" s="21"/>
      <c r="E646" s="21" t="str">
        <f>VLOOKUP(B646,Sheet3!$B$2:$E$311,3,)</f>
        <v>#N/A</v>
      </c>
      <c r="F646" s="21" t="str">
        <f>VLOOKUP(B646,Sheet3!$B$2:$E$311,4,)</f>
        <v>#N/A</v>
      </c>
    </row>
    <row r="647" ht="15.75" customHeight="1">
      <c r="B647" s="21"/>
      <c r="C647" s="21"/>
      <c r="D647" s="21"/>
      <c r="E647" s="21" t="str">
        <f>VLOOKUP(B647,Sheet3!$B$2:$E$311,3,)</f>
        <v>#N/A</v>
      </c>
      <c r="F647" s="21" t="str">
        <f>VLOOKUP(B647,Sheet3!$B$2:$E$311,4,)</f>
        <v>#N/A</v>
      </c>
    </row>
    <row r="648" ht="15.75" customHeight="1">
      <c r="B648" s="21"/>
      <c r="C648" s="21"/>
      <c r="D648" s="21"/>
      <c r="E648" s="21" t="str">
        <f>VLOOKUP(B648,Sheet3!$B$2:$E$311,3,)</f>
        <v>#N/A</v>
      </c>
      <c r="F648" s="21" t="str">
        <f>VLOOKUP(B648,Sheet3!$B$2:$E$311,4,)</f>
        <v>#N/A</v>
      </c>
    </row>
    <row r="649" ht="15.75" customHeight="1">
      <c r="B649" s="21"/>
      <c r="C649" s="21"/>
      <c r="D649" s="21"/>
      <c r="E649" s="21" t="str">
        <f>VLOOKUP(B649,Sheet3!$B$2:$E$311,3,)</f>
        <v>#N/A</v>
      </c>
      <c r="F649" s="21" t="str">
        <f>VLOOKUP(B649,Sheet3!$B$2:$E$311,4,)</f>
        <v>#N/A</v>
      </c>
    </row>
    <row r="650" ht="15.75" customHeight="1">
      <c r="B650" s="21"/>
      <c r="C650" s="21"/>
      <c r="D650" s="21"/>
      <c r="E650" s="21" t="str">
        <f>VLOOKUP(B650,Sheet3!$B$2:$E$311,3,)</f>
        <v>#N/A</v>
      </c>
      <c r="F650" s="21" t="str">
        <f>VLOOKUP(B650,Sheet3!$B$2:$E$311,4,)</f>
        <v>#N/A</v>
      </c>
    </row>
    <row r="651" ht="15.75" customHeight="1">
      <c r="B651" s="21"/>
      <c r="C651" s="21"/>
      <c r="D651" s="21"/>
      <c r="E651" s="21" t="str">
        <f>VLOOKUP(B651,Sheet3!$B$2:$E$311,3,)</f>
        <v>#N/A</v>
      </c>
      <c r="F651" s="21" t="str">
        <f>VLOOKUP(B651,Sheet3!$B$2:$E$311,4,)</f>
        <v>#N/A</v>
      </c>
    </row>
    <row r="652" ht="15.75" customHeight="1">
      <c r="B652" s="21"/>
      <c r="C652" s="21"/>
      <c r="D652" s="21"/>
      <c r="E652" s="21" t="str">
        <f>VLOOKUP(B652,Sheet3!$B$2:$E$311,3,)</f>
        <v>#N/A</v>
      </c>
      <c r="F652" s="21" t="str">
        <f>VLOOKUP(B652,Sheet3!$B$2:$E$311,4,)</f>
        <v>#N/A</v>
      </c>
    </row>
    <row r="653" ht="15.75" customHeight="1">
      <c r="B653" s="21"/>
      <c r="C653" s="21"/>
      <c r="D653" s="21"/>
      <c r="E653" s="21" t="str">
        <f>VLOOKUP(B653,Sheet3!$B$2:$E$311,3,)</f>
        <v>#N/A</v>
      </c>
      <c r="F653" s="21" t="str">
        <f>VLOOKUP(B653,Sheet3!$B$2:$E$311,4,)</f>
        <v>#N/A</v>
      </c>
    </row>
    <row r="654" ht="15.75" customHeight="1">
      <c r="B654" s="21"/>
      <c r="C654" s="21"/>
      <c r="D654" s="21"/>
      <c r="E654" s="21" t="str">
        <f>VLOOKUP(B654,Sheet3!$B$2:$E$311,3,)</f>
        <v>#N/A</v>
      </c>
      <c r="F654" s="21" t="str">
        <f>VLOOKUP(B654,Sheet3!$B$2:$E$311,4,)</f>
        <v>#N/A</v>
      </c>
    </row>
    <row r="655" ht="15.75" customHeight="1">
      <c r="B655" s="21"/>
      <c r="C655" s="21"/>
      <c r="D655" s="21"/>
      <c r="E655" s="21" t="str">
        <f>VLOOKUP(B655,Sheet3!$B$2:$E$311,3,)</f>
        <v>#N/A</v>
      </c>
      <c r="F655" s="21" t="str">
        <f>VLOOKUP(B655,Sheet3!$B$2:$E$311,4,)</f>
        <v>#N/A</v>
      </c>
    </row>
    <row r="656" ht="15.75" customHeight="1">
      <c r="B656" s="21"/>
      <c r="C656" s="21"/>
      <c r="D656" s="21"/>
      <c r="E656" s="21" t="str">
        <f>VLOOKUP(B656,Sheet3!$B$2:$E$311,3,)</f>
        <v>#N/A</v>
      </c>
      <c r="F656" s="21" t="str">
        <f>VLOOKUP(B656,Sheet3!$B$2:$E$311,4,)</f>
        <v>#N/A</v>
      </c>
    </row>
    <row r="657" ht="15.75" customHeight="1">
      <c r="B657" s="21"/>
      <c r="C657" s="21"/>
      <c r="D657" s="21"/>
      <c r="E657" s="21" t="str">
        <f>VLOOKUP(B657,Sheet3!$B$2:$E$311,3,)</f>
        <v>#N/A</v>
      </c>
      <c r="F657" s="21" t="str">
        <f>VLOOKUP(B657,Sheet3!$B$2:$E$311,4,)</f>
        <v>#N/A</v>
      </c>
    </row>
    <row r="658" ht="15.75" customHeight="1">
      <c r="B658" s="21"/>
      <c r="C658" s="21"/>
      <c r="D658" s="21"/>
      <c r="E658" s="21" t="str">
        <f>VLOOKUP(B658,Sheet3!$B$2:$E$311,3,)</f>
        <v>#N/A</v>
      </c>
      <c r="F658" s="21" t="str">
        <f>VLOOKUP(B658,Sheet3!$B$2:$E$311,4,)</f>
        <v>#N/A</v>
      </c>
    </row>
    <row r="659" ht="15.75" customHeight="1">
      <c r="B659" s="21"/>
      <c r="C659" s="21"/>
      <c r="D659" s="21"/>
      <c r="E659" s="21" t="str">
        <f>VLOOKUP(B659,Sheet3!$B$2:$E$311,3,)</f>
        <v>#N/A</v>
      </c>
      <c r="F659" s="21" t="str">
        <f>VLOOKUP(B659,Sheet3!$B$2:$E$311,4,)</f>
        <v>#N/A</v>
      </c>
    </row>
    <row r="660" ht="15.75" customHeight="1">
      <c r="B660" s="21"/>
      <c r="C660" s="21"/>
      <c r="D660" s="21"/>
      <c r="E660" s="21" t="str">
        <f>VLOOKUP(B660,Sheet3!$B$2:$E$311,3,)</f>
        <v>#N/A</v>
      </c>
      <c r="F660" s="21" t="str">
        <f>VLOOKUP(B660,Sheet3!$B$2:$E$311,4,)</f>
        <v>#N/A</v>
      </c>
    </row>
    <row r="661" ht="15.75" customHeight="1">
      <c r="B661" s="21"/>
      <c r="C661" s="21"/>
      <c r="D661" s="21"/>
      <c r="E661" s="21" t="str">
        <f>VLOOKUP(B661,Sheet3!$B$2:$E$311,3,)</f>
        <v>#N/A</v>
      </c>
      <c r="F661" s="21" t="str">
        <f>VLOOKUP(B661,Sheet3!$B$2:$E$311,4,)</f>
        <v>#N/A</v>
      </c>
    </row>
    <row r="662" ht="15.75" customHeight="1">
      <c r="B662" s="21"/>
      <c r="C662" s="21"/>
      <c r="D662" s="21"/>
      <c r="E662" s="21" t="str">
        <f>VLOOKUP(B662,Sheet3!$B$2:$E$311,3,)</f>
        <v>#N/A</v>
      </c>
      <c r="F662" s="21" t="str">
        <f>VLOOKUP(B662,Sheet3!$B$2:$E$311,4,)</f>
        <v>#N/A</v>
      </c>
    </row>
    <row r="663" ht="15.75" customHeight="1">
      <c r="B663" s="21"/>
      <c r="C663" s="21"/>
      <c r="D663" s="21"/>
      <c r="E663" s="21" t="str">
        <f>VLOOKUP(B663,Sheet3!$B$2:$E$311,3,)</f>
        <v>#N/A</v>
      </c>
      <c r="F663" s="21" t="str">
        <f>VLOOKUP(B663,Sheet3!$B$2:$E$311,4,)</f>
        <v>#N/A</v>
      </c>
    </row>
    <row r="664" ht="15.75" customHeight="1">
      <c r="B664" s="21"/>
      <c r="C664" s="21"/>
      <c r="D664" s="21"/>
      <c r="E664" s="21" t="str">
        <f>VLOOKUP(B664,Sheet3!$B$2:$E$311,3,)</f>
        <v>#N/A</v>
      </c>
      <c r="F664" s="21" t="str">
        <f>VLOOKUP(B664,Sheet3!$B$2:$E$311,4,)</f>
        <v>#N/A</v>
      </c>
    </row>
    <row r="665" ht="15.75" customHeight="1">
      <c r="B665" s="21"/>
      <c r="C665" s="21"/>
      <c r="D665" s="21"/>
      <c r="E665" s="21" t="str">
        <f>VLOOKUP(B665,Sheet3!$B$2:$E$311,3,)</f>
        <v>#N/A</v>
      </c>
      <c r="F665" s="21" t="str">
        <f>VLOOKUP(B665,Sheet3!$B$2:$E$311,4,)</f>
        <v>#N/A</v>
      </c>
    </row>
    <row r="666" ht="15.75" customHeight="1">
      <c r="B666" s="21"/>
      <c r="C666" s="21"/>
      <c r="D666" s="21"/>
      <c r="E666" s="21" t="str">
        <f>VLOOKUP(B666,Sheet3!$B$2:$E$311,3,)</f>
        <v>#N/A</v>
      </c>
      <c r="F666" s="21" t="str">
        <f>VLOOKUP(B666,Sheet3!$B$2:$E$311,4,)</f>
        <v>#N/A</v>
      </c>
    </row>
    <row r="667" ht="15.75" customHeight="1">
      <c r="B667" s="21"/>
      <c r="C667" s="21"/>
      <c r="D667" s="21"/>
      <c r="E667" s="21" t="str">
        <f>VLOOKUP(B667,Sheet3!$B$2:$E$311,3,)</f>
        <v>#N/A</v>
      </c>
      <c r="F667" s="21" t="str">
        <f>VLOOKUP(B667,Sheet3!$B$2:$E$311,4,)</f>
        <v>#N/A</v>
      </c>
    </row>
    <row r="668" ht="15.75" customHeight="1">
      <c r="B668" s="21"/>
      <c r="C668" s="21"/>
      <c r="D668" s="21"/>
      <c r="E668" s="21" t="str">
        <f>VLOOKUP(B668,Sheet3!$B$2:$E$311,3,)</f>
        <v>#N/A</v>
      </c>
      <c r="F668" s="21" t="str">
        <f>VLOOKUP(B668,Sheet3!$B$2:$E$311,4,)</f>
        <v>#N/A</v>
      </c>
    </row>
    <row r="669" ht="15.75" customHeight="1">
      <c r="B669" s="21"/>
      <c r="C669" s="21"/>
      <c r="D669" s="21"/>
      <c r="E669" s="21" t="str">
        <f>VLOOKUP(B669,Sheet3!$B$2:$E$311,3,)</f>
        <v>#N/A</v>
      </c>
      <c r="F669" s="21" t="str">
        <f>VLOOKUP(B669,Sheet3!$B$2:$E$311,4,)</f>
        <v>#N/A</v>
      </c>
    </row>
    <row r="670" ht="15.75" customHeight="1">
      <c r="B670" s="21"/>
      <c r="C670" s="21"/>
      <c r="D670" s="21"/>
      <c r="E670" s="21" t="str">
        <f>VLOOKUP(B670,Sheet3!$B$2:$E$311,3,)</f>
        <v>#N/A</v>
      </c>
      <c r="F670" s="21" t="str">
        <f>VLOOKUP(B670,Sheet3!$B$2:$E$311,4,)</f>
        <v>#N/A</v>
      </c>
    </row>
    <row r="671" ht="15.75" customHeight="1">
      <c r="B671" s="21"/>
      <c r="C671" s="21"/>
      <c r="D671" s="21"/>
      <c r="E671" s="21" t="str">
        <f>VLOOKUP(B671,Sheet3!$B$2:$E$311,3,)</f>
        <v>#N/A</v>
      </c>
      <c r="F671" s="21" t="str">
        <f>VLOOKUP(B671,Sheet3!$B$2:$E$311,4,)</f>
        <v>#N/A</v>
      </c>
    </row>
    <row r="672" ht="15.75" customHeight="1">
      <c r="B672" s="21"/>
      <c r="C672" s="21"/>
      <c r="D672" s="21"/>
      <c r="E672" s="21" t="str">
        <f>VLOOKUP(B672,Sheet3!$B$2:$E$311,3,)</f>
        <v>#N/A</v>
      </c>
      <c r="F672" s="21" t="str">
        <f>VLOOKUP(B672,Sheet3!$B$2:$E$311,4,)</f>
        <v>#N/A</v>
      </c>
    </row>
    <row r="673" ht="15.75" customHeight="1">
      <c r="B673" s="21"/>
      <c r="C673" s="21"/>
      <c r="D673" s="21"/>
      <c r="E673" s="21" t="str">
        <f>VLOOKUP(B673,Sheet3!$B$2:$E$311,3,)</f>
        <v>#N/A</v>
      </c>
      <c r="F673" s="21" t="str">
        <f>VLOOKUP(B673,Sheet3!$B$2:$E$311,4,)</f>
        <v>#N/A</v>
      </c>
    </row>
    <row r="674" ht="15.75" customHeight="1">
      <c r="B674" s="21"/>
      <c r="C674" s="21"/>
      <c r="D674" s="21"/>
      <c r="E674" s="21" t="str">
        <f>VLOOKUP(B674,Sheet3!$B$2:$E$311,3,)</f>
        <v>#N/A</v>
      </c>
      <c r="F674" s="21" t="str">
        <f>VLOOKUP(B674,Sheet3!$B$2:$E$311,4,)</f>
        <v>#N/A</v>
      </c>
    </row>
    <row r="675" ht="15.75" customHeight="1">
      <c r="B675" s="21"/>
      <c r="C675" s="21"/>
      <c r="D675" s="21"/>
      <c r="E675" s="21" t="str">
        <f>VLOOKUP(B675,Sheet3!$B$2:$E$311,3,)</f>
        <v>#N/A</v>
      </c>
      <c r="F675" s="21" t="str">
        <f>VLOOKUP(B675,Sheet3!$B$2:$E$311,4,)</f>
        <v>#N/A</v>
      </c>
    </row>
    <row r="676" ht="15.75" customHeight="1">
      <c r="B676" s="21"/>
      <c r="C676" s="21"/>
      <c r="D676" s="21"/>
      <c r="E676" s="21" t="str">
        <f>VLOOKUP(B676,Sheet3!$B$2:$E$311,3,)</f>
        <v>#N/A</v>
      </c>
      <c r="F676" s="21" t="str">
        <f>VLOOKUP(B676,Sheet3!$B$2:$E$311,4,)</f>
        <v>#N/A</v>
      </c>
    </row>
    <row r="677" ht="15.75" customHeight="1">
      <c r="B677" s="21"/>
      <c r="C677" s="21"/>
      <c r="D677" s="21"/>
      <c r="E677" s="21" t="str">
        <f>VLOOKUP(B677,Sheet3!$B$2:$E$311,3,)</f>
        <v>#N/A</v>
      </c>
      <c r="F677" s="21" t="str">
        <f>VLOOKUP(B677,Sheet3!$B$2:$E$311,4,)</f>
        <v>#N/A</v>
      </c>
    </row>
    <row r="678" ht="15.75" customHeight="1">
      <c r="B678" s="21"/>
      <c r="C678" s="21"/>
      <c r="D678" s="21"/>
      <c r="E678" s="21" t="str">
        <f>VLOOKUP(B678,Sheet3!$B$2:$E$311,3,)</f>
        <v>#N/A</v>
      </c>
      <c r="F678" s="21" t="str">
        <f>VLOOKUP(B678,Sheet3!$B$2:$E$311,4,)</f>
        <v>#N/A</v>
      </c>
    </row>
    <row r="679" ht="15.75" customHeight="1">
      <c r="B679" s="21"/>
      <c r="C679" s="21"/>
      <c r="D679" s="21"/>
      <c r="E679" s="21" t="str">
        <f>VLOOKUP(B679,Sheet3!$B$2:$E$311,3,)</f>
        <v>#N/A</v>
      </c>
      <c r="F679" s="21" t="str">
        <f>VLOOKUP(B679,Sheet3!$B$2:$E$311,4,)</f>
        <v>#N/A</v>
      </c>
    </row>
    <row r="680" ht="15.75" customHeight="1">
      <c r="B680" s="21"/>
      <c r="C680" s="21"/>
      <c r="D680" s="21"/>
      <c r="E680" s="21" t="str">
        <f>VLOOKUP(B680,Sheet3!$B$2:$E$311,3,)</f>
        <v>#N/A</v>
      </c>
      <c r="F680" s="21" t="str">
        <f>VLOOKUP(B680,Sheet3!$B$2:$E$311,4,)</f>
        <v>#N/A</v>
      </c>
    </row>
    <row r="681" ht="15.75" customHeight="1">
      <c r="B681" s="21"/>
      <c r="C681" s="21"/>
      <c r="D681" s="21"/>
      <c r="E681" s="21" t="str">
        <f>VLOOKUP(B681,Sheet3!$B$2:$E$311,3,)</f>
        <v>#N/A</v>
      </c>
      <c r="F681" s="21" t="str">
        <f>VLOOKUP(B681,Sheet3!$B$2:$E$311,4,)</f>
        <v>#N/A</v>
      </c>
    </row>
    <row r="682" ht="15.75" customHeight="1">
      <c r="B682" s="21"/>
      <c r="C682" s="21"/>
      <c r="D682" s="21"/>
      <c r="E682" s="21" t="str">
        <f>VLOOKUP(B682,Sheet3!$B$2:$E$311,3,)</f>
        <v>#N/A</v>
      </c>
      <c r="F682" s="21" t="str">
        <f>VLOOKUP(B682,Sheet3!$B$2:$E$311,4,)</f>
        <v>#N/A</v>
      </c>
    </row>
    <row r="683" ht="15.75" customHeight="1">
      <c r="B683" s="21"/>
      <c r="C683" s="21"/>
      <c r="D683" s="21"/>
      <c r="E683" s="21" t="str">
        <f>VLOOKUP(B683,Sheet3!$B$2:$E$311,3,)</f>
        <v>#N/A</v>
      </c>
      <c r="F683" s="21" t="str">
        <f>VLOOKUP(B683,Sheet3!$B$2:$E$311,4,)</f>
        <v>#N/A</v>
      </c>
    </row>
    <row r="684" ht="15.75" customHeight="1">
      <c r="B684" s="21"/>
      <c r="C684" s="21"/>
      <c r="D684" s="21"/>
      <c r="E684" s="21" t="str">
        <f>VLOOKUP(B684,Sheet3!$B$2:$E$311,3,)</f>
        <v>#N/A</v>
      </c>
      <c r="F684" s="21" t="str">
        <f>VLOOKUP(B684,Sheet3!$B$2:$E$311,4,)</f>
        <v>#N/A</v>
      </c>
    </row>
    <row r="685" ht="15.75" customHeight="1">
      <c r="B685" s="21"/>
      <c r="C685" s="21"/>
      <c r="D685" s="21"/>
      <c r="E685" s="21" t="str">
        <f>VLOOKUP(B685,Sheet3!$B$2:$E$311,3,)</f>
        <v>#N/A</v>
      </c>
      <c r="F685" s="21" t="str">
        <f>VLOOKUP(B685,Sheet3!$B$2:$E$311,4,)</f>
        <v>#N/A</v>
      </c>
    </row>
    <row r="686" ht="15.75" customHeight="1">
      <c r="B686" s="21"/>
      <c r="C686" s="21"/>
      <c r="D686" s="21"/>
      <c r="E686" s="21" t="str">
        <f>VLOOKUP(B686,Sheet3!$B$2:$E$311,3,)</f>
        <v>#N/A</v>
      </c>
      <c r="F686" s="21" t="str">
        <f>VLOOKUP(B686,Sheet3!$B$2:$E$311,4,)</f>
        <v>#N/A</v>
      </c>
    </row>
    <row r="687" ht="15.75" customHeight="1">
      <c r="B687" s="21"/>
      <c r="C687" s="21"/>
      <c r="D687" s="21"/>
      <c r="E687" s="21" t="str">
        <f>VLOOKUP(B687,Sheet3!$B$2:$E$311,3,)</f>
        <v>#N/A</v>
      </c>
      <c r="F687" s="21" t="str">
        <f>VLOOKUP(B687,Sheet3!$B$2:$E$311,4,)</f>
        <v>#N/A</v>
      </c>
    </row>
    <row r="688" ht="15.75" customHeight="1">
      <c r="B688" s="21"/>
      <c r="C688" s="21"/>
      <c r="D688" s="21"/>
      <c r="E688" s="21" t="str">
        <f>VLOOKUP(B688,Sheet3!$B$2:$E$311,3,)</f>
        <v>#N/A</v>
      </c>
      <c r="F688" s="21" t="str">
        <f>VLOOKUP(B688,Sheet3!$B$2:$E$311,4,)</f>
        <v>#N/A</v>
      </c>
    </row>
    <row r="689" ht="15.75" customHeight="1">
      <c r="B689" s="21"/>
      <c r="C689" s="21"/>
      <c r="D689" s="21"/>
      <c r="E689" s="21" t="str">
        <f>VLOOKUP(B689,Sheet3!$B$2:$E$311,3,)</f>
        <v>#N/A</v>
      </c>
      <c r="F689" s="21" t="str">
        <f>VLOOKUP(B689,Sheet3!$B$2:$E$311,4,)</f>
        <v>#N/A</v>
      </c>
    </row>
    <row r="690" ht="15.75" customHeight="1">
      <c r="B690" s="21"/>
      <c r="C690" s="21"/>
      <c r="D690" s="21"/>
      <c r="E690" s="21" t="str">
        <f>VLOOKUP(B690,Sheet3!$B$2:$E$311,3,)</f>
        <v>#N/A</v>
      </c>
      <c r="F690" s="21" t="str">
        <f>VLOOKUP(B690,Sheet3!$B$2:$E$311,4,)</f>
        <v>#N/A</v>
      </c>
    </row>
    <row r="691" ht="15.75" customHeight="1">
      <c r="B691" s="21"/>
      <c r="C691" s="21"/>
      <c r="D691" s="21"/>
      <c r="E691" s="21" t="str">
        <f>VLOOKUP(B691,Sheet3!$B$2:$E$311,3,)</f>
        <v>#N/A</v>
      </c>
      <c r="F691" s="21" t="str">
        <f>VLOOKUP(B691,Sheet3!$B$2:$E$311,4,)</f>
        <v>#N/A</v>
      </c>
    </row>
    <row r="692" ht="15.75" customHeight="1">
      <c r="B692" s="21"/>
      <c r="C692" s="21"/>
      <c r="D692" s="21"/>
      <c r="E692" s="21" t="str">
        <f>VLOOKUP(B692,Sheet3!$B$2:$E$311,3,)</f>
        <v>#N/A</v>
      </c>
      <c r="F692" s="21" t="str">
        <f>VLOOKUP(B692,Sheet3!$B$2:$E$311,4,)</f>
        <v>#N/A</v>
      </c>
    </row>
    <row r="693" ht="15.75" customHeight="1">
      <c r="B693" s="21"/>
      <c r="C693" s="21"/>
      <c r="D693" s="21"/>
      <c r="E693" s="21" t="str">
        <f>VLOOKUP(B693,Sheet3!$B$2:$E$311,3,)</f>
        <v>#N/A</v>
      </c>
      <c r="F693" s="21" t="str">
        <f>VLOOKUP(B693,Sheet3!$B$2:$E$311,4,)</f>
        <v>#N/A</v>
      </c>
    </row>
    <row r="694" ht="15.75" customHeight="1">
      <c r="B694" s="21"/>
      <c r="C694" s="21"/>
      <c r="D694" s="21"/>
      <c r="E694" s="21" t="str">
        <f>VLOOKUP(B694,Sheet3!$B$2:$E$311,3,)</f>
        <v>#N/A</v>
      </c>
      <c r="F694" s="21" t="str">
        <f>VLOOKUP(B694,Sheet3!$B$2:$E$311,4,)</f>
        <v>#N/A</v>
      </c>
    </row>
    <row r="695" ht="15.75" customHeight="1">
      <c r="B695" s="21"/>
      <c r="C695" s="21"/>
      <c r="D695" s="21"/>
      <c r="E695" s="21" t="str">
        <f>VLOOKUP(B695,Sheet3!$B$2:$E$311,3,)</f>
        <v>#N/A</v>
      </c>
      <c r="F695" s="21" t="str">
        <f>VLOOKUP(B695,Sheet3!$B$2:$E$311,4,)</f>
        <v>#N/A</v>
      </c>
    </row>
    <row r="696" ht="15.75" customHeight="1">
      <c r="B696" s="21"/>
      <c r="C696" s="21"/>
      <c r="D696" s="21"/>
      <c r="E696" s="21" t="str">
        <f>VLOOKUP(B696,Sheet3!$B$2:$E$311,3,)</f>
        <v>#N/A</v>
      </c>
      <c r="F696" s="21" t="str">
        <f>VLOOKUP(B696,Sheet3!$B$2:$E$311,4,)</f>
        <v>#N/A</v>
      </c>
    </row>
    <row r="697" ht="15.75" customHeight="1">
      <c r="B697" s="21"/>
      <c r="C697" s="21"/>
      <c r="D697" s="21"/>
      <c r="E697" s="21" t="str">
        <f>VLOOKUP(B697,Sheet3!$B$2:$E$311,3,)</f>
        <v>#N/A</v>
      </c>
      <c r="F697" s="21" t="str">
        <f>VLOOKUP(B697,Sheet3!$B$2:$E$311,4,)</f>
        <v>#N/A</v>
      </c>
    </row>
    <row r="698" ht="15.75" customHeight="1">
      <c r="B698" s="21"/>
      <c r="C698" s="21"/>
      <c r="D698" s="21"/>
      <c r="E698" s="21" t="str">
        <f>VLOOKUP(B698,Sheet3!$B$2:$E$311,3,)</f>
        <v>#N/A</v>
      </c>
      <c r="F698" s="21" t="str">
        <f>VLOOKUP(B698,Sheet3!$B$2:$E$311,4,)</f>
        <v>#N/A</v>
      </c>
    </row>
    <row r="699" ht="15.75" customHeight="1">
      <c r="B699" s="21"/>
      <c r="C699" s="21"/>
      <c r="D699" s="21"/>
      <c r="E699" s="21" t="str">
        <f>VLOOKUP(B699,Sheet3!$B$2:$E$311,3,)</f>
        <v>#N/A</v>
      </c>
      <c r="F699" s="21" t="str">
        <f>VLOOKUP(B699,Sheet3!$B$2:$E$311,4,)</f>
        <v>#N/A</v>
      </c>
    </row>
    <row r="700" ht="15.75" customHeight="1">
      <c r="B700" s="21"/>
      <c r="C700" s="21"/>
      <c r="D700" s="21"/>
      <c r="E700" s="21" t="str">
        <f>VLOOKUP(B700,Sheet3!$B$2:$E$311,3,)</f>
        <v>#N/A</v>
      </c>
      <c r="F700" s="21" t="str">
        <f>VLOOKUP(B700,Sheet3!$B$2:$E$311,4,)</f>
        <v>#N/A</v>
      </c>
    </row>
    <row r="701" ht="15.75" customHeight="1">
      <c r="B701" s="21"/>
      <c r="C701" s="21"/>
      <c r="D701" s="21"/>
      <c r="E701" s="21" t="str">
        <f>VLOOKUP(B701,Sheet3!$B$2:$E$311,3,)</f>
        <v>#N/A</v>
      </c>
      <c r="F701" s="21" t="str">
        <f>VLOOKUP(B701,Sheet3!$B$2:$E$311,4,)</f>
        <v>#N/A</v>
      </c>
    </row>
    <row r="702" ht="15.75" customHeight="1">
      <c r="B702" s="21"/>
      <c r="C702" s="21"/>
      <c r="D702" s="21"/>
      <c r="E702" s="21" t="str">
        <f>VLOOKUP(B702,Sheet3!$B$2:$E$311,3,)</f>
        <v>#N/A</v>
      </c>
      <c r="F702" s="21" t="str">
        <f>VLOOKUP(B702,Sheet3!$B$2:$E$311,4,)</f>
        <v>#N/A</v>
      </c>
    </row>
    <row r="703" ht="15.75" customHeight="1">
      <c r="B703" s="21"/>
      <c r="C703" s="21"/>
      <c r="D703" s="21"/>
      <c r="E703" s="21" t="str">
        <f>VLOOKUP(B703,Sheet3!$B$2:$E$311,3,)</f>
        <v>#N/A</v>
      </c>
      <c r="F703" s="21" t="str">
        <f>VLOOKUP(B703,Sheet3!$B$2:$E$311,4,)</f>
        <v>#N/A</v>
      </c>
    </row>
    <row r="704" ht="15.75" customHeight="1">
      <c r="B704" s="21"/>
      <c r="C704" s="21"/>
      <c r="D704" s="21"/>
      <c r="E704" s="21" t="str">
        <f>VLOOKUP(B704,Sheet3!$B$2:$E$311,3,)</f>
        <v>#N/A</v>
      </c>
      <c r="F704" s="21" t="str">
        <f>VLOOKUP(B704,Sheet3!$B$2:$E$311,4,)</f>
        <v>#N/A</v>
      </c>
    </row>
    <row r="705" ht="15.75" customHeight="1">
      <c r="B705" s="21"/>
      <c r="C705" s="21"/>
      <c r="D705" s="21"/>
      <c r="E705" s="21" t="str">
        <f>VLOOKUP(B705,Sheet3!$B$2:$E$311,3,)</f>
        <v>#N/A</v>
      </c>
      <c r="F705" s="21" t="str">
        <f>VLOOKUP(B705,Sheet3!$B$2:$E$311,4,)</f>
        <v>#N/A</v>
      </c>
    </row>
    <row r="706" ht="15.75" customHeight="1">
      <c r="B706" s="21"/>
      <c r="C706" s="21"/>
      <c r="D706" s="21"/>
      <c r="E706" s="21" t="str">
        <f>VLOOKUP(B706,Sheet3!$B$2:$E$311,3,)</f>
        <v>#N/A</v>
      </c>
      <c r="F706" s="21" t="str">
        <f>VLOOKUP(B706,Sheet3!$B$2:$E$311,4,)</f>
        <v>#N/A</v>
      </c>
    </row>
    <row r="707" ht="15.75" customHeight="1">
      <c r="B707" s="21"/>
      <c r="C707" s="21"/>
      <c r="D707" s="21"/>
      <c r="E707" s="21" t="str">
        <f>VLOOKUP(B707,Sheet3!$B$2:$E$311,3,)</f>
        <v>#N/A</v>
      </c>
      <c r="F707" s="21" t="str">
        <f>VLOOKUP(B707,Sheet3!$B$2:$E$311,4,)</f>
        <v>#N/A</v>
      </c>
    </row>
    <row r="708" ht="15.75" customHeight="1">
      <c r="B708" s="21"/>
      <c r="C708" s="21"/>
      <c r="D708" s="21"/>
      <c r="E708" s="21" t="str">
        <f>VLOOKUP(B708,Sheet3!$B$2:$E$311,3,)</f>
        <v>#N/A</v>
      </c>
      <c r="F708" s="21" t="str">
        <f>VLOOKUP(B708,Sheet3!$B$2:$E$311,4,)</f>
        <v>#N/A</v>
      </c>
    </row>
    <row r="709" ht="15.75" customHeight="1">
      <c r="B709" s="21"/>
      <c r="C709" s="21"/>
      <c r="D709" s="21"/>
      <c r="E709" s="21" t="str">
        <f>VLOOKUP(B709,Sheet3!$B$2:$E$311,3,)</f>
        <v>#N/A</v>
      </c>
      <c r="F709" s="21" t="str">
        <f>VLOOKUP(B709,Sheet3!$B$2:$E$311,4,)</f>
        <v>#N/A</v>
      </c>
    </row>
    <row r="710" ht="15.75" customHeight="1">
      <c r="B710" s="21"/>
      <c r="C710" s="21"/>
      <c r="D710" s="21"/>
      <c r="E710" s="21" t="str">
        <f>VLOOKUP(B710,Sheet3!$B$2:$E$311,3,)</f>
        <v>#N/A</v>
      </c>
      <c r="F710" s="21" t="str">
        <f>VLOOKUP(B710,Sheet3!$B$2:$E$311,4,)</f>
        <v>#N/A</v>
      </c>
    </row>
    <row r="711" ht="15.75" customHeight="1">
      <c r="B711" s="21"/>
      <c r="C711" s="21"/>
      <c r="D711" s="21"/>
      <c r="E711" s="21" t="str">
        <f>VLOOKUP(B711,Sheet3!$B$2:$E$311,3,)</f>
        <v>#N/A</v>
      </c>
      <c r="F711" s="21" t="str">
        <f>VLOOKUP(B711,Sheet3!$B$2:$E$311,4,)</f>
        <v>#N/A</v>
      </c>
    </row>
    <row r="712" ht="15.75" customHeight="1">
      <c r="B712" s="21"/>
      <c r="C712" s="21"/>
      <c r="D712" s="21"/>
      <c r="E712" s="21" t="str">
        <f>VLOOKUP(B712,Sheet3!$B$2:$E$311,3,)</f>
        <v>#N/A</v>
      </c>
      <c r="F712" s="21" t="str">
        <f>VLOOKUP(B712,Sheet3!$B$2:$E$311,4,)</f>
        <v>#N/A</v>
      </c>
    </row>
    <row r="713" ht="15.75" customHeight="1">
      <c r="B713" s="21"/>
      <c r="C713" s="21"/>
      <c r="D713" s="21"/>
      <c r="E713" s="21" t="str">
        <f>VLOOKUP(B713,Sheet3!$B$2:$E$311,3,)</f>
        <v>#N/A</v>
      </c>
      <c r="F713" s="21" t="str">
        <f>VLOOKUP(B713,Sheet3!$B$2:$E$311,4,)</f>
        <v>#N/A</v>
      </c>
    </row>
    <row r="714" ht="15.75" customHeight="1">
      <c r="B714" s="21"/>
      <c r="C714" s="21"/>
      <c r="D714" s="21"/>
      <c r="E714" s="21" t="str">
        <f>VLOOKUP(B714,Sheet3!$B$2:$E$311,3,)</f>
        <v>#N/A</v>
      </c>
      <c r="F714" s="21" t="str">
        <f>VLOOKUP(B714,Sheet3!$B$2:$E$311,4,)</f>
        <v>#N/A</v>
      </c>
    </row>
    <row r="715" ht="15.75" customHeight="1">
      <c r="B715" s="21"/>
      <c r="C715" s="21"/>
      <c r="D715" s="21"/>
      <c r="E715" s="21" t="str">
        <f>VLOOKUP(B715,Sheet3!$B$2:$E$311,3,)</f>
        <v>#N/A</v>
      </c>
      <c r="F715" s="21" t="str">
        <f>VLOOKUP(B715,Sheet3!$B$2:$E$311,4,)</f>
        <v>#N/A</v>
      </c>
    </row>
    <row r="716" ht="15.75" customHeight="1">
      <c r="B716" s="21"/>
      <c r="C716" s="21"/>
      <c r="D716" s="21"/>
      <c r="E716" s="21" t="str">
        <f>VLOOKUP(B716,Sheet3!$B$2:$E$311,3,)</f>
        <v>#N/A</v>
      </c>
      <c r="F716" s="21" t="str">
        <f>VLOOKUP(B716,Sheet3!$B$2:$E$311,4,)</f>
        <v>#N/A</v>
      </c>
    </row>
    <row r="717" ht="15.75" customHeight="1">
      <c r="B717" s="21"/>
      <c r="C717" s="21"/>
      <c r="D717" s="21"/>
      <c r="E717" s="21" t="str">
        <f>VLOOKUP(B717,Sheet3!$B$2:$E$311,3,)</f>
        <v>#N/A</v>
      </c>
      <c r="F717" s="21" t="str">
        <f>VLOOKUP(B717,Sheet3!$B$2:$E$311,4,)</f>
        <v>#N/A</v>
      </c>
    </row>
    <row r="718" ht="15.75" customHeight="1">
      <c r="B718" s="21"/>
      <c r="C718" s="21"/>
      <c r="D718" s="21"/>
      <c r="E718" s="21" t="str">
        <f>VLOOKUP(B718,Sheet3!$B$2:$E$311,3,)</f>
        <v>#N/A</v>
      </c>
      <c r="F718" s="21" t="str">
        <f>VLOOKUP(B718,Sheet3!$B$2:$E$311,4,)</f>
        <v>#N/A</v>
      </c>
    </row>
    <row r="719" ht="15.75" customHeight="1">
      <c r="B719" s="21"/>
      <c r="C719" s="21"/>
      <c r="D719" s="21"/>
      <c r="E719" s="21" t="str">
        <f>VLOOKUP(B719,Sheet3!$B$2:$E$311,3,)</f>
        <v>#N/A</v>
      </c>
      <c r="F719" s="21" t="str">
        <f>VLOOKUP(B719,Sheet3!$B$2:$E$311,4,)</f>
        <v>#N/A</v>
      </c>
    </row>
    <row r="720" ht="15.75" customHeight="1">
      <c r="B720" s="21"/>
      <c r="C720" s="21"/>
      <c r="D720" s="21"/>
      <c r="E720" s="21" t="str">
        <f>VLOOKUP(B720,Sheet3!$B$2:$E$311,3,)</f>
        <v>#N/A</v>
      </c>
      <c r="F720" s="21" t="str">
        <f>VLOOKUP(B720,Sheet3!$B$2:$E$311,4,)</f>
        <v>#N/A</v>
      </c>
    </row>
    <row r="721" ht="15.75" customHeight="1">
      <c r="B721" s="21"/>
      <c r="C721" s="21"/>
      <c r="D721" s="21"/>
      <c r="E721" s="21" t="str">
        <f>VLOOKUP(B721,Sheet3!$B$2:$E$311,3,)</f>
        <v>#N/A</v>
      </c>
      <c r="F721" s="21" t="str">
        <f>VLOOKUP(B721,Sheet3!$B$2:$E$311,4,)</f>
        <v>#N/A</v>
      </c>
    </row>
    <row r="722" ht="15.75" customHeight="1">
      <c r="B722" s="21"/>
      <c r="C722" s="21"/>
      <c r="D722" s="21"/>
      <c r="E722" s="21" t="str">
        <f>VLOOKUP(B722,Sheet3!$B$2:$E$311,3,)</f>
        <v>#N/A</v>
      </c>
      <c r="F722" s="21" t="str">
        <f>VLOOKUP(B722,Sheet3!$B$2:$E$311,4,)</f>
        <v>#N/A</v>
      </c>
    </row>
    <row r="723" ht="15.75" customHeight="1">
      <c r="B723" s="21"/>
      <c r="C723" s="21"/>
      <c r="D723" s="21"/>
      <c r="E723" s="21" t="str">
        <f>VLOOKUP(B723,Sheet3!$B$2:$E$311,3,)</f>
        <v>#N/A</v>
      </c>
      <c r="F723" s="21" t="str">
        <f>VLOOKUP(B723,Sheet3!$B$2:$E$311,4,)</f>
        <v>#N/A</v>
      </c>
    </row>
    <row r="724" ht="15.75" customHeight="1">
      <c r="B724" s="21"/>
      <c r="C724" s="21"/>
      <c r="D724" s="21"/>
      <c r="E724" s="21" t="str">
        <f>VLOOKUP(B724,Sheet3!$B$2:$E$311,3,)</f>
        <v>#N/A</v>
      </c>
      <c r="F724" s="21" t="str">
        <f>VLOOKUP(B724,Sheet3!$B$2:$E$311,4,)</f>
        <v>#N/A</v>
      </c>
    </row>
    <row r="725" ht="15.75" customHeight="1">
      <c r="B725" s="21"/>
      <c r="C725" s="21"/>
      <c r="D725" s="21"/>
      <c r="E725" s="21" t="str">
        <f>VLOOKUP(B725,Sheet3!$B$2:$E$311,3,)</f>
        <v>#N/A</v>
      </c>
      <c r="F725" s="21" t="str">
        <f>VLOOKUP(B725,Sheet3!$B$2:$E$311,4,)</f>
        <v>#N/A</v>
      </c>
    </row>
    <row r="726" ht="15.75" customHeight="1">
      <c r="B726" s="21"/>
      <c r="C726" s="21"/>
      <c r="D726" s="21"/>
      <c r="E726" s="21" t="str">
        <f>VLOOKUP(B726,Sheet3!$B$2:$E$311,3,)</f>
        <v>#N/A</v>
      </c>
      <c r="F726" s="21" t="str">
        <f>VLOOKUP(B726,Sheet3!$B$2:$E$311,4,)</f>
        <v>#N/A</v>
      </c>
    </row>
    <row r="727" ht="15.75" customHeight="1">
      <c r="B727" s="21"/>
      <c r="C727" s="21"/>
      <c r="D727" s="21"/>
      <c r="E727" s="21" t="str">
        <f>VLOOKUP(B727,Sheet3!$B$2:$E$311,3,)</f>
        <v>#N/A</v>
      </c>
      <c r="F727" s="21" t="str">
        <f>VLOOKUP(B727,Sheet3!$B$2:$E$311,4,)</f>
        <v>#N/A</v>
      </c>
    </row>
    <row r="728" ht="15.75" customHeight="1">
      <c r="B728" s="21"/>
      <c r="C728" s="21"/>
      <c r="D728" s="21"/>
      <c r="E728" s="21" t="str">
        <f>VLOOKUP(B728,Sheet3!$B$2:$E$311,3,)</f>
        <v>#N/A</v>
      </c>
      <c r="F728" s="21" t="str">
        <f>VLOOKUP(B728,Sheet3!$B$2:$E$311,4,)</f>
        <v>#N/A</v>
      </c>
    </row>
    <row r="729" ht="15.75" customHeight="1">
      <c r="B729" s="21"/>
      <c r="C729" s="21"/>
      <c r="D729" s="21"/>
      <c r="E729" s="21" t="str">
        <f>VLOOKUP(B729,Sheet3!$B$2:$E$311,3,)</f>
        <v>#N/A</v>
      </c>
      <c r="F729" s="21" t="str">
        <f>VLOOKUP(B729,Sheet3!$B$2:$E$311,4,)</f>
        <v>#N/A</v>
      </c>
    </row>
    <row r="730" ht="15.75" customHeight="1">
      <c r="B730" s="21"/>
      <c r="C730" s="21"/>
      <c r="D730" s="21"/>
      <c r="E730" s="21" t="str">
        <f>VLOOKUP(B730,Sheet3!$B$2:$E$311,3,)</f>
        <v>#N/A</v>
      </c>
      <c r="F730" s="21" t="str">
        <f>VLOOKUP(B730,Sheet3!$B$2:$E$311,4,)</f>
        <v>#N/A</v>
      </c>
    </row>
    <row r="731" ht="15.75" customHeight="1">
      <c r="B731" s="21"/>
      <c r="C731" s="21"/>
      <c r="D731" s="21"/>
      <c r="E731" s="21" t="str">
        <f>VLOOKUP(B731,Sheet3!$B$2:$E$311,3,)</f>
        <v>#N/A</v>
      </c>
      <c r="F731" s="21" t="str">
        <f>VLOOKUP(B731,Sheet3!$B$2:$E$311,4,)</f>
        <v>#N/A</v>
      </c>
    </row>
    <row r="732" ht="15.75" customHeight="1">
      <c r="B732" s="21"/>
      <c r="C732" s="21"/>
      <c r="D732" s="21"/>
      <c r="E732" s="21" t="str">
        <f>VLOOKUP(B732,Sheet3!$B$2:$E$311,3,)</f>
        <v>#N/A</v>
      </c>
    </row>
    <row r="733" ht="15.75" customHeight="1">
      <c r="B733" s="21"/>
      <c r="C733" s="21"/>
      <c r="D733" s="21"/>
      <c r="E733" s="21" t="str">
        <f>VLOOKUP(B733,Sheet3!$B$2:$E$311,3,)</f>
        <v>#N/A</v>
      </c>
    </row>
    <row r="734" ht="15.75" customHeight="1">
      <c r="B734" s="21"/>
      <c r="C734" s="21"/>
      <c r="D734" s="21"/>
      <c r="E734" s="21" t="str">
        <f>VLOOKUP(B734,Sheet3!$B$2:$E$311,3,)</f>
        <v>#N/A</v>
      </c>
    </row>
    <row r="735" ht="15.75" customHeight="1">
      <c r="B735" s="21"/>
      <c r="C735" s="21"/>
      <c r="D735" s="21"/>
      <c r="E735" s="21" t="str">
        <f>VLOOKUP(B735,Sheet3!$B$2:$E$311,3,)</f>
        <v>#N/A</v>
      </c>
    </row>
    <row r="736" ht="15.75" customHeight="1">
      <c r="B736" s="21"/>
      <c r="C736" s="21"/>
      <c r="D736" s="21"/>
      <c r="E736" s="21" t="str">
        <f>VLOOKUP(B736,Sheet3!$B$2:$E$311,3,)</f>
        <v>#N/A</v>
      </c>
    </row>
    <row r="737" ht="15.75" customHeight="1">
      <c r="B737" s="21"/>
      <c r="C737" s="21"/>
      <c r="D737" s="21"/>
      <c r="E737" s="21" t="str">
        <f>VLOOKUP(B737,Sheet3!$B$2:$E$311,3,)</f>
        <v>#N/A</v>
      </c>
    </row>
    <row r="738" ht="15.75" customHeight="1">
      <c r="B738" s="21"/>
      <c r="C738" s="21"/>
      <c r="D738" s="21"/>
      <c r="E738" s="21" t="str">
        <f>VLOOKUP(B738,Sheet3!$B$2:$E$311,3,)</f>
        <v>#N/A</v>
      </c>
    </row>
    <row r="739" ht="15.75" customHeight="1">
      <c r="B739" s="21"/>
      <c r="C739" s="21"/>
      <c r="D739" s="21"/>
      <c r="E739" s="21" t="str">
        <f>VLOOKUP(B739,Sheet3!$B$2:$E$311,3,)</f>
        <v>#N/A</v>
      </c>
    </row>
    <row r="740" ht="15.75" customHeight="1">
      <c r="B740" s="21"/>
      <c r="C740" s="21"/>
      <c r="D740" s="21"/>
    </row>
    <row r="741" ht="15.75" customHeight="1">
      <c r="B741" s="21"/>
      <c r="C741" s="21"/>
      <c r="D741" s="21"/>
    </row>
    <row r="742" ht="15.75" customHeight="1">
      <c r="B742" s="21"/>
    </row>
    <row r="743" ht="15.75" customHeight="1">
      <c r="B743" s="21"/>
    </row>
    <row r="744" ht="15.75" customHeight="1">
      <c r="B744" s="21"/>
    </row>
    <row r="745" ht="15.75" customHeight="1">
      <c r="B745" s="21"/>
    </row>
    <row r="746" ht="15.75" customHeight="1">
      <c r="B746" s="21"/>
    </row>
    <row r="747" ht="15.75" customHeight="1">
      <c r="B747" s="21"/>
    </row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AA$200"/>
  <dataValidations>
    <dataValidation type="list" allowBlank="1" showErrorMessage="1" sqref="B2:B40 B43:B97 B99:B106 B109:B117 B119:B123 B125:B127 B129:B141 B143:B158 B161:B208 B210:B227 B229:B747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7" max="7" width="17.29"/>
    <col customWidth="1" min="9" max="9" width="23.71"/>
  </cols>
  <sheetData>
    <row r="1">
      <c r="A1" s="3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1032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 t="s">
        <v>6</v>
      </c>
      <c r="C6" s="16" t="s">
        <v>7</v>
      </c>
      <c r="D6" s="16" t="s">
        <v>8</v>
      </c>
      <c r="E6" s="16" t="s">
        <v>10</v>
      </c>
      <c r="F6" s="16" t="s">
        <v>9</v>
      </c>
      <c r="G6" s="16" t="s">
        <v>11</v>
      </c>
      <c r="H6" s="16" t="s">
        <v>12</v>
      </c>
      <c r="I6" s="16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idden="1">
      <c r="A7" s="36">
        <v>46204.0</v>
      </c>
      <c r="B7" s="18" t="s">
        <v>53</v>
      </c>
      <c r="C7" s="17" t="str">
        <f>IFERROR(VLOOKUP(B7,'MASTER DATA'!$A$1:$E$212,2,FALSE),"")</f>
        <v>BB-100502</v>
      </c>
      <c r="D7" s="17" t="str">
        <f>IFERROR(VLOOKUP(B7,'MASTER DATA'!$A$1:$E$212,5,FALSE),"")</f>
        <v>BAHAN BAKU LUUCA</v>
      </c>
      <c r="E7" s="44" t="s">
        <v>1033</v>
      </c>
      <c r="F7" s="17" t="str">
        <f>IFERROR(VLOOKUP(B7,'MASTER DATA'!$A$1:$E$212,4,FALSE),"")</f>
        <v>GR</v>
      </c>
      <c r="G7" s="18" t="s">
        <v>793</v>
      </c>
      <c r="H7" s="18" t="s">
        <v>561</v>
      </c>
      <c r="I7" s="18" t="s">
        <v>1034</v>
      </c>
      <c r="J7" s="18" t="b">
        <v>1</v>
      </c>
    </row>
    <row r="8" hidden="1">
      <c r="A8" s="17"/>
      <c r="B8" s="18" t="s">
        <v>34</v>
      </c>
      <c r="C8" s="17" t="str">
        <f>IFERROR(VLOOKUP(B8,'MASTER DATA'!$A$1:$E$212,2,FALSE),"")</f>
        <v>BB-100023</v>
      </c>
      <c r="D8" s="17" t="str">
        <f>IFERROR(VLOOKUP(B8,'MASTER DATA'!$A$1:$E$212,5,FALSE),"")</f>
        <v>BAHAN BAKU LUUCA</v>
      </c>
      <c r="E8" s="44" t="s">
        <v>1035</v>
      </c>
      <c r="F8" s="17" t="str">
        <f>IFERROR(VLOOKUP(B8,'MASTER DATA'!$A$1:$E$212,4,FALSE),"")</f>
        <v>GR</v>
      </c>
      <c r="G8" s="18" t="s">
        <v>703</v>
      </c>
      <c r="H8" s="18" t="s">
        <v>561</v>
      </c>
      <c r="I8" s="18" t="s">
        <v>1034</v>
      </c>
      <c r="J8" s="18" t="b">
        <v>1</v>
      </c>
    </row>
    <row r="9" hidden="1">
      <c r="A9" s="17"/>
      <c r="B9" s="18" t="s">
        <v>33</v>
      </c>
      <c r="C9" s="17" t="str">
        <f>IFERROR(VLOOKUP(B9,'MASTER DATA'!$A$1:$E$212,2,FALSE),"")</f>
        <v>BB-100022</v>
      </c>
      <c r="D9" s="17" t="str">
        <f>IFERROR(VLOOKUP(B9,'MASTER DATA'!$A$1:$E$212,5,FALSE),"")</f>
        <v>BAHAN BAKU LUUCA</v>
      </c>
      <c r="E9" s="44">
        <v>977.0</v>
      </c>
      <c r="F9" s="17" t="str">
        <f>IFERROR(VLOOKUP(B9,'MASTER DATA'!$A$1:$E$212,4,FALSE),"")</f>
        <v>GR</v>
      </c>
      <c r="G9" s="18" t="s">
        <v>703</v>
      </c>
      <c r="H9" s="18" t="s">
        <v>561</v>
      </c>
      <c r="I9" s="18" t="s">
        <v>1034</v>
      </c>
      <c r="J9" s="18" t="b">
        <v>1</v>
      </c>
    </row>
    <row r="10" hidden="1">
      <c r="A10" s="17"/>
      <c r="B10" s="18" t="s">
        <v>108</v>
      </c>
      <c r="C10" s="17" t="str">
        <f>IFERROR(VLOOKUP(B10,'MASTER DATA'!$A$1:$E$212,2,FALSE),"")</f>
        <v>BB-100500</v>
      </c>
      <c r="D10" s="17" t="str">
        <f>IFERROR(VLOOKUP(B10,'MASTER DATA'!$A$1:$E$212,5,FALSE),"")</f>
        <v>BAHAN BAKU LUUCA</v>
      </c>
      <c r="E10" s="44" t="s">
        <v>1036</v>
      </c>
      <c r="F10" s="17" t="str">
        <f>IFERROR(VLOOKUP(B10,'MASTER DATA'!$A$1:$E$212,4,FALSE),"")</f>
        <v>GR</v>
      </c>
      <c r="G10" s="18" t="s">
        <v>792</v>
      </c>
      <c r="H10" s="18" t="s">
        <v>561</v>
      </c>
      <c r="I10" s="18" t="s">
        <v>1034</v>
      </c>
      <c r="J10" s="18" t="b">
        <v>1</v>
      </c>
    </row>
    <row r="11" hidden="1">
      <c r="A11" s="17"/>
      <c r="B11" s="18" t="s">
        <v>238</v>
      </c>
      <c r="C11" s="17" t="str">
        <f>IFERROR(VLOOKUP(B11,'MASTER DATA'!$A$1:$E$212,2,FALSE),"")</f>
        <v>BB-100517</v>
      </c>
      <c r="D11" s="17" t="str">
        <f>IFERROR(VLOOKUP(B11,'MASTER DATA'!$A$1:$E$212,5,FALSE),"")</f>
        <v>PRODUKSI STOK LUUCA</v>
      </c>
      <c r="E11" s="44">
        <v>1.0</v>
      </c>
      <c r="F11" s="17" t="str">
        <f>IFERROR(VLOOKUP(B11,'MASTER DATA'!$A$1:$E$212,4,FALSE),"")</f>
        <v>PCS</v>
      </c>
      <c r="G11" s="18" t="s">
        <v>572</v>
      </c>
      <c r="H11" s="18" t="s">
        <v>615</v>
      </c>
      <c r="I11" s="18" t="s">
        <v>1034</v>
      </c>
      <c r="J11" s="18" t="b">
        <v>1</v>
      </c>
    </row>
    <row r="12" hidden="1">
      <c r="A12" s="17"/>
      <c r="B12" s="18" t="s">
        <v>53</v>
      </c>
      <c r="C12" s="17" t="str">
        <f>IFERROR(VLOOKUP(B12,'MASTER DATA'!$A$1:$E$212,2,FALSE),"")</f>
        <v>BB-100502</v>
      </c>
      <c r="D12" s="17" t="str">
        <f>IFERROR(VLOOKUP(B12,'MASTER DATA'!$A$1:$E$212,5,FALSE),"")</f>
        <v>BAHAN BAKU LUUCA</v>
      </c>
      <c r="E12" s="44" t="s">
        <v>1037</v>
      </c>
      <c r="F12" s="17" t="str">
        <f>IFERROR(VLOOKUP(B12,'MASTER DATA'!$A$1:$E$212,4,FALSE),"")</f>
        <v>GR</v>
      </c>
      <c r="G12" s="18" t="s">
        <v>793</v>
      </c>
      <c r="H12" s="18" t="s">
        <v>561</v>
      </c>
      <c r="I12" s="18" t="s">
        <v>1034</v>
      </c>
      <c r="J12" s="18" t="b">
        <v>1</v>
      </c>
    </row>
    <row r="13" hidden="1">
      <c r="A13" s="17"/>
      <c r="B13" s="18" t="s">
        <v>109</v>
      </c>
      <c r="C13" s="17" t="str">
        <f>IFERROR(VLOOKUP(B13,'MASTER DATA'!$A$1:$E$212,2,FALSE),"")</f>
        <v>BB-100501</v>
      </c>
      <c r="D13" s="17" t="str">
        <f>IFERROR(VLOOKUP(B13,'MASTER DATA'!$A$1:$E$212,5,FALSE),"")</f>
        <v>BAHAN BAKU LUUCA</v>
      </c>
      <c r="E13" s="44" t="s">
        <v>1038</v>
      </c>
      <c r="F13" s="17" t="str">
        <f>IFERROR(VLOOKUP(B13,'MASTER DATA'!$A$1:$E$212,4,FALSE),"")</f>
        <v>GR</v>
      </c>
      <c r="G13" s="18" t="s">
        <v>1039</v>
      </c>
      <c r="H13" s="18" t="s">
        <v>561</v>
      </c>
      <c r="I13" s="18" t="s">
        <v>1034</v>
      </c>
      <c r="J13" s="18" t="b">
        <v>1</v>
      </c>
    </row>
    <row r="14" hidden="1">
      <c r="A14" s="36">
        <v>46205.0</v>
      </c>
      <c r="B14" s="18" t="s">
        <v>108</v>
      </c>
      <c r="C14" s="17" t="str">
        <f>IFERROR(VLOOKUP(B14,'MASTER DATA'!$A$1:$E$212,2,FALSE),"")</f>
        <v>BB-100500</v>
      </c>
      <c r="D14" s="17" t="str">
        <f>IFERROR(VLOOKUP(B14,'MASTER DATA'!$A$1:$E$212,5,FALSE),"")</f>
        <v>BAHAN BAKU LUUCA</v>
      </c>
      <c r="E14" s="44" t="s">
        <v>1040</v>
      </c>
      <c r="F14" s="17" t="str">
        <f>IFERROR(VLOOKUP(B14,'MASTER DATA'!$A$1:$E$212,4,FALSE),"")</f>
        <v>GR</v>
      </c>
      <c r="G14" s="18" t="s">
        <v>496</v>
      </c>
      <c r="H14" s="18" t="s">
        <v>1016</v>
      </c>
      <c r="I14" s="18" t="s">
        <v>1041</v>
      </c>
      <c r="J14" s="18" t="b">
        <v>1</v>
      </c>
    </row>
    <row r="15" hidden="1">
      <c r="A15" s="17"/>
      <c r="B15" s="18" t="s">
        <v>108</v>
      </c>
      <c r="C15" s="17" t="str">
        <f>IFERROR(VLOOKUP(B15,'MASTER DATA'!$A$1:$E$212,2,FALSE),"")</f>
        <v>BB-100500</v>
      </c>
      <c r="D15" s="17" t="str">
        <f>IFERROR(VLOOKUP(B15,'MASTER DATA'!$A$1:$E$212,5,FALSE),"")</f>
        <v>BAHAN BAKU LUUCA</v>
      </c>
      <c r="E15" s="44" t="s">
        <v>924</v>
      </c>
      <c r="F15" s="17" t="str">
        <f>IFERROR(VLOOKUP(B15,'MASTER DATA'!$A$1:$E$212,4,FALSE),"")</f>
        <v>GR</v>
      </c>
      <c r="G15" s="18" t="s">
        <v>921</v>
      </c>
      <c r="H15" s="18" t="s">
        <v>595</v>
      </c>
      <c r="I15" s="18" t="s">
        <v>1034</v>
      </c>
      <c r="J15" s="18" t="b">
        <v>1</v>
      </c>
    </row>
    <row r="16" hidden="1">
      <c r="A16" s="36">
        <v>46206.0</v>
      </c>
      <c r="B16" s="18" t="s">
        <v>108</v>
      </c>
      <c r="C16" s="17" t="str">
        <f>IFERROR(VLOOKUP(B16,'MASTER DATA'!$A$1:$E$212,2,FALSE),"")</f>
        <v>BB-100500</v>
      </c>
      <c r="D16" s="17" t="str">
        <f>IFERROR(VLOOKUP(B16,'MASTER DATA'!$A$1:$E$212,5,FALSE),"")</f>
        <v>BAHAN BAKU LUUCA</v>
      </c>
      <c r="E16" s="44" t="s">
        <v>1042</v>
      </c>
      <c r="F16" s="17" t="str">
        <f>IFERROR(VLOOKUP(B16,'MASTER DATA'!$A$1:$E$212,4,FALSE),"")</f>
        <v>GR</v>
      </c>
      <c r="G16" s="18" t="s">
        <v>496</v>
      </c>
      <c r="H16" s="18" t="s">
        <v>522</v>
      </c>
      <c r="I16" s="18" t="s">
        <v>1041</v>
      </c>
      <c r="J16" s="18" t="b">
        <v>1</v>
      </c>
    </row>
    <row r="17" hidden="1">
      <c r="A17" s="17"/>
      <c r="B17" s="18" t="s">
        <v>109</v>
      </c>
      <c r="C17" s="17" t="str">
        <f>IFERROR(VLOOKUP(B17,'MASTER DATA'!$A$1:$E$212,2,FALSE),"")</f>
        <v>BB-100501</v>
      </c>
      <c r="D17" s="17" t="str">
        <f>IFERROR(VLOOKUP(B17,'MASTER DATA'!$A$1:$E$212,5,FALSE),"")</f>
        <v>BAHAN BAKU LUUCA</v>
      </c>
      <c r="E17" s="44" t="s">
        <v>966</v>
      </c>
      <c r="F17" s="17" t="str">
        <f>IFERROR(VLOOKUP(B17,'MASTER DATA'!$A$1:$E$212,4,FALSE),"")</f>
        <v>GR</v>
      </c>
      <c r="G17" s="18" t="s">
        <v>1039</v>
      </c>
      <c r="H17" s="18" t="s">
        <v>522</v>
      </c>
      <c r="I17" s="18" t="s">
        <v>1034</v>
      </c>
      <c r="J17" s="18" t="b">
        <v>1</v>
      </c>
    </row>
    <row r="18" hidden="1">
      <c r="A18" s="36">
        <v>46207.0</v>
      </c>
      <c r="B18" s="18" t="s">
        <v>108</v>
      </c>
      <c r="C18" s="17" t="str">
        <f>IFERROR(VLOOKUP(B18,'MASTER DATA'!$A$1:$E$212,2,FALSE),"")</f>
        <v>BB-100500</v>
      </c>
      <c r="D18" s="17" t="str">
        <f>IFERROR(VLOOKUP(B18,'MASTER DATA'!$A$1:$E$212,5,FALSE),"")</f>
        <v>BAHAN BAKU LUUCA</v>
      </c>
      <c r="E18" s="44" t="s">
        <v>1043</v>
      </c>
      <c r="F18" s="17" t="str">
        <f>IFERROR(VLOOKUP(B18,'MASTER DATA'!$A$1:$E$212,4,FALSE),"")</f>
        <v>GR</v>
      </c>
      <c r="G18" s="18" t="s">
        <v>792</v>
      </c>
      <c r="H18" s="18" t="s">
        <v>615</v>
      </c>
      <c r="I18" s="18" t="s">
        <v>1034</v>
      </c>
      <c r="J18" s="18" t="b">
        <v>1</v>
      </c>
    </row>
    <row r="19" hidden="1">
      <c r="A19" s="17"/>
      <c r="B19" s="18" t="s">
        <v>33</v>
      </c>
      <c r="C19" s="17" t="str">
        <f>IFERROR(VLOOKUP(B19,'MASTER DATA'!$A$1:$E$212,2,FALSE),"")</f>
        <v>BB-100022</v>
      </c>
      <c r="D19" s="17" t="str">
        <f>IFERROR(VLOOKUP(B19,'MASTER DATA'!$A$1:$E$212,5,FALSE),"")</f>
        <v>BAHAN BAKU LUUCA</v>
      </c>
      <c r="E19" s="44">
        <v>674.0</v>
      </c>
      <c r="F19" s="17" t="str">
        <f>IFERROR(VLOOKUP(B19,'MASTER DATA'!$A$1:$E$212,4,FALSE),"")</f>
        <v>GR</v>
      </c>
      <c r="G19" s="18" t="s">
        <v>703</v>
      </c>
      <c r="H19" s="18" t="s">
        <v>615</v>
      </c>
      <c r="I19" s="18" t="s">
        <v>1034</v>
      </c>
      <c r="J19" s="18" t="b">
        <v>1</v>
      </c>
    </row>
    <row r="20" hidden="1">
      <c r="A20" s="17"/>
      <c r="B20" s="18" t="s">
        <v>34</v>
      </c>
      <c r="C20" s="17" t="str">
        <f>IFERROR(VLOOKUP(B20,'MASTER DATA'!$A$1:$E$212,2,FALSE),"")</f>
        <v>BB-100023</v>
      </c>
      <c r="D20" s="17" t="str">
        <f>IFERROR(VLOOKUP(B20,'MASTER DATA'!$A$1:$E$212,5,FALSE),"")</f>
        <v>BAHAN BAKU LUUCA</v>
      </c>
      <c r="E20" s="44">
        <v>360.0</v>
      </c>
      <c r="F20" s="17" t="str">
        <f>IFERROR(VLOOKUP(B20,'MASTER DATA'!$A$1:$E$212,4,FALSE),"")</f>
        <v>GR</v>
      </c>
      <c r="G20" s="18" t="s">
        <v>703</v>
      </c>
      <c r="H20" s="18" t="s">
        <v>615</v>
      </c>
      <c r="I20" s="18" t="s">
        <v>1034</v>
      </c>
      <c r="J20" s="18" t="b">
        <v>1</v>
      </c>
    </row>
    <row r="21" hidden="1">
      <c r="A21" s="17"/>
      <c r="B21" s="18" t="s">
        <v>53</v>
      </c>
      <c r="C21" s="17" t="str">
        <f>IFERROR(VLOOKUP(B21,'MASTER DATA'!$A$1:$E$212,2,FALSE),"")</f>
        <v>BB-100502</v>
      </c>
      <c r="D21" s="17" t="str">
        <f>IFERROR(VLOOKUP(B21,'MASTER DATA'!$A$1:$E$212,5,FALSE),"")</f>
        <v>BAHAN BAKU LUUCA</v>
      </c>
      <c r="E21" s="44">
        <v>40.0</v>
      </c>
      <c r="F21" s="17" t="str">
        <f>IFERROR(VLOOKUP(B21,'MASTER DATA'!$A$1:$E$212,4,FALSE),"")</f>
        <v>GR</v>
      </c>
      <c r="G21" s="18" t="s">
        <v>793</v>
      </c>
      <c r="H21" s="18" t="s">
        <v>615</v>
      </c>
      <c r="I21" s="18" t="s">
        <v>1034</v>
      </c>
      <c r="J21" s="18" t="b">
        <v>1</v>
      </c>
    </row>
    <row r="22" hidden="1">
      <c r="A22" s="17"/>
      <c r="B22" s="18" t="s">
        <v>34</v>
      </c>
      <c r="C22" s="17" t="str">
        <f>IFERROR(VLOOKUP(B22,'MASTER DATA'!$A$1:$E$212,2,FALSE),"")</f>
        <v>BB-100023</v>
      </c>
      <c r="D22" s="17" t="str">
        <f>IFERROR(VLOOKUP(B22,'MASTER DATA'!$A$1:$E$212,5,FALSE),"")</f>
        <v>BAHAN BAKU LUUCA</v>
      </c>
      <c r="E22" s="44" t="s">
        <v>1044</v>
      </c>
      <c r="F22" s="17" t="str">
        <f>IFERROR(VLOOKUP(B22,'MASTER DATA'!$A$1:$E$212,4,FALSE),"")</f>
        <v>GR</v>
      </c>
      <c r="G22" s="18" t="s">
        <v>703</v>
      </c>
      <c r="H22" s="18" t="s">
        <v>615</v>
      </c>
      <c r="I22" s="18" t="s">
        <v>1034</v>
      </c>
      <c r="J22" s="18" t="b">
        <v>1</v>
      </c>
    </row>
    <row r="23" hidden="1">
      <c r="A23" s="17"/>
      <c r="B23" s="18" t="s">
        <v>53</v>
      </c>
      <c r="C23" s="17" t="str">
        <f>IFERROR(VLOOKUP(B23,'MASTER DATA'!$A$1:$E$212,2,FALSE),"")</f>
        <v>BB-100502</v>
      </c>
      <c r="D23" s="17" t="str">
        <f>IFERROR(VLOOKUP(B23,'MASTER DATA'!$A$1:$E$212,5,FALSE),"")</f>
        <v>BAHAN BAKU LUUCA</v>
      </c>
      <c r="E23" s="44" t="s">
        <v>907</v>
      </c>
      <c r="F23" s="17" t="str">
        <f>IFERROR(VLOOKUP(B23,'MASTER DATA'!$A$1:$E$212,4,FALSE),"")</f>
        <v>GR</v>
      </c>
      <c r="G23" s="18" t="s">
        <v>793</v>
      </c>
      <c r="H23" s="18" t="s">
        <v>615</v>
      </c>
      <c r="I23" s="18" t="s">
        <v>1034</v>
      </c>
      <c r="J23" s="18" t="b">
        <v>1</v>
      </c>
    </row>
    <row r="24" hidden="1">
      <c r="A24" s="17"/>
      <c r="B24" s="18" t="s">
        <v>34</v>
      </c>
      <c r="C24" s="17" t="str">
        <f>IFERROR(VLOOKUP(B24,'MASTER DATA'!$A$1:$E$212,2,FALSE),"")</f>
        <v>BB-100023</v>
      </c>
      <c r="D24" s="17" t="str">
        <f>IFERROR(VLOOKUP(B24,'MASTER DATA'!$A$1:$E$212,5,FALSE),"")</f>
        <v>BAHAN BAKU LUUCA</v>
      </c>
      <c r="E24" s="44" t="s">
        <v>1045</v>
      </c>
      <c r="F24" s="17" t="str">
        <f>IFERROR(VLOOKUP(B24,'MASTER DATA'!$A$1:$E$212,4,FALSE),"")</f>
        <v>GR</v>
      </c>
      <c r="G24" s="18" t="s">
        <v>703</v>
      </c>
      <c r="H24" s="18" t="s">
        <v>595</v>
      </c>
      <c r="I24" s="18" t="s">
        <v>1034</v>
      </c>
      <c r="J24" s="18" t="b">
        <v>1</v>
      </c>
    </row>
    <row r="25" hidden="1">
      <c r="A25" s="17"/>
      <c r="B25" s="18" t="s">
        <v>53</v>
      </c>
      <c r="C25" s="17" t="str">
        <f>IFERROR(VLOOKUP(B25,'MASTER DATA'!$A$1:$E$212,2,FALSE),"")</f>
        <v>BB-100502</v>
      </c>
      <c r="D25" s="17" t="str">
        <f>IFERROR(VLOOKUP(B25,'MASTER DATA'!$A$1:$E$212,5,FALSE),"")</f>
        <v>BAHAN BAKU LUUCA</v>
      </c>
      <c r="E25" s="44">
        <f>55.3+42</f>
        <v>97.3</v>
      </c>
      <c r="F25" s="17" t="str">
        <f>IFERROR(VLOOKUP(B25,'MASTER DATA'!$A$1:$E$212,4,FALSE),"")</f>
        <v>GR</v>
      </c>
      <c r="G25" s="18" t="s">
        <v>793</v>
      </c>
      <c r="H25" s="18" t="s">
        <v>522</v>
      </c>
      <c r="I25" s="18" t="s">
        <v>1034</v>
      </c>
      <c r="J25" s="18" t="b">
        <v>1</v>
      </c>
    </row>
    <row r="26" hidden="1">
      <c r="A26" s="17"/>
      <c r="B26" s="18" t="s">
        <v>108</v>
      </c>
      <c r="C26" s="17" t="str">
        <f>IFERROR(VLOOKUP(B26,'MASTER DATA'!$A$1:$E$212,2,FALSE),"")</f>
        <v>BB-100500</v>
      </c>
      <c r="D26" s="17" t="str">
        <f>IFERROR(VLOOKUP(B26,'MASTER DATA'!$A$1:$E$212,5,FALSE),"")</f>
        <v>BAHAN BAKU LUUCA</v>
      </c>
      <c r="E26" s="44" t="s">
        <v>1046</v>
      </c>
      <c r="F26" s="17" t="str">
        <f>IFERROR(VLOOKUP(B26,'MASTER DATA'!$A$1:$E$212,4,FALSE),"")</f>
        <v>GR</v>
      </c>
      <c r="G26" s="18" t="s">
        <v>792</v>
      </c>
      <c r="H26" s="18" t="s">
        <v>522</v>
      </c>
      <c r="I26" s="18" t="s">
        <v>1034</v>
      </c>
      <c r="J26" s="18" t="b">
        <v>1</v>
      </c>
    </row>
    <row r="27" hidden="1">
      <c r="A27" s="36">
        <v>46208.0</v>
      </c>
      <c r="B27" s="18" t="s">
        <v>108</v>
      </c>
      <c r="C27" s="17" t="str">
        <f>IFERROR(VLOOKUP(B27,'MASTER DATA'!$A$1:$E$212,2,FALSE),"")</f>
        <v>BB-100500</v>
      </c>
      <c r="D27" s="17" t="str">
        <f>IFERROR(VLOOKUP(B27,'MASTER DATA'!$A$1:$E$212,5,FALSE),"")</f>
        <v>BAHAN BAKU LUUCA</v>
      </c>
      <c r="E27" s="44" t="s">
        <v>1047</v>
      </c>
      <c r="F27" s="17" t="str">
        <f>IFERROR(VLOOKUP(B27,'MASTER DATA'!$A$1:$E$212,4,FALSE),"")</f>
        <v>GR</v>
      </c>
      <c r="G27" s="18" t="s">
        <v>792</v>
      </c>
      <c r="H27" s="18" t="s">
        <v>553</v>
      </c>
      <c r="I27" s="18" t="s">
        <v>1034</v>
      </c>
      <c r="J27" s="18" t="b">
        <v>1</v>
      </c>
    </row>
    <row r="28" hidden="1">
      <c r="A28" s="17"/>
      <c r="B28" s="18" t="s">
        <v>33</v>
      </c>
      <c r="C28" s="17" t="str">
        <f>IFERROR(VLOOKUP(B28,'MASTER DATA'!$A$1:$E$212,2,FALSE),"")</f>
        <v>BB-100022</v>
      </c>
      <c r="D28" s="17" t="str">
        <f>IFERROR(VLOOKUP(B28,'MASTER DATA'!$A$1:$E$212,5,FALSE),"")</f>
        <v>BAHAN BAKU LUUCA</v>
      </c>
      <c r="E28" s="44">
        <v>523.0</v>
      </c>
      <c r="F28" s="17" t="str">
        <f>IFERROR(VLOOKUP(B28,'MASTER DATA'!$A$1:$E$212,4,FALSE),"")</f>
        <v>GR</v>
      </c>
      <c r="G28" s="18" t="s">
        <v>703</v>
      </c>
      <c r="H28" s="18" t="s">
        <v>522</v>
      </c>
      <c r="I28" s="18" t="s">
        <v>1034</v>
      </c>
      <c r="J28" s="18" t="b">
        <v>1</v>
      </c>
    </row>
    <row r="29" hidden="1">
      <c r="A29" s="17"/>
      <c r="B29" s="18" t="s">
        <v>109</v>
      </c>
      <c r="C29" s="17" t="str">
        <f>IFERROR(VLOOKUP(B29,'MASTER DATA'!$A$1:$E$212,2,FALSE),"")</f>
        <v>BB-100501</v>
      </c>
      <c r="D29" s="17" t="str">
        <f>IFERROR(VLOOKUP(B29,'MASTER DATA'!$A$1:$E$212,5,FALSE),"")</f>
        <v>BAHAN BAKU LUUCA</v>
      </c>
      <c r="E29" s="44" t="s">
        <v>870</v>
      </c>
      <c r="F29" s="17" t="str">
        <f>IFERROR(VLOOKUP(B29,'MASTER DATA'!$A$1:$E$212,4,FALSE),"")</f>
        <v>GR</v>
      </c>
      <c r="G29" s="18" t="s">
        <v>1039</v>
      </c>
      <c r="H29" s="18" t="s">
        <v>522</v>
      </c>
      <c r="I29" s="18" t="s">
        <v>1034</v>
      </c>
      <c r="J29" s="18" t="b">
        <v>1</v>
      </c>
    </row>
    <row r="30" hidden="1">
      <c r="A30" s="17"/>
      <c r="B30" s="18" t="s">
        <v>109</v>
      </c>
      <c r="C30" s="17" t="str">
        <f>IFERROR(VLOOKUP(B30,'MASTER DATA'!$A$1:$E$212,2,FALSE),"")</f>
        <v>BB-100501</v>
      </c>
      <c r="D30" s="17" t="str">
        <f>IFERROR(VLOOKUP(B30,'MASTER DATA'!$A$1:$E$212,5,FALSE),"")</f>
        <v>BAHAN BAKU LUUCA</v>
      </c>
      <c r="E30" s="44" t="s">
        <v>1048</v>
      </c>
      <c r="F30" s="17" t="str">
        <f>IFERROR(VLOOKUP(B30,'MASTER DATA'!$A$1:$E$212,4,FALSE),"")</f>
        <v>GR</v>
      </c>
      <c r="G30" s="18" t="s">
        <v>496</v>
      </c>
      <c r="H30" s="18" t="s">
        <v>522</v>
      </c>
      <c r="I30" s="18" t="s">
        <v>1041</v>
      </c>
      <c r="J30" s="18" t="b">
        <v>1</v>
      </c>
    </row>
    <row r="31" hidden="1">
      <c r="A31" s="17"/>
      <c r="B31" s="18" t="s">
        <v>108</v>
      </c>
      <c r="C31" s="17" t="str">
        <f>IFERROR(VLOOKUP(B31,'MASTER DATA'!$A$1:$E$212,2,FALSE),"")</f>
        <v>BB-100500</v>
      </c>
      <c r="D31" s="17" t="str">
        <f>IFERROR(VLOOKUP(B31,'MASTER DATA'!$A$1:$E$212,5,FALSE),"")</f>
        <v>BAHAN BAKU LUUCA</v>
      </c>
      <c r="E31" s="44" t="s">
        <v>1049</v>
      </c>
      <c r="F31" s="17" t="str">
        <f>IFERROR(VLOOKUP(B31,'MASTER DATA'!$A$1:$E$212,4,FALSE),"")</f>
        <v>GR</v>
      </c>
      <c r="G31" s="18" t="s">
        <v>496</v>
      </c>
      <c r="H31" s="18" t="s">
        <v>522</v>
      </c>
      <c r="I31" s="18" t="s">
        <v>1041</v>
      </c>
      <c r="J31" s="18" t="b">
        <v>1</v>
      </c>
    </row>
    <row r="32" hidden="1">
      <c r="A32" s="17"/>
      <c r="B32" s="18" t="s">
        <v>510</v>
      </c>
      <c r="C32" s="17" t="str">
        <f>IFERROR(VLOOKUP(B32,'MASTER DATA'!$A$1:$E$212,2,FALSE),"")</f>
        <v>P006-009</v>
      </c>
      <c r="D32" s="17" t="str">
        <f>IFERROR(VLOOKUP(B32,'MASTER DATA'!$A$1:$E$212,5,FALSE),"")</f>
        <v>PRODUKSI STOK LUUCA</v>
      </c>
      <c r="E32" s="44" t="s">
        <v>1050</v>
      </c>
      <c r="F32" s="17" t="str">
        <f>IFERROR(VLOOKUP(B32,'MASTER DATA'!$A$1:$E$212,4,FALSE),"")</f>
        <v>GR</v>
      </c>
      <c r="G32" s="18" t="s">
        <v>1051</v>
      </c>
      <c r="H32" s="18" t="s">
        <v>522</v>
      </c>
      <c r="I32" s="18" t="s">
        <v>1041</v>
      </c>
      <c r="J32" s="18" t="b">
        <v>1</v>
      </c>
    </row>
    <row r="33" hidden="1">
      <c r="A33" s="36">
        <v>46209.0</v>
      </c>
      <c r="B33" s="18" t="s">
        <v>34</v>
      </c>
      <c r="C33" s="17" t="str">
        <f>IFERROR(VLOOKUP(B33,'MASTER DATA'!$A$1:$E$212,2,FALSE),"")</f>
        <v>BB-100023</v>
      </c>
      <c r="D33" s="17" t="str">
        <f>IFERROR(VLOOKUP(B33,'MASTER DATA'!$A$1:$E$212,5,FALSE),"")</f>
        <v>BAHAN BAKU LUUCA</v>
      </c>
      <c r="E33" s="44" t="s">
        <v>1052</v>
      </c>
      <c r="F33" s="17" t="str">
        <f>IFERROR(VLOOKUP(B33,'MASTER DATA'!$A$1:$E$212,4,FALSE),"")</f>
        <v>GR</v>
      </c>
      <c r="G33" s="18" t="s">
        <v>703</v>
      </c>
      <c r="H33" s="18" t="s">
        <v>522</v>
      </c>
      <c r="I33" s="18" t="s">
        <v>1034</v>
      </c>
      <c r="J33" s="18" t="b">
        <v>1</v>
      </c>
    </row>
    <row r="34" hidden="1">
      <c r="A34" s="17"/>
      <c r="B34" s="18" t="s">
        <v>33</v>
      </c>
      <c r="C34" s="17" t="str">
        <f>IFERROR(VLOOKUP(B34,'MASTER DATA'!$A$1:$E$212,2,FALSE),"")</f>
        <v>BB-100022</v>
      </c>
      <c r="D34" s="17" t="str">
        <f>IFERROR(VLOOKUP(B34,'MASTER DATA'!$A$1:$E$212,5,FALSE),"")</f>
        <v>BAHAN BAKU LUUCA</v>
      </c>
      <c r="E34" s="44" t="s">
        <v>1053</v>
      </c>
      <c r="F34" s="17" t="str">
        <f>IFERROR(VLOOKUP(B34,'MASTER DATA'!$A$1:$E$212,4,FALSE),"")</f>
        <v>GR</v>
      </c>
      <c r="G34" s="18" t="s">
        <v>703</v>
      </c>
      <c r="H34" s="18" t="s">
        <v>522</v>
      </c>
      <c r="I34" s="18" t="s">
        <v>1034</v>
      </c>
      <c r="J34" s="18" t="b">
        <v>1</v>
      </c>
    </row>
    <row r="35" hidden="1">
      <c r="A35" s="17"/>
      <c r="B35" s="18" t="s">
        <v>53</v>
      </c>
      <c r="C35" s="17" t="str">
        <f>IFERROR(VLOOKUP(B35,'MASTER DATA'!$A$1:$E$212,2,FALSE),"")</f>
        <v>BB-100502</v>
      </c>
      <c r="D35" s="17" t="str">
        <f>IFERROR(VLOOKUP(B35,'MASTER DATA'!$A$1:$E$212,5,FALSE),"")</f>
        <v>BAHAN BAKU LUUCA</v>
      </c>
      <c r="E35" s="44" t="s">
        <v>1054</v>
      </c>
      <c r="F35" s="17" t="str">
        <f>IFERROR(VLOOKUP(B35,'MASTER DATA'!$A$1:$E$212,4,FALSE),"")</f>
        <v>GR</v>
      </c>
      <c r="G35" s="18" t="s">
        <v>793</v>
      </c>
      <c r="H35" s="18" t="s">
        <v>522</v>
      </c>
      <c r="I35" s="18" t="s">
        <v>1034</v>
      </c>
      <c r="J35" s="18" t="b">
        <v>1</v>
      </c>
    </row>
    <row r="36" hidden="1">
      <c r="A36" s="17"/>
      <c r="B36" s="18" t="s">
        <v>108</v>
      </c>
      <c r="C36" s="17" t="str">
        <f>IFERROR(VLOOKUP(B36,'MASTER DATA'!$A$1:$E$212,2,FALSE),"")</f>
        <v>BB-100500</v>
      </c>
      <c r="D36" s="17" t="str">
        <f>IFERROR(VLOOKUP(B36,'MASTER DATA'!$A$1:$E$212,5,FALSE),"")</f>
        <v>BAHAN BAKU LUUCA</v>
      </c>
      <c r="E36" s="44" t="s">
        <v>894</v>
      </c>
      <c r="F36" s="17" t="str">
        <f>IFERROR(VLOOKUP(B36,'MASTER DATA'!$A$1:$E$212,4,FALSE),"")</f>
        <v>GR</v>
      </c>
      <c r="G36" s="18" t="s">
        <v>792</v>
      </c>
      <c r="H36" s="18" t="s">
        <v>553</v>
      </c>
      <c r="I36" s="18" t="s">
        <v>1034</v>
      </c>
      <c r="J36" s="18" t="b">
        <v>1</v>
      </c>
    </row>
    <row r="37" hidden="1">
      <c r="A37" s="17"/>
      <c r="B37" s="18" t="s">
        <v>34</v>
      </c>
      <c r="C37" s="17" t="str">
        <f>IFERROR(VLOOKUP(B37,'MASTER DATA'!$A$1:$E$212,2,FALSE),"")</f>
        <v>BB-100023</v>
      </c>
      <c r="D37" s="17" t="str">
        <f>IFERROR(VLOOKUP(B37,'MASTER DATA'!$A$1:$E$212,5,FALSE),"")</f>
        <v>BAHAN BAKU LUUCA</v>
      </c>
      <c r="E37" s="44" t="s">
        <v>1055</v>
      </c>
      <c r="F37" s="17" t="str">
        <f>IFERROR(VLOOKUP(B37,'MASTER DATA'!$A$1:$E$212,4,FALSE),"")</f>
        <v>GR</v>
      </c>
      <c r="G37" s="18" t="s">
        <v>703</v>
      </c>
      <c r="H37" s="18" t="s">
        <v>553</v>
      </c>
      <c r="I37" s="18" t="s">
        <v>1034</v>
      </c>
      <c r="J37" s="18" t="b">
        <v>1</v>
      </c>
    </row>
    <row r="38" hidden="1">
      <c r="A38" s="17"/>
      <c r="B38" s="18" t="s">
        <v>108</v>
      </c>
      <c r="C38" s="17" t="str">
        <f>IFERROR(VLOOKUP(B38,'MASTER DATA'!$A$1:$E$212,2,FALSE),"")</f>
        <v>BB-100500</v>
      </c>
      <c r="D38" s="17" t="str">
        <f>IFERROR(VLOOKUP(B38,'MASTER DATA'!$A$1:$E$212,5,FALSE),"")</f>
        <v>BAHAN BAKU LUUCA</v>
      </c>
      <c r="E38" s="44">
        <v>10.5</v>
      </c>
      <c r="F38" s="17" t="str">
        <f>IFERROR(VLOOKUP(B38,'MASTER DATA'!$A$1:$E$212,4,FALSE),"")</f>
        <v>GR</v>
      </c>
      <c r="G38" s="18" t="s">
        <v>792</v>
      </c>
      <c r="H38" s="18" t="s">
        <v>1016</v>
      </c>
      <c r="I38" s="18" t="s">
        <v>1034</v>
      </c>
      <c r="J38" s="18" t="b">
        <v>1</v>
      </c>
    </row>
    <row r="39" hidden="1">
      <c r="A39" s="17"/>
      <c r="B39" s="18" t="s">
        <v>108</v>
      </c>
      <c r="C39" s="17" t="str">
        <f>IFERROR(VLOOKUP(B39,'MASTER DATA'!$A$1:$E$212,2,FALSE),"")</f>
        <v>BB-100500</v>
      </c>
      <c r="D39" s="17" t="str">
        <f>IFERROR(VLOOKUP(B39,'MASTER DATA'!$A$1:$E$212,5,FALSE),"")</f>
        <v>BAHAN BAKU LUUCA</v>
      </c>
      <c r="E39" s="44">
        <v>3.6</v>
      </c>
      <c r="F39" s="17" t="str">
        <f>IFERROR(VLOOKUP(B39,'MASTER DATA'!$A$1:$E$212,4,FALSE),"")</f>
        <v>GR</v>
      </c>
      <c r="G39" s="18" t="s">
        <v>496</v>
      </c>
      <c r="H39" s="18" t="s">
        <v>1016</v>
      </c>
      <c r="I39" s="18" t="s">
        <v>1041</v>
      </c>
      <c r="J39" s="18" t="b">
        <v>1</v>
      </c>
    </row>
    <row r="40" hidden="1">
      <c r="A40" s="36">
        <v>46210.0</v>
      </c>
      <c r="B40" s="18" t="s">
        <v>34</v>
      </c>
      <c r="C40" s="17" t="str">
        <f>IFERROR(VLOOKUP(B40,'MASTER DATA'!$A$1:$E$212,2,FALSE),"")</f>
        <v>BB-100023</v>
      </c>
      <c r="D40" s="17" t="str">
        <f>IFERROR(VLOOKUP(B40,'MASTER DATA'!$A$1:$E$212,5,FALSE),"")</f>
        <v>BAHAN BAKU LUUCA</v>
      </c>
      <c r="E40" s="44" t="s">
        <v>1056</v>
      </c>
      <c r="F40" s="17" t="str">
        <f>IFERROR(VLOOKUP(B40,'MASTER DATA'!$A$1:$E$212,4,FALSE),"")</f>
        <v>GR</v>
      </c>
      <c r="G40" s="18" t="s">
        <v>703</v>
      </c>
      <c r="H40" s="18" t="s">
        <v>561</v>
      </c>
      <c r="I40" s="18" t="s">
        <v>1034</v>
      </c>
      <c r="J40" s="18" t="b">
        <v>1</v>
      </c>
    </row>
    <row r="41">
      <c r="A41" s="17"/>
      <c r="B41" s="18" t="s">
        <v>36</v>
      </c>
      <c r="C41" s="17" t="str">
        <f>IFERROR(VLOOKUP(B41,'MASTER DATA'!$A$1:$E$212,2,FALSE),"")</f>
        <v>BB-100024</v>
      </c>
      <c r="D41" s="17" t="str">
        <f>IFERROR(VLOOKUP(B41,'MASTER DATA'!$A$1:$E$212,5,FALSE),"")</f>
        <v>PRODUKSI STOK LUUCA</v>
      </c>
      <c r="E41" s="44">
        <v>2.0</v>
      </c>
      <c r="F41" s="17" t="str">
        <f>IFERROR(VLOOKUP(B41,'MASTER DATA'!$A$1:$E$212,4,FALSE),"")</f>
        <v>PCS</v>
      </c>
      <c r="G41" s="18" t="s">
        <v>293</v>
      </c>
      <c r="H41" s="18" t="s">
        <v>561</v>
      </c>
      <c r="I41" s="18" t="s">
        <v>293</v>
      </c>
      <c r="J41" s="18" t="b">
        <v>1</v>
      </c>
    </row>
    <row r="42">
      <c r="A42" s="17"/>
      <c r="B42" s="18" t="s">
        <v>38</v>
      </c>
      <c r="C42" s="17" t="str">
        <f>IFERROR(VLOOKUP(B42,'MASTER DATA'!$A$1:$E$212,2,FALSE),"")</f>
        <v>BB-100025</v>
      </c>
      <c r="D42" s="17" t="str">
        <f>IFERROR(VLOOKUP(B42,'MASTER DATA'!$A$1:$E$212,5,FALSE),"")</f>
        <v>PRODUKSI STOK LUUCA</v>
      </c>
      <c r="E42" s="44">
        <v>2.0</v>
      </c>
      <c r="F42" s="17" t="str">
        <f>IFERROR(VLOOKUP(B42,'MASTER DATA'!$A$1:$E$212,4,FALSE),"")</f>
        <v>PCS</v>
      </c>
      <c r="G42" s="18" t="s">
        <v>293</v>
      </c>
      <c r="H42" s="18" t="s">
        <v>561</v>
      </c>
      <c r="I42" s="18" t="s">
        <v>293</v>
      </c>
      <c r="J42" s="18" t="b">
        <v>1</v>
      </c>
    </row>
    <row r="43" hidden="1">
      <c r="A43" s="17"/>
      <c r="B43" s="18" t="s">
        <v>53</v>
      </c>
      <c r="C43" s="17" t="str">
        <f>IFERROR(VLOOKUP(B43,'MASTER DATA'!$A$1:$E$212,2,FALSE),"")</f>
        <v>BB-100502</v>
      </c>
      <c r="D43" s="17" t="str">
        <f>IFERROR(VLOOKUP(B43,'MASTER DATA'!$A$1:$E$212,5,FALSE),"")</f>
        <v>BAHAN BAKU LUUCA</v>
      </c>
      <c r="E43" s="44" t="s">
        <v>1057</v>
      </c>
      <c r="F43" s="17" t="str">
        <f>IFERROR(VLOOKUP(B43,'MASTER DATA'!$A$1:$E$212,4,FALSE),"")</f>
        <v>GR</v>
      </c>
      <c r="G43" s="18" t="s">
        <v>793</v>
      </c>
      <c r="H43" s="18" t="s">
        <v>561</v>
      </c>
      <c r="I43" s="18" t="s">
        <v>1034</v>
      </c>
      <c r="J43" s="18" t="b">
        <v>1</v>
      </c>
    </row>
    <row r="44" hidden="1">
      <c r="A44" s="17"/>
      <c r="B44" s="18" t="s">
        <v>108</v>
      </c>
      <c r="C44" s="17" t="str">
        <f>IFERROR(VLOOKUP(B44,'MASTER DATA'!$A$1:$E$212,2,FALSE),"")</f>
        <v>BB-100500</v>
      </c>
      <c r="D44" s="17" t="str">
        <f>IFERROR(VLOOKUP(B44,'MASTER DATA'!$A$1:$E$212,5,FALSE),"")</f>
        <v>BAHAN BAKU LUUCA</v>
      </c>
      <c r="E44" s="44" t="s">
        <v>590</v>
      </c>
      <c r="F44" s="17" t="str">
        <f>IFERROR(VLOOKUP(B44,'MASTER DATA'!$A$1:$E$212,4,FALSE),"")</f>
        <v>GR</v>
      </c>
      <c r="G44" s="18" t="s">
        <v>792</v>
      </c>
      <c r="H44" s="18" t="s">
        <v>561</v>
      </c>
      <c r="I44" s="18" t="s">
        <v>1034</v>
      </c>
      <c r="J44" s="18" t="b">
        <v>1</v>
      </c>
    </row>
    <row r="45" hidden="1">
      <c r="A45" s="36">
        <v>46211.0</v>
      </c>
      <c r="B45" s="18" t="s">
        <v>53</v>
      </c>
      <c r="C45" s="17" t="str">
        <f>IFERROR(VLOOKUP(B45,'MASTER DATA'!$A$1:$E$212,2,FALSE),"")</f>
        <v>BB-100502</v>
      </c>
      <c r="D45" s="17" t="str">
        <f>IFERROR(VLOOKUP(B45,'MASTER DATA'!$A$1:$E$212,5,FALSE),"")</f>
        <v>BAHAN BAKU LUUCA</v>
      </c>
      <c r="E45" s="44">
        <v>22.0</v>
      </c>
      <c r="F45" s="17" t="str">
        <f>IFERROR(VLOOKUP(B45,'MASTER DATA'!$A$1:$E$212,4,FALSE),"")</f>
        <v>GR</v>
      </c>
      <c r="G45" s="18" t="s">
        <v>496</v>
      </c>
      <c r="H45" s="18" t="s">
        <v>1058</v>
      </c>
      <c r="I45" s="18" t="s">
        <v>1041</v>
      </c>
      <c r="J45" s="18" t="b">
        <v>1</v>
      </c>
    </row>
    <row r="46" hidden="1">
      <c r="A46" s="36">
        <v>46212.0</v>
      </c>
      <c r="B46" s="18" t="s">
        <v>53</v>
      </c>
      <c r="C46" s="17" t="str">
        <f>IFERROR(VLOOKUP(B46,'MASTER DATA'!$A$1:$E$212,2,FALSE),"")</f>
        <v>BB-100502</v>
      </c>
      <c r="D46" s="17" t="str">
        <f>IFERROR(VLOOKUP(B46,'MASTER DATA'!$A$1:$E$212,5,FALSE),"")</f>
        <v>BAHAN BAKU LUUCA</v>
      </c>
      <c r="E46" s="44" t="s">
        <v>1059</v>
      </c>
      <c r="F46" s="17" t="str">
        <f>IFERROR(VLOOKUP(B46,'MASTER DATA'!$A$1:$E$212,4,FALSE),"")</f>
        <v>GR</v>
      </c>
      <c r="G46" s="18" t="s">
        <v>793</v>
      </c>
      <c r="H46" s="18" t="s">
        <v>561</v>
      </c>
      <c r="I46" s="18" t="s">
        <v>1034</v>
      </c>
      <c r="J46" s="18" t="b">
        <v>1</v>
      </c>
    </row>
    <row r="47" hidden="1">
      <c r="A47" s="17"/>
      <c r="B47" s="18" t="s">
        <v>108</v>
      </c>
      <c r="C47" s="17" t="str">
        <f>IFERROR(VLOOKUP(B47,'MASTER DATA'!$A$1:$E$212,2,FALSE),"")</f>
        <v>BB-100500</v>
      </c>
      <c r="D47" s="17" t="str">
        <f>IFERROR(VLOOKUP(B47,'MASTER DATA'!$A$1:$E$212,5,FALSE),"")</f>
        <v>BAHAN BAKU LUUCA</v>
      </c>
      <c r="E47" s="44" t="s">
        <v>1060</v>
      </c>
      <c r="F47" s="17" t="str">
        <f>IFERROR(VLOOKUP(B47,'MASTER DATA'!$A$1:$E$212,4,FALSE),"")</f>
        <v>GR</v>
      </c>
      <c r="G47" s="18" t="s">
        <v>792</v>
      </c>
      <c r="H47" s="18" t="s">
        <v>561</v>
      </c>
      <c r="I47" s="18" t="s">
        <v>1034</v>
      </c>
      <c r="J47" s="18" t="b">
        <v>1</v>
      </c>
    </row>
    <row r="48" hidden="1">
      <c r="A48" s="17"/>
      <c r="B48" s="18" t="s">
        <v>107</v>
      </c>
      <c r="C48" s="17" t="str">
        <f>IFERROR(VLOOKUP(B48,'MASTER DATA'!$A$1:$E$212,2,FALSE),"")</f>
        <v>BB-100400</v>
      </c>
      <c r="D48" s="17" t="str">
        <f>IFERROR(VLOOKUP(B48,'MASTER DATA'!$A$1:$E$212,5,FALSE),"")</f>
        <v>BAHAN BAKU LUUCA</v>
      </c>
      <c r="E48" s="44">
        <v>18.0</v>
      </c>
      <c r="F48" s="17" t="str">
        <f>IFERROR(VLOOKUP(B48,'MASTER DATA'!$A$1:$E$212,4,FALSE),"")</f>
        <v>GR</v>
      </c>
      <c r="G48" s="18" t="s">
        <v>1061</v>
      </c>
      <c r="H48" s="18" t="s">
        <v>553</v>
      </c>
      <c r="I48" s="18" t="s">
        <v>1062</v>
      </c>
      <c r="J48" s="18" t="b">
        <v>1</v>
      </c>
    </row>
    <row r="49" hidden="1">
      <c r="A49" s="17"/>
      <c r="B49" s="18" t="s">
        <v>108</v>
      </c>
      <c r="C49" s="17" t="str">
        <f>IFERROR(VLOOKUP(B49,'MASTER DATA'!$A$1:$E$212,2,FALSE),"")</f>
        <v>BB-100500</v>
      </c>
      <c r="D49" s="17" t="str">
        <f>IFERROR(VLOOKUP(B49,'MASTER DATA'!$A$1:$E$212,5,FALSE),"")</f>
        <v>BAHAN BAKU LUUCA</v>
      </c>
      <c r="E49" s="44" t="s">
        <v>1063</v>
      </c>
      <c r="F49" s="17" t="str">
        <f>IFERROR(VLOOKUP(B49,'MASTER DATA'!$A$1:$E$212,4,FALSE),"")</f>
        <v>GR</v>
      </c>
      <c r="G49" s="18" t="s">
        <v>792</v>
      </c>
      <c r="H49" s="18" t="s">
        <v>1058</v>
      </c>
      <c r="I49" s="18" t="s">
        <v>1034</v>
      </c>
      <c r="J49" s="18" t="b">
        <v>1</v>
      </c>
    </row>
    <row r="50" hidden="1">
      <c r="A50" s="17"/>
      <c r="B50" s="18" t="s">
        <v>34</v>
      </c>
      <c r="C50" s="17" t="str">
        <f>IFERROR(VLOOKUP(B50,'MASTER DATA'!$A$1:$E$212,2,FALSE),"")</f>
        <v>BB-100023</v>
      </c>
      <c r="D50" s="17" t="str">
        <f>IFERROR(VLOOKUP(B50,'MASTER DATA'!$A$1:$E$212,5,FALSE),"")</f>
        <v>BAHAN BAKU LUUCA</v>
      </c>
      <c r="E50" s="44" t="s">
        <v>1064</v>
      </c>
      <c r="F50" s="17" t="str">
        <f>IFERROR(VLOOKUP(B50,'MASTER DATA'!$A$1:$E$212,4,FALSE),"")</f>
        <v>GR</v>
      </c>
      <c r="G50" s="18" t="s">
        <v>703</v>
      </c>
      <c r="H50" s="18" t="s">
        <v>1058</v>
      </c>
      <c r="I50" s="18" t="s">
        <v>1034</v>
      </c>
      <c r="J50" s="18" t="b">
        <v>1</v>
      </c>
    </row>
    <row r="51" hidden="1">
      <c r="A51" s="17"/>
      <c r="B51" s="18" t="s">
        <v>33</v>
      </c>
      <c r="C51" s="17" t="str">
        <f>IFERROR(VLOOKUP(B51,'MASTER DATA'!$A$1:$E$212,2,FALSE),"")</f>
        <v>BB-100022</v>
      </c>
      <c r="D51" s="17" t="str">
        <f>IFERROR(VLOOKUP(B51,'MASTER DATA'!$A$1:$E$212,5,FALSE),"")</f>
        <v>BAHAN BAKU LUUCA</v>
      </c>
      <c r="E51" s="44" t="s">
        <v>1065</v>
      </c>
      <c r="F51" s="17" t="str">
        <f>IFERROR(VLOOKUP(B51,'MASTER DATA'!$A$1:$E$212,4,FALSE),"")</f>
        <v>GR</v>
      </c>
      <c r="G51" s="18" t="s">
        <v>703</v>
      </c>
      <c r="H51" s="18" t="s">
        <v>1058</v>
      </c>
      <c r="I51" s="18" t="s">
        <v>1034</v>
      </c>
      <c r="J51" s="18" t="b">
        <v>1</v>
      </c>
    </row>
    <row r="52" hidden="1">
      <c r="A52" s="17"/>
      <c r="B52" s="18" t="s">
        <v>181</v>
      </c>
      <c r="C52" s="17" t="str">
        <f>IFERROR(VLOOKUP(B52,'MASTER DATA'!$A$1:$E$212,2,FALSE),"")</f>
        <v>P006-004</v>
      </c>
      <c r="D52" s="17" t="str">
        <f>IFERROR(VLOOKUP(B52,'MASTER DATA'!$A$1:$E$212,5,FALSE),"")</f>
        <v>PRODUKSI STOK LUUCA</v>
      </c>
      <c r="E52" s="44">
        <v>1372.0</v>
      </c>
      <c r="F52" s="17" t="str">
        <f>IFERROR(VLOOKUP(B52,'MASTER DATA'!$A$1:$E$212,4,FALSE),"")</f>
        <v>GR</v>
      </c>
      <c r="G52" s="18" t="s">
        <v>1066</v>
      </c>
      <c r="H52" s="18" t="s">
        <v>522</v>
      </c>
      <c r="I52" s="18" t="s">
        <v>1041</v>
      </c>
      <c r="J52" s="18" t="b">
        <v>1</v>
      </c>
    </row>
    <row r="53" hidden="1">
      <c r="A53" s="36">
        <v>46213.0</v>
      </c>
      <c r="B53" s="18" t="s">
        <v>109</v>
      </c>
      <c r="C53" s="17" t="str">
        <f>IFERROR(VLOOKUP(B53,'MASTER DATA'!$A$1:$E$212,2,FALSE),"")</f>
        <v>BB-100501</v>
      </c>
      <c r="D53" s="17" t="str">
        <f>IFERROR(VLOOKUP(B53,'MASTER DATA'!$A$1:$E$212,5,FALSE),"")</f>
        <v>BAHAN BAKU LUUCA</v>
      </c>
      <c r="E53" s="44" t="s">
        <v>585</v>
      </c>
      <c r="F53" s="17" t="str">
        <f>IFERROR(VLOOKUP(B53,'MASTER DATA'!$A$1:$E$212,4,FALSE),"")</f>
        <v>GR</v>
      </c>
      <c r="G53" s="18" t="s">
        <v>826</v>
      </c>
      <c r="H53" s="18" t="s">
        <v>522</v>
      </c>
      <c r="I53" s="18" t="s">
        <v>1034</v>
      </c>
      <c r="J53" s="18" t="b">
        <v>1</v>
      </c>
    </row>
    <row r="54" hidden="1">
      <c r="A54" s="17"/>
      <c r="B54" s="18" t="s">
        <v>109</v>
      </c>
      <c r="C54" s="17" t="str">
        <f>IFERROR(VLOOKUP(B54,'MASTER DATA'!$A$1:$E$212,2,FALSE),"")</f>
        <v>BB-100501</v>
      </c>
      <c r="D54" s="17" t="str">
        <f>IFERROR(VLOOKUP(B54,'MASTER DATA'!$A$1:$E$212,5,FALSE),"")</f>
        <v>BAHAN BAKU LUUCA</v>
      </c>
      <c r="E54" s="44" t="s">
        <v>873</v>
      </c>
      <c r="F54" s="17" t="str">
        <f>IFERROR(VLOOKUP(B54,'MASTER DATA'!$A$1:$E$212,4,FALSE),"")</f>
        <v>GR</v>
      </c>
      <c r="G54" s="18" t="s">
        <v>819</v>
      </c>
      <c r="H54" s="18" t="s">
        <v>522</v>
      </c>
      <c r="I54" s="18" t="s">
        <v>1041</v>
      </c>
      <c r="J54" s="18" t="b">
        <v>1</v>
      </c>
    </row>
    <row r="55" hidden="1">
      <c r="A55" s="36">
        <v>46214.0</v>
      </c>
      <c r="B55" s="18" t="s">
        <v>53</v>
      </c>
      <c r="C55" s="17" t="str">
        <f>IFERROR(VLOOKUP(B55,'MASTER DATA'!$A$1:$E$212,2,FALSE),"")</f>
        <v>BB-100502</v>
      </c>
      <c r="D55" s="17" t="str">
        <f>IFERROR(VLOOKUP(B55,'MASTER DATA'!$A$1:$E$212,5,FALSE),"")</f>
        <v>BAHAN BAKU LUUCA</v>
      </c>
      <c r="E55" s="44">
        <v>65.0</v>
      </c>
      <c r="F55" s="17" t="str">
        <f>IFERROR(VLOOKUP(B55,'MASTER DATA'!$A$1:$E$212,4,FALSE),"")</f>
        <v>GR</v>
      </c>
      <c r="G55" s="18" t="s">
        <v>793</v>
      </c>
      <c r="H55" s="18" t="s">
        <v>595</v>
      </c>
      <c r="I55" s="18" t="s">
        <v>1034</v>
      </c>
      <c r="J55" s="18" t="b">
        <v>1</v>
      </c>
    </row>
    <row r="56" hidden="1">
      <c r="A56" s="17"/>
      <c r="B56" s="18" t="s">
        <v>34</v>
      </c>
      <c r="C56" s="17" t="str">
        <f>IFERROR(VLOOKUP(B56,'MASTER DATA'!$A$1:$E$212,2,FALSE),"")</f>
        <v>BB-100023</v>
      </c>
      <c r="D56" s="17" t="str">
        <f>IFERROR(VLOOKUP(B56,'MASTER DATA'!$A$1:$E$212,5,FALSE),"")</f>
        <v>BAHAN BAKU LUUCA</v>
      </c>
      <c r="E56" s="44" t="s">
        <v>1067</v>
      </c>
      <c r="F56" s="17" t="str">
        <f>IFERROR(VLOOKUP(B56,'MASTER DATA'!$A$1:$E$212,4,FALSE),"")</f>
        <v>GR</v>
      </c>
      <c r="G56" s="18" t="s">
        <v>703</v>
      </c>
      <c r="H56" s="18" t="s">
        <v>595</v>
      </c>
      <c r="I56" s="18" t="s">
        <v>1034</v>
      </c>
      <c r="J56" s="18" t="b">
        <v>1</v>
      </c>
    </row>
    <row r="57" hidden="1">
      <c r="A57" s="17"/>
      <c r="B57" s="18" t="s">
        <v>108</v>
      </c>
      <c r="C57" s="17" t="str">
        <f>IFERROR(VLOOKUP(B57,'MASTER DATA'!$A$1:$E$212,2,FALSE),"")</f>
        <v>BB-100500</v>
      </c>
      <c r="D57" s="17" t="str">
        <f>IFERROR(VLOOKUP(B57,'MASTER DATA'!$A$1:$E$212,5,FALSE),"")</f>
        <v>BAHAN BAKU LUUCA</v>
      </c>
      <c r="E57" s="44">
        <v>30.0</v>
      </c>
      <c r="F57" s="17" t="str">
        <f>IFERROR(VLOOKUP(B57,'MASTER DATA'!$A$1:$E$212,4,FALSE),"")</f>
        <v>GR</v>
      </c>
      <c r="G57" s="18" t="s">
        <v>793</v>
      </c>
      <c r="H57" s="18" t="s">
        <v>1068</v>
      </c>
      <c r="I57" s="18" t="s">
        <v>1034</v>
      </c>
      <c r="J57" s="18" t="b">
        <v>1</v>
      </c>
    </row>
    <row r="58" hidden="1">
      <c r="A58" s="17"/>
      <c r="B58" s="18" t="s">
        <v>34</v>
      </c>
      <c r="C58" s="17" t="str">
        <f>IFERROR(VLOOKUP(B58,'MASTER DATA'!$A$1:$E$212,2,FALSE),"")</f>
        <v>BB-100023</v>
      </c>
      <c r="D58" s="17" t="str">
        <f>IFERROR(VLOOKUP(B58,'MASTER DATA'!$A$1:$E$212,5,FALSE),"")</f>
        <v>BAHAN BAKU LUUCA</v>
      </c>
      <c r="E58" s="44" t="s">
        <v>1069</v>
      </c>
      <c r="F58" s="17" t="str">
        <f>IFERROR(VLOOKUP(B58,'MASTER DATA'!$A$1:$E$212,4,FALSE),"")</f>
        <v>GR</v>
      </c>
      <c r="G58" s="18" t="s">
        <v>703</v>
      </c>
      <c r="H58" s="18" t="s">
        <v>595</v>
      </c>
      <c r="I58" s="18" t="s">
        <v>1034</v>
      </c>
      <c r="J58" s="18" t="b">
        <v>1</v>
      </c>
    </row>
    <row r="59" hidden="1">
      <c r="A59" s="17"/>
      <c r="B59" s="18" t="s">
        <v>53</v>
      </c>
      <c r="C59" s="17" t="str">
        <f>IFERROR(VLOOKUP(B59,'MASTER DATA'!$A$1:$E$212,2,FALSE),"")</f>
        <v>BB-100502</v>
      </c>
      <c r="D59" s="17" t="str">
        <f>IFERROR(VLOOKUP(B59,'MASTER DATA'!$A$1:$E$212,5,FALSE),"")</f>
        <v>BAHAN BAKU LUUCA</v>
      </c>
      <c r="E59" s="44" t="s">
        <v>1070</v>
      </c>
      <c r="F59" s="17" t="str">
        <f>IFERROR(VLOOKUP(B59,'MASTER DATA'!$A$1:$E$212,4,FALSE),"")</f>
        <v>GR</v>
      </c>
      <c r="G59" s="18" t="s">
        <v>921</v>
      </c>
      <c r="H59" s="18" t="s">
        <v>1068</v>
      </c>
      <c r="I59" s="18" t="s">
        <v>1034</v>
      </c>
      <c r="J59" s="18" t="b">
        <v>1</v>
      </c>
    </row>
    <row r="60" hidden="1">
      <c r="A60" s="17"/>
      <c r="B60" s="18" t="s">
        <v>33</v>
      </c>
      <c r="C60" s="17" t="str">
        <f>IFERROR(VLOOKUP(B60,'MASTER DATA'!$A$1:$E$212,2,FALSE),"")</f>
        <v>BB-100022</v>
      </c>
      <c r="D60" s="17" t="str">
        <f>IFERROR(VLOOKUP(B60,'MASTER DATA'!$A$1:$E$212,5,FALSE),"")</f>
        <v>BAHAN BAKU LUUCA</v>
      </c>
      <c r="E60" s="44">
        <v>599.0</v>
      </c>
      <c r="F60" s="17" t="str">
        <f>IFERROR(VLOOKUP(B60,'MASTER DATA'!$A$1:$E$212,4,FALSE),"")</f>
        <v>GR</v>
      </c>
      <c r="G60" s="18" t="s">
        <v>703</v>
      </c>
      <c r="H60" s="18" t="s">
        <v>1071</v>
      </c>
      <c r="I60" s="18" t="s">
        <v>1034</v>
      </c>
      <c r="J60" s="18" t="b">
        <v>1</v>
      </c>
    </row>
    <row r="61" hidden="1">
      <c r="A61" s="36">
        <v>46215.0</v>
      </c>
      <c r="B61" s="18" t="s">
        <v>109</v>
      </c>
      <c r="C61" s="17" t="str">
        <f>IFERROR(VLOOKUP(B61,'MASTER DATA'!$A$1:$E$212,2,FALSE),"")</f>
        <v>BB-100501</v>
      </c>
      <c r="D61" s="17" t="str">
        <f>IFERROR(VLOOKUP(B61,'MASTER DATA'!$A$1:$E$212,5,FALSE),"")</f>
        <v>BAHAN BAKU LUUCA</v>
      </c>
      <c r="E61" s="44" t="s">
        <v>1072</v>
      </c>
      <c r="F61" s="17" t="str">
        <f>IFERROR(VLOOKUP(B61,'MASTER DATA'!$A$1:$E$212,4,FALSE),"")</f>
        <v>GR</v>
      </c>
      <c r="G61" s="18" t="s">
        <v>496</v>
      </c>
      <c r="H61" s="18" t="s">
        <v>522</v>
      </c>
      <c r="I61" s="18" t="s">
        <v>1041</v>
      </c>
      <c r="J61" s="18" t="b">
        <v>1</v>
      </c>
    </row>
    <row r="62" hidden="1">
      <c r="A62" s="17"/>
      <c r="B62" s="18" t="s">
        <v>108</v>
      </c>
      <c r="C62" s="17" t="str">
        <f>IFERROR(VLOOKUP(B62,'MASTER DATA'!$A$1:$E$212,2,FALSE),"")</f>
        <v>BB-100500</v>
      </c>
      <c r="D62" s="17" t="str">
        <f>IFERROR(VLOOKUP(B62,'MASTER DATA'!$A$1:$E$212,5,FALSE),"")</f>
        <v>BAHAN BAKU LUUCA</v>
      </c>
      <c r="E62" s="44" t="s">
        <v>1073</v>
      </c>
      <c r="F62" s="17" t="str">
        <f>IFERROR(VLOOKUP(B62,'MASTER DATA'!$A$1:$E$212,4,FALSE),"")</f>
        <v>GR</v>
      </c>
      <c r="G62" s="18" t="s">
        <v>819</v>
      </c>
      <c r="H62" s="18" t="s">
        <v>522</v>
      </c>
      <c r="I62" s="18" t="s">
        <v>1041</v>
      </c>
      <c r="J62" s="18" t="b">
        <v>1</v>
      </c>
    </row>
    <row r="63" hidden="1">
      <c r="A63" s="17"/>
      <c r="B63" s="18" t="s">
        <v>108</v>
      </c>
      <c r="C63" s="17" t="str">
        <f>IFERROR(VLOOKUP(B63,'MASTER DATA'!$A$1:$E$212,2,FALSE),"")</f>
        <v>BB-100500</v>
      </c>
      <c r="D63" s="17" t="str">
        <f>IFERROR(VLOOKUP(B63,'MASTER DATA'!$A$1:$E$212,5,FALSE),"")</f>
        <v>BAHAN BAKU LUUCA</v>
      </c>
      <c r="E63" s="44" t="s">
        <v>1074</v>
      </c>
      <c r="F63" s="17" t="str">
        <f>IFERROR(VLOOKUP(B63,'MASTER DATA'!$A$1:$E$212,4,FALSE),"")</f>
        <v>GR</v>
      </c>
      <c r="G63" s="18" t="s">
        <v>792</v>
      </c>
      <c r="H63" s="18" t="s">
        <v>522</v>
      </c>
      <c r="I63" s="18" t="s">
        <v>1034</v>
      </c>
      <c r="J63" s="18" t="b">
        <v>1</v>
      </c>
    </row>
    <row r="64" hidden="1">
      <c r="A64" s="17"/>
      <c r="B64" s="18" t="s">
        <v>33</v>
      </c>
      <c r="C64" s="17" t="str">
        <f>IFERROR(VLOOKUP(B64,'MASTER DATA'!$A$1:$E$212,2,FALSE),"")</f>
        <v>BB-100022</v>
      </c>
      <c r="D64" s="17" t="str">
        <f>IFERROR(VLOOKUP(B64,'MASTER DATA'!$A$1:$E$212,5,FALSE),"")</f>
        <v>BAHAN BAKU LUUCA</v>
      </c>
      <c r="E64" s="44" t="s">
        <v>966</v>
      </c>
      <c r="F64" s="17" t="str">
        <f>IFERROR(VLOOKUP(B64,'MASTER DATA'!$A$1:$E$212,4,FALSE),"")</f>
        <v>GR</v>
      </c>
      <c r="G64" s="18" t="s">
        <v>703</v>
      </c>
      <c r="H64" s="18" t="s">
        <v>522</v>
      </c>
      <c r="I64" s="18" t="s">
        <v>1034</v>
      </c>
      <c r="J64" s="18" t="b">
        <v>1</v>
      </c>
    </row>
    <row r="65" hidden="1">
      <c r="A65" s="17"/>
      <c r="B65" s="18" t="s">
        <v>34</v>
      </c>
      <c r="C65" s="17" t="str">
        <f>IFERROR(VLOOKUP(B65,'MASTER DATA'!$A$1:$E$212,2,FALSE),"")</f>
        <v>BB-100023</v>
      </c>
      <c r="D65" s="17" t="str">
        <f>IFERROR(VLOOKUP(B65,'MASTER DATA'!$A$1:$E$212,5,FALSE),"")</f>
        <v>BAHAN BAKU LUUCA</v>
      </c>
      <c r="E65" s="44">
        <v>978.0</v>
      </c>
      <c r="F65" s="17" t="str">
        <f>IFERROR(VLOOKUP(B65,'MASTER DATA'!$A$1:$E$212,4,FALSE),"")</f>
        <v>GR</v>
      </c>
      <c r="G65" s="18" t="s">
        <v>703</v>
      </c>
      <c r="H65" s="18" t="s">
        <v>522</v>
      </c>
      <c r="I65" s="18" t="s">
        <v>1034</v>
      </c>
      <c r="J65" s="18" t="b">
        <v>1</v>
      </c>
    </row>
    <row r="66" hidden="1">
      <c r="A66" s="17"/>
      <c r="B66" s="18" t="s">
        <v>109</v>
      </c>
      <c r="C66" s="17" t="str">
        <f>IFERROR(VLOOKUP(B66,'MASTER DATA'!$A$1:$E$212,2,FALSE),"")</f>
        <v>BB-100501</v>
      </c>
      <c r="D66" s="17" t="str">
        <f>IFERROR(VLOOKUP(B66,'MASTER DATA'!$A$1:$E$212,5,FALSE),"")</f>
        <v>BAHAN BAKU LUUCA</v>
      </c>
      <c r="E66" s="44">
        <f>16.9+62</f>
        <v>78.9</v>
      </c>
      <c r="F66" s="17" t="str">
        <f>IFERROR(VLOOKUP(B66,'MASTER DATA'!$A$1:$E$212,4,FALSE),"")</f>
        <v>GR</v>
      </c>
      <c r="G66" s="18" t="s">
        <v>1039</v>
      </c>
      <c r="H66" s="18" t="s">
        <v>522</v>
      </c>
      <c r="I66" s="18" t="s">
        <v>1034</v>
      </c>
      <c r="J66" s="18" t="b">
        <v>1</v>
      </c>
    </row>
    <row r="67" hidden="1">
      <c r="A67" s="17"/>
      <c r="B67" s="18" t="s">
        <v>53</v>
      </c>
      <c r="C67" s="17" t="str">
        <f>IFERROR(VLOOKUP(B67,'MASTER DATA'!$A$1:$E$212,2,FALSE),"")</f>
        <v>BB-100502</v>
      </c>
      <c r="D67" s="17" t="str">
        <f>IFERROR(VLOOKUP(B67,'MASTER DATA'!$A$1:$E$212,5,FALSE),"")</f>
        <v>BAHAN BAKU LUUCA</v>
      </c>
      <c r="E67" s="44" t="s">
        <v>1075</v>
      </c>
      <c r="F67" s="17" t="str">
        <f>IFERROR(VLOOKUP(B67,'MASTER DATA'!$A$1:$E$212,4,FALSE),"")</f>
        <v>GR</v>
      </c>
      <c r="G67" s="18" t="s">
        <v>793</v>
      </c>
      <c r="H67" s="18" t="s">
        <v>1058</v>
      </c>
      <c r="I67" s="18" t="s">
        <v>1034</v>
      </c>
      <c r="J67" s="18" t="b">
        <v>1</v>
      </c>
    </row>
    <row r="68" hidden="1">
      <c r="A68" s="17"/>
      <c r="B68" s="18" t="s">
        <v>53</v>
      </c>
      <c r="C68" s="17" t="str">
        <f>IFERROR(VLOOKUP(B68,'MASTER DATA'!$A$1:$E$212,2,FALSE),"")</f>
        <v>BB-100502</v>
      </c>
      <c r="D68" s="17" t="str">
        <f>IFERROR(VLOOKUP(B68,'MASTER DATA'!$A$1:$E$212,5,FALSE),"")</f>
        <v>BAHAN BAKU LUUCA</v>
      </c>
      <c r="E68" s="44" t="s">
        <v>1076</v>
      </c>
      <c r="F68" s="17" t="str">
        <f>IFERROR(VLOOKUP(B68,'MASTER DATA'!$A$1:$E$212,4,FALSE),"")</f>
        <v>GR</v>
      </c>
      <c r="G68" s="18" t="s">
        <v>793</v>
      </c>
      <c r="H68" s="18" t="s">
        <v>553</v>
      </c>
      <c r="I68" s="18" t="s">
        <v>1034</v>
      </c>
      <c r="J68" s="18" t="b">
        <v>1</v>
      </c>
    </row>
    <row r="69" hidden="1">
      <c r="A69" s="18" t="s">
        <v>1077</v>
      </c>
      <c r="B69" s="18" t="s">
        <v>53</v>
      </c>
      <c r="C69" s="17" t="str">
        <f>IFERROR(VLOOKUP(B69,'MASTER DATA'!$A$1:$E$212,2,FALSE),"")</f>
        <v>BB-100502</v>
      </c>
      <c r="D69" s="17" t="str">
        <f>IFERROR(VLOOKUP(B69,'MASTER DATA'!$A$1:$E$212,5,FALSE),"")</f>
        <v>BAHAN BAKU LUUCA</v>
      </c>
      <c r="E69" s="38">
        <f>77+55.5</f>
        <v>132.5</v>
      </c>
      <c r="F69" s="17" t="str">
        <f>IFERROR(VLOOKUP(B69,'MASTER DATA'!$A$1:$E$212,4,FALSE),"")</f>
        <v>GR</v>
      </c>
      <c r="G69" s="18" t="s">
        <v>496</v>
      </c>
      <c r="H69" s="18" t="s">
        <v>522</v>
      </c>
      <c r="I69" s="18" t="s">
        <v>1041</v>
      </c>
      <c r="J69" s="18" t="b">
        <v>1</v>
      </c>
    </row>
    <row r="70" hidden="1">
      <c r="A70" s="17"/>
      <c r="B70" s="18" t="s">
        <v>53</v>
      </c>
      <c r="C70" s="17" t="str">
        <f>IFERROR(VLOOKUP(B70,'MASTER DATA'!$A$1:$E$212,2,FALSE),"")</f>
        <v>BB-100502</v>
      </c>
      <c r="D70" s="17" t="str">
        <f>IFERROR(VLOOKUP(B70,'MASTER DATA'!$A$1:$E$212,5,FALSE),"")</f>
        <v>BAHAN BAKU LUUCA</v>
      </c>
      <c r="E70" s="38">
        <f>28.6</f>
        <v>28.6</v>
      </c>
      <c r="F70" s="17" t="str">
        <f>IFERROR(VLOOKUP(B70,'MASTER DATA'!$A$1:$E$212,4,FALSE),"")</f>
        <v>GR</v>
      </c>
      <c r="G70" s="18" t="s">
        <v>793</v>
      </c>
      <c r="H70" s="18" t="s">
        <v>522</v>
      </c>
      <c r="I70" s="18" t="s">
        <v>1034</v>
      </c>
      <c r="J70" s="18" t="b">
        <v>1</v>
      </c>
    </row>
    <row r="71" hidden="1">
      <c r="A71" s="17"/>
      <c r="B71" s="18" t="s">
        <v>220</v>
      </c>
      <c r="C71" s="17" t="str">
        <f>IFERROR(VLOOKUP(B71,'MASTER DATA'!$A$1:$E$212,2,FALSE),"")</f>
        <v>BB-100507</v>
      </c>
      <c r="D71" s="17" t="str">
        <f>IFERROR(VLOOKUP(B71,'MASTER DATA'!$A$1:$E$212,5,FALSE),"")</f>
        <v>PRODUKSI STOK LUUCA</v>
      </c>
      <c r="E71" s="44">
        <v>5.0</v>
      </c>
      <c r="F71" s="17" t="str">
        <f>IFERROR(VLOOKUP(B71,'MASTER DATA'!$A$1:$E$212,4,FALSE),"")</f>
        <v>PCS</v>
      </c>
      <c r="G71" s="18" t="s">
        <v>830</v>
      </c>
      <c r="H71" s="18" t="s">
        <v>522</v>
      </c>
      <c r="I71" s="18" t="s">
        <v>1041</v>
      </c>
      <c r="J71" s="18" t="b">
        <v>1</v>
      </c>
    </row>
    <row r="72" hidden="1">
      <c r="A72" s="17"/>
      <c r="B72" s="18" t="s">
        <v>109</v>
      </c>
      <c r="C72" s="17" t="str">
        <f>IFERROR(VLOOKUP(B72,'MASTER DATA'!$A$1:$E$212,2,FALSE),"")</f>
        <v>BB-100501</v>
      </c>
      <c r="D72" s="17" t="str">
        <f>IFERROR(VLOOKUP(B72,'MASTER DATA'!$A$1:$E$212,5,FALSE),"")</f>
        <v>BAHAN BAKU LUUCA</v>
      </c>
      <c r="E72" s="44">
        <v>15.6</v>
      </c>
      <c r="F72" s="17" t="str">
        <f>IFERROR(VLOOKUP(B72,'MASTER DATA'!$A$1:$E$212,4,FALSE),"")</f>
        <v>GR</v>
      </c>
      <c r="G72" s="18" t="s">
        <v>1039</v>
      </c>
      <c r="H72" s="18" t="s">
        <v>522</v>
      </c>
      <c r="I72" s="18" t="s">
        <v>1034</v>
      </c>
      <c r="J72" s="18" t="b">
        <v>1</v>
      </c>
    </row>
    <row r="73" hidden="1">
      <c r="A73" s="17"/>
      <c r="B73" s="18" t="s">
        <v>33</v>
      </c>
      <c r="C73" s="17" t="str">
        <f>IFERROR(VLOOKUP(B73,'MASTER DATA'!$A$1:$E$212,2,FALSE),"")</f>
        <v>BB-100022</v>
      </c>
      <c r="D73" s="17" t="str">
        <f>IFERROR(VLOOKUP(B73,'MASTER DATA'!$A$1:$E$212,5,FALSE),"")</f>
        <v>BAHAN BAKU LUUCA</v>
      </c>
      <c r="E73" s="44">
        <v>637.0</v>
      </c>
      <c r="F73" s="17" t="str">
        <f>IFERROR(VLOOKUP(B73,'MASTER DATA'!$A$1:$E$212,4,FALSE),"")</f>
        <v>GR</v>
      </c>
      <c r="G73" s="18" t="s">
        <v>703</v>
      </c>
      <c r="H73" s="18" t="s">
        <v>522</v>
      </c>
      <c r="I73" s="18" t="s">
        <v>1034</v>
      </c>
      <c r="J73" s="18" t="b">
        <v>1</v>
      </c>
    </row>
    <row r="74" hidden="1">
      <c r="A74" s="17"/>
      <c r="B74" s="18" t="s">
        <v>108</v>
      </c>
      <c r="C74" s="17" t="str">
        <f>IFERROR(VLOOKUP(B74,'MASTER DATA'!$A$1:$E$212,2,FALSE),"")</f>
        <v>BB-100500</v>
      </c>
      <c r="D74" s="17" t="str">
        <f>IFERROR(VLOOKUP(B74,'MASTER DATA'!$A$1:$E$212,5,FALSE),"")</f>
        <v>BAHAN BAKU LUUCA</v>
      </c>
      <c r="E74" s="44">
        <v>21.0</v>
      </c>
      <c r="F74" s="17" t="str">
        <f>IFERROR(VLOOKUP(B74,'MASTER DATA'!$A$1:$E$212,4,FALSE),"")</f>
        <v>GR</v>
      </c>
      <c r="G74" s="18" t="s">
        <v>792</v>
      </c>
      <c r="H74" s="18" t="s">
        <v>522</v>
      </c>
      <c r="I74" s="18" t="s">
        <v>1034</v>
      </c>
      <c r="J74" s="18" t="b">
        <v>1</v>
      </c>
    </row>
    <row r="75" hidden="1">
      <c r="A75" s="17"/>
      <c r="B75" s="18" t="s">
        <v>108</v>
      </c>
      <c r="C75" s="17" t="str">
        <f>IFERROR(VLOOKUP(B75,'MASTER DATA'!$A$1:$E$212,2,FALSE),"")</f>
        <v>BB-100500</v>
      </c>
      <c r="D75" s="17" t="str">
        <f>IFERROR(VLOOKUP(B75,'MASTER DATA'!$A$1:$E$212,5,FALSE),"")</f>
        <v>BAHAN BAKU LUUCA</v>
      </c>
      <c r="E75" s="38">
        <f>193.3+21.2</f>
        <v>214.5</v>
      </c>
      <c r="F75" s="17" t="str">
        <f>IFERROR(VLOOKUP(B75,'MASTER DATA'!$A$1:$E$212,4,FALSE),"")</f>
        <v>GR</v>
      </c>
      <c r="G75" s="18" t="s">
        <v>496</v>
      </c>
      <c r="H75" s="18" t="s">
        <v>522</v>
      </c>
      <c r="I75" s="18" t="s">
        <v>1041</v>
      </c>
      <c r="J75" s="18" t="b">
        <v>1</v>
      </c>
    </row>
    <row r="76" hidden="1">
      <c r="A76" s="18" t="s">
        <v>1078</v>
      </c>
      <c r="B76" s="18" t="s">
        <v>53</v>
      </c>
      <c r="C76" s="17" t="str">
        <f>IFERROR(VLOOKUP(B76,'MASTER DATA'!$A$1:$E$212,2,FALSE),"")</f>
        <v>BB-100502</v>
      </c>
      <c r="D76" s="17" t="str">
        <f>IFERROR(VLOOKUP(B76,'MASTER DATA'!$A$1:$E$212,5,FALSE),"")</f>
        <v>BAHAN BAKU LUUCA</v>
      </c>
      <c r="E76" s="44">
        <v>57.2</v>
      </c>
      <c r="F76" s="17" t="str">
        <f>IFERROR(VLOOKUP(B76,'MASTER DATA'!$A$1:$E$212,4,FALSE),"")</f>
        <v>GR</v>
      </c>
      <c r="G76" s="18" t="s">
        <v>921</v>
      </c>
      <c r="H76" s="18" t="s">
        <v>1079</v>
      </c>
      <c r="I76" s="18" t="s">
        <v>1034</v>
      </c>
      <c r="J76" s="18" t="b">
        <v>1</v>
      </c>
    </row>
    <row r="77" hidden="1">
      <c r="A77" s="18" t="s">
        <v>1080</v>
      </c>
      <c r="B77" s="18" t="s">
        <v>397</v>
      </c>
      <c r="C77" s="17" t="str">
        <f>IFERROR(VLOOKUP(B77,'MASTER DATA'!$A$1:$E$212,2,FALSE),"")</f>
        <v>L001-066</v>
      </c>
      <c r="D77" s="17" t="str">
        <f>IFERROR(VLOOKUP(B77,'MASTER DATA'!$A$1:$E$212,5,FALSE),"")</f>
        <v>BAHAN BAKU LUUCA</v>
      </c>
      <c r="E77" s="44">
        <v>498.7</v>
      </c>
      <c r="F77" s="17" t="str">
        <f>IFERROR(VLOOKUP(B77,'MASTER DATA'!$A$1:$E$212,4,FALSE),"")</f>
        <v>PRS</v>
      </c>
      <c r="G77" s="18" t="s">
        <v>703</v>
      </c>
      <c r="H77" s="18" t="s">
        <v>595</v>
      </c>
      <c r="I77" s="18" t="s">
        <v>1034</v>
      </c>
      <c r="J77" s="18" t="b">
        <v>1</v>
      </c>
    </row>
    <row r="78" hidden="1">
      <c r="A78" s="17"/>
      <c r="B78" s="18" t="s">
        <v>186</v>
      </c>
      <c r="C78" s="17" t="str">
        <f>IFERROR(VLOOKUP(B78,'MASTER DATA'!$A$1:$E$212,2,FALSE),"")</f>
        <v>P006-008</v>
      </c>
      <c r="D78" s="17" t="str">
        <f>IFERROR(VLOOKUP(B78,'MASTER DATA'!$A$1:$E$212,5,FALSE),"")</f>
        <v>PRODUKSI STOK LUUCA</v>
      </c>
      <c r="E78" s="44">
        <v>36.0</v>
      </c>
      <c r="F78" s="17" t="str">
        <f>IFERROR(VLOOKUP(B78,'MASTER DATA'!$A$1:$E$212,4,FALSE),"")</f>
        <v>GR</v>
      </c>
      <c r="G78" s="18" t="s">
        <v>1081</v>
      </c>
      <c r="H78" s="18" t="s">
        <v>1082</v>
      </c>
      <c r="I78" s="18" t="s">
        <v>1041</v>
      </c>
      <c r="J78" s="18" t="b">
        <v>1</v>
      </c>
    </row>
    <row r="79" hidden="1">
      <c r="A79" s="17"/>
      <c r="B79" s="18" t="s">
        <v>108</v>
      </c>
      <c r="C79" s="17" t="str">
        <f>IFERROR(VLOOKUP(B79,'MASTER DATA'!$A$1:$E$212,2,FALSE),"")</f>
        <v>BB-100500</v>
      </c>
      <c r="D79" s="17" t="str">
        <f>IFERROR(VLOOKUP(B79,'MASTER DATA'!$A$1:$E$212,5,FALSE),"")</f>
        <v>BAHAN BAKU LUUCA</v>
      </c>
      <c r="E79" s="44">
        <v>28.0</v>
      </c>
      <c r="F79" s="17" t="str">
        <f>IFERROR(VLOOKUP(B79,'MASTER DATA'!$A$1:$E$212,4,FALSE),"")</f>
        <v>GR</v>
      </c>
      <c r="G79" s="18" t="s">
        <v>1083</v>
      </c>
      <c r="H79" s="18" t="s">
        <v>522</v>
      </c>
      <c r="I79" s="18" t="s">
        <v>1034</v>
      </c>
      <c r="J79" s="18" t="b">
        <v>1</v>
      </c>
    </row>
    <row r="80" hidden="1">
      <c r="A80" s="17"/>
      <c r="B80" s="18" t="s">
        <v>33</v>
      </c>
      <c r="C80" s="17" t="str">
        <f>IFERROR(VLOOKUP(B80,'MASTER DATA'!$A$1:$E$212,2,FALSE),"")</f>
        <v>BB-100022</v>
      </c>
      <c r="D80" s="17" t="str">
        <f>IFERROR(VLOOKUP(B80,'MASTER DATA'!$A$1:$E$212,5,FALSE),"")</f>
        <v>BAHAN BAKU LUUCA</v>
      </c>
      <c r="E80" s="44" t="s">
        <v>1084</v>
      </c>
      <c r="F80" s="17" t="str">
        <f>IFERROR(VLOOKUP(B80,'MASTER DATA'!$A$1:$E$212,4,FALSE),"")</f>
        <v>GR</v>
      </c>
      <c r="G80" s="18" t="s">
        <v>1085</v>
      </c>
      <c r="H80" s="18" t="s">
        <v>522</v>
      </c>
      <c r="I80" s="18" t="s">
        <v>1034</v>
      </c>
      <c r="J80" s="18" t="b">
        <v>1</v>
      </c>
      <c r="K80" s="20" t="s">
        <v>1086</v>
      </c>
    </row>
    <row r="81" hidden="1">
      <c r="A81" s="17"/>
      <c r="B81" s="18" t="s">
        <v>53</v>
      </c>
      <c r="C81" s="17" t="str">
        <f>IFERROR(VLOOKUP(B81,'MASTER DATA'!$A$1:$E$212,2,FALSE),"")</f>
        <v>BB-100502</v>
      </c>
      <c r="D81" s="17" t="str">
        <f>IFERROR(VLOOKUP(B81,'MASTER DATA'!$A$1:$E$212,5,FALSE),"")</f>
        <v>BAHAN BAKU LUUCA</v>
      </c>
      <c r="E81" s="44" t="s">
        <v>1087</v>
      </c>
      <c r="F81" s="17" t="str">
        <f>IFERROR(VLOOKUP(B81,'MASTER DATA'!$A$1:$E$212,4,FALSE),"")</f>
        <v>GR</v>
      </c>
      <c r="G81" s="18" t="s">
        <v>1088</v>
      </c>
      <c r="H81" s="18" t="s">
        <v>1016</v>
      </c>
      <c r="I81" s="18" t="s">
        <v>1034</v>
      </c>
      <c r="J81" s="18" t="b">
        <v>1</v>
      </c>
    </row>
    <row r="82" hidden="1">
      <c r="A82" s="36">
        <v>46220.0</v>
      </c>
      <c r="B82" s="18" t="s">
        <v>238</v>
      </c>
      <c r="C82" s="17" t="str">
        <f>IFERROR(VLOOKUP(B82,'MASTER DATA'!$A$1:$E$212,2,FALSE),"")</f>
        <v>BB-100517</v>
      </c>
      <c r="D82" s="17" t="str">
        <f>IFERROR(VLOOKUP(B82,'MASTER DATA'!$A$1:$E$212,5,FALSE),"")</f>
        <v>PRODUKSI STOK LUUCA</v>
      </c>
      <c r="E82" s="44">
        <v>5.0</v>
      </c>
      <c r="F82" s="17" t="str">
        <f>IFERROR(VLOOKUP(B82,'MASTER DATA'!$A$1:$E$212,4,FALSE),"")</f>
        <v>PCS</v>
      </c>
      <c r="G82" s="18" t="s">
        <v>1089</v>
      </c>
      <c r="H82" s="18" t="s">
        <v>522</v>
      </c>
      <c r="I82" s="18" t="s">
        <v>1034</v>
      </c>
      <c r="J82" s="18" t="b">
        <v>1</v>
      </c>
      <c r="K82" s="20">
        <v>3.0</v>
      </c>
    </row>
    <row r="83" hidden="1">
      <c r="A83" s="36">
        <v>46221.0</v>
      </c>
      <c r="B83" s="18" t="s">
        <v>53</v>
      </c>
      <c r="C83" s="17" t="str">
        <f>IFERROR(VLOOKUP(B83,'MASTER DATA'!$A$1:$E$212,2,FALSE),"")</f>
        <v>BB-100502</v>
      </c>
      <c r="D83" s="17" t="str">
        <f>IFERROR(VLOOKUP(B83,'MASTER DATA'!$A$1:$E$212,5,FALSE),"")</f>
        <v>BAHAN BAKU LUUCA</v>
      </c>
      <c r="E83" s="38">
        <f>82+34</f>
        <v>116</v>
      </c>
      <c r="F83" s="17" t="str">
        <f>IFERROR(VLOOKUP(B83,'MASTER DATA'!$A$1:$E$212,4,FALSE),"")</f>
        <v>GR</v>
      </c>
      <c r="G83" s="18" t="s">
        <v>921</v>
      </c>
      <c r="H83" s="18" t="s">
        <v>595</v>
      </c>
      <c r="I83" s="18" t="s">
        <v>1034</v>
      </c>
      <c r="J83" s="18" t="b">
        <v>1</v>
      </c>
    </row>
    <row r="84" hidden="1">
      <c r="A84" s="17"/>
      <c r="B84" s="18" t="s">
        <v>108</v>
      </c>
      <c r="C84" s="17" t="str">
        <f>IFERROR(VLOOKUP(B84,'MASTER DATA'!$A$1:$E$212,2,FALSE),"")</f>
        <v>BB-100500</v>
      </c>
      <c r="D84" s="17" t="str">
        <f>IFERROR(VLOOKUP(B84,'MASTER DATA'!$A$1:$E$212,5,FALSE),"")</f>
        <v>BAHAN BAKU LUUCA</v>
      </c>
      <c r="E84" s="44" t="s">
        <v>924</v>
      </c>
      <c r="F84" s="17" t="str">
        <f>IFERROR(VLOOKUP(B84,'MASTER DATA'!$A$1:$E$212,4,FALSE),"")</f>
        <v>GR</v>
      </c>
      <c r="G84" s="18" t="s">
        <v>792</v>
      </c>
      <c r="H84" s="18" t="s">
        <v>595</v>
      </c>
      <c r="I84" s="18" t="s">
        <v>1034</v>
      </c>
      <c r="J84" s="18" t="b">
        <v>1</v>
      </c>
    </row>
    <row r="85" hidden="1">
      <c r="A85" s="36">
        <v>46222.0</v>
      </c>
      <c r="B85" s="18" t="s">
        <v>108</v>
      </c>
      <c r="C85" s="17" t="str">
        <f>IFERROR(VLOOKUP(B85,'MASTER DATA'!$A$1:$E$212,2,FALSE),"")</f>
        <v>BB-100500</v>
      </c>
      <c r="D85" s="17" t="str">
        <f>IFERROR(VLOOKUP(B85,'MASTER DATA'!$A$1:$E$212,5,FALSE),"")</f>
        <v>BAHAN BAKU LUUCA</v>
      </c>
      <c r="E85" s="44" t="s">
        <v>1090</v>
      </c>
      <c r="F85" s="17" t="str">
        <f>IFERROR(VLOOKUP(B85,'MASTER DATA'!$A$1:$E$212,4,FALSE),"")</f>
        <v>GR</v>
      </c>
      <c r="G85" s="18" t="s">
        <v>792</v>
      </c>
      <c r="H85" s="18" t="s">
        <v>595</v>
      </c>
      <c r="I85" s="18" t="s">
        <v>1034</v>
      </c>
      <c r="J85" s="18" t="b">
        <v>1</v>
      </c>
    </row>
    <row r="86" hidden="1">
      <c r="A86" s="17"/>
      <c r="B86" s="18" t="s">
        <v>53</v>
      </c>
      <c r="C86" s="17" t="str">
        <f>IFERROR(VLOOKUP(B86,'MASTER DATA'!$A$1:$E$212,2,FALSE),"")</f>
        <v>BB-100502</v>
      </c>
      <c r="D86" s="17" t="str">
        <f>IFERROR(VLOOKUP(B86,'MASTER DATA'!$A$1:$E$212,5,FALSE),"")</f>
        <v>BAHAN BAKU LUUCA</v>
      </c>
      <c r="E86" s="38">
        <f>16+127</f>
        <v>143</v>
      </c>
      <c r="F86" s="17" t="str">
        <f>IFERROR(VLOOKUP(B86,'MASTER DATA'!$A$1:$E$212,4,FALSE),"")</f>
        <v>GR</v>
      </c>
      <c r="G86" s="18" t="s">
        <v>793</v>
      </c>
      <c r="H86" s="18" t="s">
        <v>595</v>
      </c>
      <c r="I86" s="18" t="s">
        <v>1034</v>
      </c>
      <c r="J86" s="18" t="b">
        <v>1</v>
      </c>
    </row>
    <row r="87" hidden="1">
      <c r="A87" s="17"/>
      <c r="B87" s="18" t="s">
        <v>109</v>
      </c>
      <c r="C87" s="17" t="str">
        <f>IFERROR(VLOOKUP(B87,'MASTER DATA'!$A$1:$E$212,2,FALSE),"")</f>
        <v>BB-100501</v>
      </c>
      <c r="D87" s="17" t="str">
        <f>IFERROR(VLOOKUP(B87,'MASTER DATA'!$A$1:$E$212,5,FALSE),"")</f>
        <v>BAHAN BAKU LUUCA</v>
      </c>
      <c r="E87" s="44" t="s">
        <v>1091</v>
      </c>
      <c r="F87" s="17" t="str">
        <f>IFERROR(VLOOKUP(B87,'MASTER DATA'!$A$1:$E$212,4,FALSE),"")</f>
        <v>GR</v>
      </c>
      <c r="G87" s="18" t="s">
        <v>588</v>
      </c>
      <c r="H87" s="18" t="s">
        <v>595</v>
      </c>
      <c r="I87" s="18" t="s">
        <v>1034</v>
      </c>
      <c r="J87" s="18" t="b">
        <v>1</v>
      </c>
    </row>
    <row r="88" hidden="1">
      <c r="A88" s="17"/>
      <c r="B88" s="18" t="s">
        <v>238</v>
      </c>
      <c r="C88" s="17" t="str">
        <f>IFERROR(VLOOKUP(B88,'MASTER DATA'!$A$1:$E$212,2,FALSE),"")</f>
        <v>BB-100517</v>
      </c>
      <c r="D88" s="17" t="str">
        <f>IFERROR(VLOOKUP(B88,'MASTER DATA'!$A$1:$E$212,5,FALSE),"")</f>
        <v>PRODUKSI STOK LUUCA</v>
      </c>
      <c r="E88" s="44">
        <v>3.0</v>
      </c>
      <c r="F88" s="17" t="str">
        <f>IFERROR(VLOOKUP(B88,'MASTER DATA'!$A$1:$E$212,4,FALSE),"")</f>
        <v>PCS</v>
      </c>
      <c r="G88" s="18" t="s">
        <v>1089</v>
      </c>
      <c r="H88" s="18" t="s">
        <v>1016</v>
      </c>
      <c r="I88" s="18" t="s">
        <v>1034</v>
      </c>
      <c r="J88" s="18" t="b">
        <v>1</v>
      </c>
    </row>
    <row r="89" hidden="1">
      <c r="A89" s="17"/>
      <c r="B89" s="18" t="s">
        <v>34</v>
      </c>
      <c r="C89" s="17" t="str">
        <f>IFERROR(VLOOKUP(B89,'MASTER DATA'!$A$1:$E$212,2,FALSE),"")</f>
        <v>BB-100023</v>
      </c>
      <c r="D89" s="17" t="str">
        <f>IFERROR(VLOOKUP(B89,'MASTER DATA'!$A$1:$E$212,5,FALSE),"")</f>
        <v>BAHAN BAKU LUUCA</v>
      </c>
      <c r="E89" s="38">
        <f>520+491</f>
        <v>1011</v>
      </c>
      <c r="F89" s="17" t="str">
        <f>IFERROR(VLOOKUP(B89,'MASTER DATA'!$A$1:$E$212,4,FALSE),"")</f>
        <v>GR</v>
      </c>
      <c r="G89" s="18" t="s">
        <v>703</v>
      </c>
      <c r="H89" s="18" t="s">
        <v>595</v>
      </c>
      <c r="I89" s="18" t="s">
        <v>1034</v>
      </c>
      <c r="J89" s="18" t="b">
        <v>1</v>
      </c>
    </row>
    <row r="90" hidden="1">
      <c r="A90" s="17"/>
      <c r="B90" s="18" t="s">
        <v>72</v>
      </c>
      <c r="C90" s="17" t="str">
        <f>IFERROR(VLOOKUP(B90,'MASTER DATA'!$A$1:$E$212,2,FALSE),"")</f>
        <v>BB-100012</v>
      </c>
      <c r="D90" s="17" t="str">
        <f>IFERROR(VLOOKUP(B90,'MASTER DATA'!$A$1:$E$212,5,FALSE),"")</f>
        <v>BAHAN BAKU LUUCA</v>
      </c>
      <c r="E90" s="44">
        <v>20.0</v>
      </c>
      <c r="F90" s="17" t="str">
        <f>IFERROR(VLOOKUP(B90,'MASTER DATA'!$A$1:$E$212,4,FALSE),"")</f>
        <v>GR</v>
      </c>
      <c r="G90" s="18" t="s">
        <v>532</v>
      </c>
      <c r="H90" s="18" t="s">
        <v>1016</v>
      </c>
      <c r="I90" s="18" t="s">
        <v>1041</v>
      </c>
      <c r="J90" s="18" t="b">
        <v>1</v>
      </c>
    </row>
    <row r="91" hidden="1">
      <c r="A91" s="17"/>
      <c r="B91" s="18" t="s">
        <v>53</v>
      </c>
      <c r="C91" s="17" t="str">
        <f>IFERROR(VLOOKUP(B91,'MASTER DATA'!$A$1:$E$212,2,FALSE),"")</f>
        <v>BB-100502</v>
      </c>
      <c r="D91" s="17" t="str">
        <f>IFERROR(VLOOKUP(B91,'MASTER DATA'!$A$1:$E$212,5,FALSE),"")</f>
        <v>BAHAN BAKU LUUCA</v>
      </c>
      <c r="E91" s="44">
        <v>13.0</v>
      </c>
      <c r="F91" s="17" t="str">
        <f>IFERROR(VLOOKUP(B91,'MASTER DATA'!$A$1:$E$212,4,FALSE),"")</f>
        <v>GR</v>
      </c>
      <c r="G91" s="18" t="s">
        <v>532</v>
      </c>
      <c r="H91" s="18" t="s">
        <v>1016</v>
      </c>
      <c r="I91" s="18" t="s">
        <v>1041</v>
      </c>
      <c r="J91" s="18" t="b">
        <v>1</v>
      </c>
    </row>
    <row r="92" hidden="1">
      <c r="A92" s="17"/>
      <c r="B92" s="18" t="s">
        <v>106</v>
      </c>
      <c r="C92" s="17" t="str">
        <f>IFERROR(VLOOKUP(B92,'MASTER DATA'!$A$1:$E$212,2,FALSE),"")</f>
        <v>BB-100389</v>
      </c>
      <c r="D92" s="17" t="str">
        <f>IFERROR(VLOOKUP(B92,'MASTER DATA'!$A$1:$E$212,5,FALSE),"")</f>
        <v>BAHAN BAKU LUUCA</v>
      </c>
      <c r="E92" s="44">
        <v>17.0</v>
      </c>
      <c r="F92" s="17" t="str">
        <f>IFERROR(VLOOKUP(B92,'MASTER DATA'!$A$1:$E$212,4,FALSE),"")</f>
        <v>GR</v>
      </c>
      <c r="G92" s="18" t="s">
        <v>532</v>
      </c>
      <c r="H92" s="18" t="s">
        <v>1016</v>
      </c>
      <c r="I92" s="18" t="s">
        <v>1041</v>
      </c>
      <c r="J92" s="18" t="b">
        <v>1</v>
      </c>
    </row>
    <row r="93" hidden="1">
      <c r="A93" s="17"/>
      <c r="B93" s="18" t="s">
        <v>178</v>
      </c>
      <c r="C93" s="17" t="str">
        <f>IFERROR(VLOOKUP(B93,'MASTER DATA'!$A$1:$E$212,2,FALSE),"")</f>
        <v>P006-002</v>
      </c>
      <c r="D93" s="17" t="str">
        <f>IFERROR(VLOOKUP(B93,'MASTER DATA'!$A$1:$E$212,5,FALSE),"")</f>
        <v>PRODUKSI STOK LUUCA</v>
      </c>
      <c r="E93" s="38">
        <f>40+88</f>
        <v>128</v>
      </c>
      <c r="F93" s="17" t="str">
        <f>IFERROR(VLOOKUP(B93,'MASTER DATA'!$A$1:$E$212,4,FALSE),"")</f>
        <v>GR</v>
      </c>
      <c r="G93" s="18" t="s">
        <v>532</v>
      </c>
      <c r="H93" s="18" t="s">
        <v>1016</v>
      </c>
      <c r="I93" s="18" t="s">
        <v>1041</v>
      </c>
      <c r="J93" s="18" t="b">
        <v>1</v>
      </c>
    </row>
    <row r="94" hidden="1">
      <c r="A94" s="36">
        <v>46223.0</v>
      </c>
      <c r="B94" s="18" t="s">
        <v>33</v>
      </c>
      <c r="C94" s="17" t="str">
        <f>IFERROR(VLOOKUP(B94,'MASTER DATA'!$A$1:$E$212,2,FALSE),"")</f>
        <v>BB-100022</v>
      </c>
      <c r="D94" s="17" t="str">
        <f>IFERROR(VLOOKUP(B94,'MASTER DATA'!$A$1:$E$212,5,FALSE),"")</f>
        <v>BAHAN BAKU LUUCA</v>
      </c>
      <c r="E94" s="44">
        <v>613.0</v>
      </c>
      <c r="F94" s="17" t="str">
        <f>IFERROR(VLOOKUP(B94,'MASTER DATA'!$A$1:$E$212,4,FALSE),"")</f>
        <v>GR</v>
      </c>
      <c r="G94" s="20" t="s">
        <v>703</v>
      </c>
      <c r="H94" s="18" t="s">
        <v>522</v>
      </c>
      <c r="I94" s="18" t="s">
        <v>1034</v>
      </c>
      <c r="J94" s="18" t="b">
        <v>1</v>
      </c>
    </row>
    <row r="95" hidden="1">
      <c r="A95" s="17"/>
      <c r="B95" s="18" t="s">
        <v>34</v>
      </c>
      <c r="C95" s="17" t="str">
        <f>IFERROR(VLOOKUP(B95,'MASTER DATA'!$A$1:$E$212,2,FALSE),"")</f>
        <v>BB-100023</v>
      </c>
      <c r="D95" s="17" t="str">
        <f>IFERROR(VLOOKUP(B95,'MASTER DATA'!$A$1:$E$212,5,FALSE),"")</f>
        <v>BAHAN BAKU LUUCA</v>
      </c>
      <c r="E95" s="38">
        <f>43+332+218</f>
        <v>593</v>
      </c>
      <c r="F95" s="17" t="str">
        <f>IFERROR(VLOOKUP(B95,'MASTER DATA'!$A$1:$E$212,4,FALSE),"")</f>
        <v>GR</v>
      </c>
      <c r="G95" s="18" t="s">
        <v>703</v>
      </c>
      <c r="H95" s="18" t="s">
        <v>1016</v>
      </c>
      <c r="I95" s="18" t="s">
        <v>1034</v>
      </c>
      <c r="J95" s="18" t="b">
        <v>1</v>
      </c>
    </row>
    <row r="96" hidden="1">
      <c r="A96" s="36">
        <v>46225.0</v>
      </c>
      <c r="B96" s="18" t="s">
        <v>108</v>
      </c>
      <c r="C96" s="17" t="str">
        <f>IFERROR(VLOOKUP(B96,'MASTER DATA'!$A$1:$E$212,2,FALSE),"")</f>
        <v>BB-100500</v>
      </c>
      <c r="D96" s="17" t="str">
        <f>IFERROR(VLOOKUP(B96,'MASTER DATA'!$A$1:$E$212,5,FALSE),"")</f>
        <v>BAHAN BAKU LUUCA</v>
      </c>
      <c r="E96" s="44" t="s">
        <v>827</v>
      </c>
      <c r="F96" s="17" t="str">
        <f>IFERROR(VLOOKUP(B96,'MASTER DATA'!$A$1:$E$212,4,FALSE),"")</f>
        <v>GR</v>
      </c>
      <c r="G96" s="18" t="s">
        <v>797</v>
      </c>
      <c r="H96" s="18" t="s">
        <v>1058</v>
      </c>
      <c r="I96" s="18" t="s">
        <v>1034</v>
      </c>
      <c r="J96" s="18" t="b">
        <v>1</v>
      </c>
    </row>
    <row r="97" hidden="1">
      <c r="A97" s="17"/>
      <c r="B97" s="18" t="s">
        <v>108</v>
      </c>
      <c r="C97" s="17" t="str">
        <f>IFERROR(VLOOKUP(B97,'MASTER DATA'!$A$1:$E$212,2,FALSE),"")</f>
        <v>BB-100500</v>
      </c>
      <c r="D97" s="17" t="str">
        <f>IFERROR(VLOOKUP(B97,'MASTER DATA'!$A$1:$E$212,5,FALSE),"")</f>
        <v>BAHAN BAKU LUUCA</v>
      </c>
      <c r="E97" s="38">
        <f>23+116+6</f>
        <v>145</v>
      </c>
      <c r="F97" s="17" t="str">
        <f>IFERROR(VLOOKUP(B97,'MASTER DATA'!$A$1:$E$212,4,FALSE),"")</f>
        <v>GR</v>
      </c>
      <c r="G97" s="18" t="s">
        <v>496</v>
      </c>
      <c r="H97" s="18" t="s">
        <v>1058</v>
      </c>
      <c r="I97" s="18" t="s">
        <v>1041</v>
      </c>
      <c r="J97" s="18" t="b">
        <v>1</v>
      </c>
    </row>
    <row r="98" hidden="1">
      <c r="A98" s="17"/>
      <c r="B98" s="18" t="s">
        <v>109</v>
      </c>
      <c r="C98" s="17" t="str">
        <f>IFERROR(VLOOKUP(B98,'MASTER DATA'!$A$1:$E$212,2,FALSE),"")</f>
        <v>BB-100501</v>
      </c>
      <c r="D98" s="17" t="str">
        <f>IFERROR(VLOOKUP(B98,'MASTER DATA'!$A$1:$E$212,5,FALSE),"")</f>
        <v>BAHAN BAKU LUUCA</v>
      </c>
      <c r="E98" s="44" t="s">
        <v>831</v>
      </c>
      <c r="F98" s="17" t="str">
        <f>IFERROR(VLOOKUP(B98,'MASTER DATA'!$A$1:$E$212,4,FALSE),"")</f>
        <v>GR</v>
      </c>
      <c r="G98" s="18" t="s">
        <v>826</v>
      </c>
      <c r="H98" s="18" t="s">
        <v>1058</v>
      </c>
      <c r="I98" s="18" t="s">
        <v>1034</v>
      </c>
      <c r="J98" s="18" t="b">
        <v>1</v>
      </c>
    </row>
    <row r="99" hidden="1">
      <c r="A99" s="17"/>
      <c r="B99" s="18" t="s">
        <v>109</v>
      </c>
      <c r="C99" s="17" t="str">
        <f>IFERROR(VLOOKUP(B99,'MASTER DATA'!$A$1:$E$212,2,FALSE),"")</f>
        <v>BB-100501</v>
      </c>
      <c r="D99" s="17" t="str">
        <f>IFERROR(VLOOKUP(B99,'MASTER DATA'!$A$1:$E$212,5,FALSE),"")</f>
        <v>BAHAN BAKU LUUCA</v>
      </c>
      <c r="E99" s="44" t="s">
        <v>1092</v>
      </c>
      <c r="F99" s="17" t="str">
        <f>IFERROR(VLOOKUP(B99,'MASTER DATA'!$A$1:$E$212,4,FALSE),"")</f>
        <v>GR</v>
      </c>
      <c r="G99" s="18" t="s">
        <v>819</v>
      </c>
      <c r="H99" s="18" t="s">
        <v>1058</v>
      </c>
      <c r="I99" s="18" t="s">
        <v>1041</v>
      </c>
      <c r="J99" s="18" t="b">
        <v>1</v>
      </c>
    </row>
    <row r="100" hidden="1">
      <c r="A100" s="17"/>
      <c r="B100" s="18" t="s">
        <v>53</v>
      </c>
      <c r="C100" s="17" t="str">
        <f>IFERROR(VLOOKUP(B100,'MASTER DATA'!$A$1:$E$212,2,FALSE),"")</f>
        <v>BB-100502</v>
      </c>
      <c r="D100" s="17" t="str">
        <f>IFERROR(VLOOKUP(B100,'MASTER DATA'!$A$1:$E$212,5,FALSE),"")</f>
        <v>BAHAN BAKU LUUCA</v>
      </c>
      <c r="E100" s="44" t="s">
        <v>1093</v>
      </c>
      <c r="F100" s="17" t="str">
        <f>IFERROR(VLOOKUP(B100,'MASTER DATA'!$A$1:$E$212,4,FALSE),"")</f>
        <v>GR</v>
      </c>
      <c r="G100" s="18" t="s">
        <v>797</v>
      </c>
      <c r="H100" s="18" t="s">
        <v>1094</v>
      </c>
      <c r="I100" s="18" t="s">
        <v>1034</v>
      </c>
      <c r="J100" s="18" t="b">
        <v>1</v>
      </c>
    </row>
    <row r="101" hidden="1">
      <c r="A101" s="36"/>
      <c r="B101" s="18" t="s">
        <v>34</v>
      </c>
      <c r="C101" s="17" t="str">
        <f>IFERROR(VLOOKUP(B101,'MASTER DATA'!$A$1:$E$212,2,FALSE),"")</f>
        <v>BB-100023</v>
      </c>
      <c r="D101" s="17" t="str">
        <f>IFERROR(VLOOKUP(B101,'MASTER DATA'!$A$1:$E$212,5,FALSE),"")</f>
        <v>BAHAN BAKU LUUCA</v>
      </c>
      <c r="E101" s="44">
        <v>66.0</v>
      </c>
      <c r="F101" s="17" t="str">
        <f>IFERROR(VLOOKUP(B101,'MASTER DATA'!$A$1:$E$212,4,FALSE),"")</f>
        <v>GR</v>
      </c>
      <c r="G101" s="18" t="s">
        <v>532</v>
      </c>
      <c r="H101" s="18" t="s">
        <v>1016</v>
      </c>
      <c r="I101" s="18" t="s">
        <v>1041</v>
      </c>
      <c r="J101" s="18" t="b">
        <v>1</v>
      </c>
    </row>
    <row r="102" hidden="1">
      <c r="A102" s="36">
        <v>46226.0</v>
      </c>
      <c r="B102" s="18" t="s">
        <v>53</v>
      </c>
      <c r="C102" s="17" t="str">
        <f>IFERROR(VLOOKUP(B102,'MASTER DATA'!$A$1:$E$212,2,FALSE),"")</f>
        <v>BB-100502</v>
      </c>
      <c r="D102" s="17" t="str">
        <f>IFERROR(VLOOKUP(B102,'MASTER DATA'!$A$1:$E$212,5,FALSE),"")</f>
        <v>BAHAN BAKU LUUCA</v>
      </c>
      <c r="E102" s="44" t="s">
        <v>1095</v>
      </c>
      <c r="F102" s="17" t="str">
        <f>IFERROR(VLOOKUP(B102,'MASTER DATA'!$A$1:$E$212,4,FALSE),"")</f>
        <v>GR</v>
      </c>
      <c r="G102" s="18" t="s">
        <v>793</v>
      </c>
      <c r="H102" s="18" t="s">
        <v>595</v>
      </c>
      <c r="I102" s="18" t="s">
        <v>1034</v>
      </c>
      <c r="J102" s="18" t="b">
        <v>1</v>
      </c>
    </row>
    <row r="103" hidden="1">
      <c r="A103" s="17"/>
      <c r="B103" s="18" t="s">
        <v>34</v>
      </c>
      <c r="C103" s="17" t="str">
        <f>IFERROR(VLOOKUP(B103,'MASTER DATA'!$A$1:$E$212,2,FALSE),"")</f>
        <v>BB-100023</v>
      </c>
      <c r="D103" s="17" t="str">
        <f>IFERROR(VLOOKUP(B103,'MASTER DATA'!$A$1:$E$212,5,FALSE),"")</f>
        <v>BAHAN BAKU LUUCA</v>
      </c>
      <c r="E103" s="44" t="s">
        <v>1096</v>
      </c>
      <c r="F103" s="17" t="str">
        <f>IFERROR(VLOOKUP(B103,'MASTER DATA'!$A$1:$E$212,4,FALSE),"")</f>
        <v>GR</v>
      </c>
      <c r="G103" s="18" t="s">
        <v>703</v>
      </c>
      <c r="H103" s="18" t="s">
        <v>595</v>
      </c>
      <c r="I103" s="18" t="s">
        <v>1034</v>
      </c>
      <c r="J103" s="18" t="b">
        <v>1</v>
      </c>
    </row>
    <row r="104" hidden="1">
      <c r="A104" s="17"/>
      <c r="B104" s="18" t="s">
        <v>108</v>
      </c>
      <c r="C104" s="17" t="str">
        <f>IFERROR(VLOOKUP(B104,'MASTER DATA'!$A$1:$E$212,2,FALSE),"")</f>
        <v>BB-100500</v>
      </c>
      <c r="D104" s="17" t="str">
        <f>IFERROR(VLOOKUP(B104,'MASTER DATA'!$A$1:$E$212,5,FALSE),"")</f>
        <v>BAHAN BAKU LUUCA</v>
      </c>
      <c r="E104" s="44" t="s">
        <v>669</v>
      </c>
      <c r="F104" s="17" t="str">
        <f>IFERROR(VLOOKUP(B104,'MASTER DATA'!$A$1:$E$212,4,FALSE),"")</f>
        <v>GR</v>
      </c>
      <c r="G104" s="18" t="s">
        <v>792</v>
      </c>
      <c r="H104" s="18" t="s">
        <v>561</v>
      </c>
      <c r="I104" s="18" t="s">
        <v>1034</v>
      </c>
      <c r="J104" s="18" t="b">
        <v>1</v>
      </c>
    </row>
    <row r="105" hidden="1">
      <c r="A105" s="36">
        <v>46227.0</v>
      </c>
      <c r="B105" s="18" t="s">
        <v>33</v>
      </c>
      <c r="C105" s="17" t="str">
        <f>IFERROR(VLOOKUP(B105,'MASTER DATA'!$A$1:$E$212,2,FALSE),"")</f>
        <v>BB-100022</v>
      </c>
      <c r="D105" s="17" t="str">
        <f>IFERROR(VLOOKUP(B105,'MASTER DATA'!$A$1:$E$212,5,FALSE),"")</f>
        <v>BAHAN BAKU LUUCA</v>
      </c>
      <c r="E105" s="44" t="s">
        <v>1097</v>
      </c>
      <c r="F105" s="17" t="str">
        <f>IFERROR(VLOOKUP(B105,'MASTER DATA'!$A$1:$E$212,4,FALSE),"")</f>
        <v>GR</v>
      </c>
      <c r="G105" s="18" t="s">
        <v>703</v>
      </c>
      <c r="H105" s="18" t="s">
        <v>522</v>
      </c>
      <c r="I105" s="18" t="s">
        <v>1034</v>
      </c>
      <c r="J105" s="18" t="b">
        <v>1</v>
      </c>
    </row>
    <row r="106" hidden="1">
      <c r="A106" s="17"/>
      <c r="B106" s="18" t="s">
        <v>108</v>
      </c>
      <c r="C106" s="17" t="str">
        <f>IFERROR(VLOOKUP(B106,'MASTER DATA'!$A$1:$E$212,2,FALSE),"")</f>
        <v>BB-100500</v>
      </c>
      <c r="D106" s="17" t="str">
        <f>IFERROR(VLOOKUP(B106,'MASTER DATA'!$A$1:$E$212,5,FALSE),"")</f>
        <v>BAHAN BAKU LUUCA</v>
      </c>
      <c r="E106" s="44" t="s">
        <v>917</v>
      </c>
      <c r="F106" s="17" t="str">
        <f>IFERROR(VLOOKUP(B106,'MASTER DATA'!$A$1:$E$212,4,FALSE),"")</f>
        <v>GR</v>
      </c>
      <c r="G106" s="18" t="s">
        <v>792</v>
      </c>
      <c r="H106" s="18" t="s">
        <v>522</v>
      </c>
      <c r="I106" s="18" t="s">
        <v>1034</v>
      </c>
      <c r="J106" s="18" t="b">
        <v>1</v>
      </c>
    </row>
    <row r="107" hidden="1">
      <c r="A107" s="17"/>
      <c r="B107" s="18" t="s">
        <v>108</v>
      </c>
      <c r="C107" s="17" t="str">
        <f>IFERROR(VLOOKUP(B107,'MASTER DATA'!$A$1:$E$212,2,FALSE),"")</f>
        <v>BB-100500</v>
      </c>
      <c r="D107" s="17" t="str">
        <f>IFERROR(VLOOKUP(B107,'MASTER DATA'!$A$1:$E$212,5,FALSE),"")</f>
        <v>BAHAN BAKU LUUCA</v>
      </c>
      <c r="E107" s="44" t="s">
        <v>750</v>
      </c>
      <c r="F107" s="17" t="str">
        <f>IFERROR(VLOOKUP(B107,'MASTER DATA'!$A$1:$E$212,4,FALSE),"")</f>
        <v>GR</v>
      </c>
      <c r="G107" s="18" t="s">
        <v>496</v>
      </c>
      <c r="H107" s="18" t="s">
        <v>522</v>
      </c>
      <c r="I107" s="18" t="s">
        <v>1041</v>
      </c>
      <c r="J107" s="18" t="b">
        <v>1</v>
      </c>
    </row>
    <row r="108" hidden="1">
      <c r="A108" s="17"/>
      <c r="B108" s="18" t="s">
        <v>109</v>
      </c>
      <c r="C108" s="17" t="str">
        <f>IFERROR(VLOOKUP(B108,'MASTER DATA'!$A$1:$E$212,2,FALSE),"")</f>
        <v>BB-100501</v>
      </c>
      <c r="D108" s="17" t="str">
        <f>IFERROR(VLOOKUP(B108,'MASTER DATA'!$A$1:$E$212,5,FALSE),"")</f>
        <v>BAHAN BAKU LUUCA</v>
      </c>
      <c r="E108" s="44" t="s">
        <v>1098</v>
      </c>
      <c r="F108" s="17" t="str">
        <f>IFERROR(VLOOKUP(B108,'MASTER DATA'!$A$1:$E$212,4,FALSE),"")</f>
        <v>GR</v>
      </c>
      <c r="G108" s="18" t="s">
        <v>496</v>
      </c>
      <c r="H108" s="18" t="s">
        <v>522</v>
      </c>
      <c r="I108" s="18" t="s">
        <v>1041</v>
      </c>
      <c r="J108" s="18" t="b">
        <v>1</v>
      </c>
    </row>
    <row r="109" hidden="1">
      <c r="A109" s="17"/>
      <c r="B109" s="18" t="s">
        <v>238</v>
      </c>
      <c r="C109" s="17" t="str">
        <f>IFERROR(VLOOKUP(B109,'MASTER DATA'!$A$1:$E$212,2,FALSE),"")</f>
        <v>BB-100517</v>
      </c>
      <c r="D109" s="17" t="str">
        <f>IFERROR(VLOOKUP(B109,'MASTER DATA'!$A$1:$E$212,5,FALSE),"")</f>
        <v>PRODUKSI STOK LUUCA</v>
      </c>
      <c r="E109" s="44">
        <v>3.0</v>
      </c>
      <c r="F109" s="17" t="str">
        <f>IFERROR(VLOOKUP(B109,'MASTER DATA'!$A$1:$E$212,4,FALSE),"")</f>
        <v>PCS</v>
      </c>
      <c r="G109" s="18" t="s">
        <v>1089</v>
      </c>
      <c r="H109" s="18" t="s">
        <v>595</v>
      </c>
      <c r="I109" s="18" t="s">
        <v>1034</v>
      </c>
      <c r="J109" s="17" t="b">
        <v>0</v>
      </c>
    </row>
    <row r="110" hidden="1">
      <c r="A110" s="36">
        <v>46228.0</v>
      </c>
      <c r="B110" s="18" t="s">
        <v>108</v>
      </c>
      <c r="C110" s="17" t="str">
        <f>IFERROR(VLOOKUP(B110,'MASTER DATA'!$A$1:$E$212,2,FALSE),"")</f>
        <v>BB-100500</v>
      </c>
      <c r="D110" s="17" t="str">
        <f>IFERROR(VLOOKUP(B110,'MASTER DATA'!$A$1:$E$212,5,FALSE),"")</f>
        <v>BAHAN BAKU LUUCA</v>
      </c>
      <c r="E110" s="44">
        <v>4.0</v>
      </c>
      <c r="F110" s="17" t="str">
        <f>IFERROR(VLOOKUP(B110,'MASTER DATA'!$A$1:$E$212,4,FALSE),"")</f>
        <v>GR</v>
      </c>
      <c r="G110" s="18" t="s">
        <v>792</v>
      </c>
      <c r="H110" s="18" t="s">
        <v>561</v>
      </c>
      <c r="I110" s="18" t="s">
        <v>1034</v>
      </c>
      <c r="J110" s="17" t="b">
        <v>0</v>
      </c>
    </row>
    <row r="111" hidden="1">
      <c r="A111" s="17"/>
      <c r="B111" s="18" t="s">
        <v>53</v>
      </c>
      <c r="C111" s="17" t="str">
        <f>IFERROR(VLOOKUP(B111,'MASTER DATA'!$A$1:$E$212,2,FALSE),"")</f>
        <v>BB-100502</v>
      </c>
      <c r="D111" s="17" t="str">
        <f>IFERROR(VLOOKUP(B111,'MASTER DATA'!$A$1:$E$212,5,FALSE),"")</f>
        <v>BAHAN BAKU LUUCA</v>
      </c>
      <c r="E111" s="44" t="s">
        <v>1074</v>
      </c>
      <c r="F111" s="17" t="str">
        <f>IFERROR(VLOOKUP(B111,'MASTER DATA'!$A$1:$E$212,4,FALSE),"")</f>
        <v>GR</v>
      </c>
      <c r="G111" s="18" t="s">
        <v>793</v>
      </c>
      <c r="H111" s="18" t="s">
        <v>561</v>
      </c>
      <c r="I111" s="18" t="s">
        <v>1034</v>
      </c>
      <c r="J111" s="17" t="b">
        <v>0</v>
      </c>
    </row>
    <row r="112" hidden="1">
      <c r="A112" s="17"/>
      <c r="B112" s="18" t="s">
        <v>34</v>
      </c>
      <c r="C112" s="17" t="str">
        <f>IFERROR(VLOOKUP(B112,'MASTER DATA'!$A$1:$E$212,2,FALSE),"")</f>
        <v>BB-100023</v>
      </c>
      <c r="D112" s="17" t="str">
        <f>IFERROR(VLOOKUP(B112,'MASTER DATA'!$A$1:$E$212,5,FALSE),"")</f>
        <v>BAHAN BAKU LUUCA</v>
      </c>
      <c r="E112" s="44" t="s">
        <v>1099</v>
      </c>
      <c r="F112" s="17" t="str">
        <f>IFERROR(VLOOKUP(B112,'MASTER DATA'!$A$1:$E$212,4,FALSE),"")</f>
        <v>GR</v>
      </c>
      <c r="G112" s="18" t="s">
        <v>703</v>
      </c>
      <c r="H112" s="18" t="s">
        <v>1071</v>
      </c>
      <c r="I112" s="18" t="s">
        <v>1034</v>
      </c>
      <c r="J112" s="17" t="b">
        <v>0</v>
      </c>
    </row>
    <row r="113" hidden="1">
      <c r="A113" s="17"/>
      <c r="B113" s="18" t="s">
        <v>108</v>
      </c>
      <c r="C113" s="17" t="str">
        <f>IFERROR(VLOOKUP(B113,'MASTER DATA'!$A$1:$E$212,2,FALSE),"")</f>
        <v>BB-100500</v>
      </c>
      <c r="D113" s="17" t="str">
        <f>IFERROR(VLOOKUP(B113,'MASTER DATA'!$A$1:$E$212,5,FALSE),"")</f>
        <v>BAHAN BAKU LUUCA</v>
      </c>
      <c r="E113" s="44" t="s">
        <v>1100</v>
      </c>
      <c r="F113" s="17" t="str">
        <f>IFERROR(VLOOKUP(B113,'MASTER DATA'!$A$1:$E$212,4,FALSE),"")</f>
        <v>GR</v>
      </c>
      <c r="G113" s="18" t="s">
        <v>792</v>
      </c>
      <c r="H113" s="18" t="s">
        <v>553</v>
      </c>
      <c r="I113" s="18" t="s">
        <v>1034</v>
      </c>
      <c r="J113" s="17" t="b">
        <v>0</v>
      </c>
    </row>
    <row r="114" hidden="1">
      <c r="A114" s="36">
        <v>46229.0</v>
      </c>
      <c r="B114" s="18" t="s">
        <v>108</v>
      </c>
      <c r="C114" s="17" t="str">
        <f>IFERROR(VLOOKUP(B114,'MASTER DATA'!$A$1:$E$212,2,FALSE),"")</f>
        <v>BB-100500</v>
      </c>
      <c r="D114" s="17" t="str">
        <f>IFERROR(VLOOKUP(B114,'MASTER DATA'!$A$1:$E$212,5,FALSE),"")</f>
        <v>BAHAN BAKU LUUCA</v>
      </c>
      <c r="E114" s="44" t="s">
        <v>1101</v>
      </c>
      <c r="F114" s="17" t="str">
        <f>IFERROR(VLOOKUP(B114,'MASTER DATA'!$A$1:$E$212,4,FALSE),"")</f>
        <v>GR</v>
      </c>
      <c r="G114" s="18" t="s">
        <v>792</v>
      </c>
      <c r="H114" s="18" t="s">
        <v>1016</v>
      </c>
      <c r="I114" s="18" t="s">
        <v>1034</v>
      </c>
      <c r="J114" s="17" t="b">
        <v>0</v>
      </c>
    </row>
    <row r="115" hidden="1">
      <c r="A115" s="17"/>
      <c r="B115" s="18" t="s">
        <v>53</v>
      </c>
      <c r="C115" s="17" t="str">
        <f>IFERROR(VLOOKUP(B115,'MASTER DATA'!$A$1:$E$212,2,FALSE),"")</f>
        <v>BB-100502</v>
      </c>
      <c r="D115" s="17" t="str">
        <f>IFERROR(VLOOKUP(B115,'MASTER DATA'!$A$1:$E$212,5,FALSE),"")</f>
        <v>BAHAN BAKU LUUCA</v>
      </c>
      <c r="E115" s="44" t="s">
        <v>1102</v>
      </c>
      <c r="F115" s="17" t="str">
        <f>IFERROR(VLOOKUP(B115,'MASTER DATA'!$A$1:$E$212,4,FALSE),"")</f>
        <v>GR</v>
      </c>
      <c r="G115" s="18" t="s">
        <v>793</v>
      </c>
      <c r="H115" s="18" t="s">
        <v>561</v>
      </c>
      <c r="I115" s="18" t="s">
        <v>1034</v>
      </c>
      <c r="J115" s="17" t="b">
        <v>0</v>
      </c>
    </row>
    <row r="116" hidden="1">
      <c r="A116" s="17"/>
      <c r="B116" s="18" t="s">
        <v>33</v>
      </c>
      <c r="C116" s="17" t="str">
        <f>IFERROR(VLOOKUP(B116,'MASTER DATA'!$A$1:$E$212,2,FALSE),"")</f>
        <v>BB-100022</v>
      </c>
      <c r="D116" s="17" t="str">
        <f>IFERROR(VLOOKUP(B116,'MASTER DATA'!$A$1:$E$212,5,FALSE),"")</f>
        <v>BAHAN BAKU LUUCA</v>
      </c>
      <c r="E116" s="44" t="s">
        <v>1103</v>
      </c>
      <c r="F116" s="17" t="str">
        <f>IFERROR(VLOOKUP(B116,'MASTER DATA'!$A$1:$E$212,4,FALSE),"")</f>
        <v>GR</v>
      </c>
      <c r="G116" s="18" t="s">
        <v>703</v>
      </c>
      <c r="H116" s="18" t="s">
        <v>561</v>
      </c>
      <c r="I116" s="18" t="s">
        <v>1034</v>
      </c>
      <c r="J116" s="17" t="b">
        <v>0</v>
      </c>
    </row>
    <row r="117" hidden="1">
      <c r="A117" s="17"/>
      <c r="B117" s="18" t="s">
        <v>34</v>
      </c>
      <c r="C117" s="17" t="str">
        <f>IFERROR(VLOOKUP(B117,'MASTER DATA'!$A$1:$E$212,2,FALSE),"")</f>
        <v>BB-100023</v>
      </c>
      <c r="D117" s="17" t="str">
        <f>IFERROR(VLOOKUP(B117,'MASTER DATA'!$A$1:$E$212,5,FALSE),"")</f>
        <v>BAHAN BAKU LUUCA</v>
      </c>
      <c r="E117" s="44">
        <v>561.0</v>
      </c>
      <c r="F117" s="17" t="str">
        <f>IFERROR(VLOOKUP(B117,'MASTER DATA'!$A$1:$E$212,4,FALSE),"")</f>
        <v>GR</v>
      </c>
      <c r="G117" s="18" t="s">
        <v>703</v>
      </c>
      <c r="H117" s="18" t="s">
        <v>561</v>
      </c>
      <c r="I117" s="18" t="s">
        <v>1034</v>
      </c>
      <c r="J117" s="17" t="b">
        <v>0</v>
      </c>
    </row>
    <row r="118" hidden="1">
      <c r="A118" s="17"/>
      <c r="B118" s="18" t="s">
        <v>109</v>
      </c>
      <c r="C118" s="17" t="str">
        <f>IFERROR(VLOOKUP(B118,'MASTER DATA'!$A$1:$E$212,2,FALSE),"")</f>
        <v>BB-100501</v>
      </c>
      <c r="D118" s="17" t="str">
        <f>IFERROR(VLOOKUP(B118,'MASTER DATA'!$A$1:$E$212,5,FALSE),"")</f>
        <v>BAHAN BAKU LUUCA</v>
      </c>
      <c r="E118" s="44" t="s">
        <v>1104</v>
      </c>
      <c r="F118" s="17" t="str">
        <f>IFERROR(VLOOKUP(B118,'MASTER DATA'!$A$1:$E$212,4,FALSE),"")</f>
        <v>GR</v>
      </c>
      <c r="G118" s="18" t="s">
        <v>588</v>
      </c>
      <c r="H118" s="18" t="s">
        <v>522</v>
      </c>
      <c r="I118" s="18" t="s">
        <v>1034</v>
      </c>
      <c r="J118" s="17" t="b">
        <v>0</v>
      </c>
    </row>
    <row r="119">
      <c r="A119" s="36">
        <v>46230.0</v>
      </c>
      <c r="B119" s="18" t="s">
        <v>36</v>
      </c>
      <c r="C119" s="17" t="str">
        <f>IFERROR(VLOOKUP(B119,'MASTER DATA'!$A$1:$E$212,2,FALSE),"")</f>
        <v>BB-100024</v>
      </c>
      <c r="D119" s="17" t="str">
        <f>IFERROR(VLOOKUP(B119,'MASTER DATA'!$A$1:$E$212,5,FALSE),"")</f>
        <v>PRODUKSI STOK LUUCA</v>
      </c>
      <c r="E119" s="44">
        <v>3.0</v>
      </c>
      <c r="F119" s="17" t="str">
        <f>IFERROR(VLOOKUP(B119,'MASTER DATA'!$A$1:$E$212,4,FALSE),"")</f>
        <v>PCS</v>
      </c>
      <c r="G119" s="18" t="s">
        <v>293</v>
      </c>
      <c r="H119" s="18" t="s">
        <v>553</v>
      </c>
      <c r="I119" s="18" t="s">
        <v>293</v>
      </c>
      <c r="J119" s="17" t="b">
        <v>0</v>
      </c>
    </row>
    <row r="120">
      <c r="A120" s="17"/>
      <c r="B120" s="18" t="s">
        <v>179</v>
      </c>
      <c r="C120" s="17" t="str">
        <f>IFERROR(VLOOKUP(B120,'MASTER DATA'!$A$1:$E$212,2,FALSE),"")</f>
        <v>P006-003</v>
      </c>
      <c r="D120" s="17" t="str">
        <f>IFERROR(VLOOKUP(B120,'MASTER DATA'!$A$1:$E$212,5,FALSE),"")</f>
        <v>PRODUKSI STOK LUUCA</v>
      </c>
      <c r="E120" s="44">
        <v>100.0</v>
      </c>
      <c r="F120" s="17" t="str">
        <f>IFERROR(VLOOKUP(B120,'MASTER DATA'!$A$1:$E$212,4,FALSE),"")</f>
        <v>GR</v>
      </c>
      <c r="G120" s="18" t="s">
        <v>293</v>
      </c>
      <c r="H120" s="18" t="s">
        <v>553</v>
      </c>
      <c r="I120" s="18" t="s">
        <v>293</v>
      </c>
      <c r="J120" s="17" t="b">
        <v>0</v>
      </c>
    </row>
    <row r="121" hidden="1">
      <c r="A121" s="17"/>
      <c r="B121" s="18" t="s">
        <v>108</v>
      </c>
      <c r="C121" s="17" t="str">
        <f>IFERROR(VLOOKUP(B121,'MASTER DATA'!$A$1:$E$212,2,FALSE),"")</f>
        <v>BB-100500</v>
      </c>
      <c r="D121" s="17" t="str">
        <f>IFERROR(VLOOKUP(B121,'MASTER DATA'!$A$1:$E$212,5,FALSE),"")</f>
        <v>BAHAN BAKU LUUCA</v>
      </c>
      <c r="E121" s="44">
        <v>14.0</v>
      </c>
      <c r="F121" s="17" t="str">
        <f>IFERROR(VLOOKUP(B121,'MASTER DATA'!$A$1:$E$212,4,FALSE),"")</f>
        <v>GR</v>
      </c>
      <c r="G121" s="18" t="s">
        <v>792</v>
      </c>
      <c r="H121" s="18" t="s">
        <v>553</v>
      </c>
      <c r="I121" s="18" t="s">
        <v>1034</v>
      </c>
      <c r="J121" s="17" t="b">
        <v>0</v>
      </c>
    </row>
    <row r="122" hidden="1">
      <c r="A122" s="36">
        <v>46231.0</v>
      </c>
      <c r="B122" s="18" t="s">
        <v>53</v>
      </c>
      <c r="C122" s="17" t="str">
        <f>IFERROR(VLOOKUP(B122,'MASTER DATA'!$A$1:$E$212,2,FALSE),"")</f>
        <v>BB-100502</v>
      </c>
      <c r="D122" s="17" t="str">
        <f>IFERROR(VLOOKUP(B122,'MASTER DATA'!$A$1:$E$212,5,FALSE),"")</f>
        <v>BAHAN BAKU LUUCA</v>
      </c>
      <c r="E122" s="44" t="s">
        <v>1105</v>
      </c>
      <c r="F122" s="17" t="str">
        <f>IFERROR(VLOOKUP(B122,'MASTER DATA'!$A$1:$E$212,4,FALSE),"")</f>
        <v>GR</v>
      </c>
      <c r="G122" s="18" t="s">
        <v>793</v>
      </c>
      <c r="H122" s="18" t="s">
        <v>1094</v>
      </c>
      <c r="I122" s="18" t="s">
        <v>1034</v>
      </c>
      <c r="J122" s="17" t="b">
        <v>0</v>
      </c>
    </row>
    <row r="123" hidden="1">
      <c r="A123" s="17"/>
      <c r="B123" s="18" t="s">
        <v>53</v>
      </c>
      <c r="C123" s="17" t="str">
        <f>IFERROR(VLOOKUP(B123,'MASTER DATA'!$A$1:$E$212,2,FALSE),"")</f>
        <v>BB-100502</v>
      </c>
      <c r="D123" s="17" t="str">
        <f>IFERROR(VLOOKUP(B123,'MASTER DATA'!$A$1:$E$212,5,FALSE),"")</f>
        <v>BAHAN BAKU LUUCA</v>
      </c>
      <c r="E123" s="44" t="s">
        <v>1106</v>
      </c>
      <c r="F123" s="17" t="str">
        <f>IFERROR(VLOOKUP(B123,'MASTER DATA'!$A$1:$E$212,4,FALSE),"")</f>
        <v>GR</v>
      </c>
      <c r="G123" s="18" t="s">
        <v>793</v>
      </c>
      <c r="H123" s="18" t="s">
        <v>561</v>
      </c>
      <c r="I123" s="18" t="s">
        <v>1034</v>
      </c>
      <c r="J123" s="17" t="b">
        <v>0</v>
      </c>
    </row>
    <row r="124" hidden="1">
      <c r="A124" s="17"/>
      <c r="B124" s="18" t="s">
        <v>34</v>
      </c>
      <c r="C124" s="17" t="str">
        <f>IFERROR(VLOOKUP(B124,'MASTER DATA'!$A$1:$E$212,2,FALSE),"")</f>
        <v>BB-100023</v>
      </c>
      <c r="D124" s="17" t="str">
        <f>IFERROR(VLOOKUP(B124,'MASTER DATA'!$A$1:$E$212,5,FALSE),"")</f>
        <v>BAHAN BAKU LUUCA</v>
      </c>
      <c r="E124" s="44">
        <v>699.0</v>
      </c>
      <c r="F124" s="17" t="str">
        <f>IFERROR(VLOOKUP(B124,'MASTER DATA'!$A$1:$E$212,4,FALSE),"")</f>
        <v>GR</v>
      </c>
      <c r="G124" s="18" t="s">
        <v>703</v>
      </c>
      <c r="H124" s="18" t="s">
        <v>561</v>
      </c>
      <c r="I124" s="18" t="s">
        <v>1034</v>
      </c>
      <c r="J124" s="17" t="b">
        <v>0</v>
      </c>
    </row>
    <row r="125" hidden="1">
      <c r="A125" s="17"/>
      <c r="B125" s="18" t="s">
        <v>108</v>
      </c>
      <c r="C125" s="17" t="str">
        <f>IFERROR(VLOOKUP(B125,'MASTER DATA'!$A$1:$E$212,2,FALSE),"")</f>
        <v>BB-100500</v>
      </c>
      <c r="D125" s="17" t="str">
        <f>IFERROR(VLOOKUP(B125,'MASTER DATA'!$A$1:$E$212,5,FALSE),"")</f>
        <v>BAHAN BAKU LUUCA</v>
      </c>
      <c r="E125" s="44" t="s">
        <v>1107</v>
      </c>
      <c r="F125" s="17" t="str">
        <f>IFERROR(VLOOKUP(B125,'MASTER DATA'!$A$1:$E$212,4,FALSE),"")</f>
        <v>GR</v>
      </c>
      <c r="G125" s="18" t="s">
        <v>792</v>
      </c>
      <c r="H125" s="18" t="s">
        <v>522</v>
      </c>
      <c r="I125" s="18" t="s">
        <v>1034</v>
      </c>
      <c r="J125" s="17" t="b">
        <v>0</v>
      </c>
    </row>
    <row r="126" hidden="1">
      <c r="A126" s="17"/>
      <c r="B126" s="18" t="s">
        <v>34</v>
      </c>
      <c r="C126" s="17" t="str">
        <f>IFERROR(VLOOKUP(B126,'MASTER DATA'!$A$1:$E$212,2,FALSE),"")</f>
        <v>BB-100023</v>
      </c>
      <c r="D126" s="17" t="str">
        <f>IFERROR(VLOOKUP(B126,'MASTER DATA'!$A$1:$E$212,5,FALSE),"")</f>
        <v>BAHAN BAKU LUUCA</v>
      </c>
      <c r="E126" s="44" t="s">
        <v>1108</v>
      </c>
      <c r="F126" s="17" t="str">
        <f>IFERROR(VLOOKUP(B126,'MASTER DATA'!$A$1:$E$212,4,FALSE),"")</f>
        <v>GR</v>
      </c>
      <c r="G126" s="18" t="s">
        <v>703</v>
      </c>
      <c r="H126" s="18" t="s">
        <v>1016</v>
      </c>
      <c r="I126" s="18" t="s">
        <v>1034</v>
      </c>
      <c r="J126" s="17" t="b">
        <v>0</v>
      </c>
    </row>
    <row r="127" hidden="1">
      <c r="A127" s="36">
        <v>46232.0</v>
      </c>
      <c r="B127" s="18" t="s">
        <v>108</v>
      </c>
      <c r="C127" s="17" t="str">
        <f>IFERROR(VLOOKUP(B127,'MASTER DATA'!$A$1:$E$212,2,FALSE),"")</f>
        <v>BB-100500</v>
      </c>
      <c r="D127" s="17" t="str">
        <f>IFERROR(VLOOKUP(B127,'MASTER DATA'!$A$1:$E$212,5,FALSE),"")</f>
        <v>BAHAN BAKU LUUCA</v>
      </c>
      <c r="E127" s="38">
        <f>8+13+1</f>
        <v>22</v>
      </c>
      <c r="F127" s="17" t="str">
        <f>IFERROR(VLOOKUP(B127,'MASTER DATA'!$A$1:$E$212,4,FALSE),"")</f>
        <v>GR</v>
      </c>
      <c r="G127" s="18" t="s">
        <v>792</v>
      </c>
      <c r="H127" s="18" t="s">
        <v>561</v>
      </c>
      <c r="I127" s="18" t="s">
        <v>1034</v>
      </c>
      <c r="J127" s="17" t="b">
        <v>0</v>
      </c>
    </row>
    <row r="128" hidden="1">
      <c r="A128" s="17"/>
      <c r="B128" s="18" t="s">
        <v>33</v>
      </c>
      <c r="C128" s="17" t="str">
        <f>IFERROR(VLOOKUP(B128,'MASTER DATA'!$A$1:$E$212,2,FALSE),"")</f>
        <v>BB-100022</v>
      </c>
      <c r="D128" s="17" t="str">
        <f>IFERROR(VLOOKUP(B128,'MASTER DATA'!$A$1:$E$212,5,FALSE),"")</f>
        <v>BAHAN BAKU LUUCA</v>
      </c>
      <c r="E128" s="44">
        <v>647.0</v>
      </c>
      <c r="F128" s="17" t="str">
        <f>IFERROR(VLOOKUP(B128,'MASTER DATA'!$A$1:$E$212,4,FALSE),"")</f>
        <v>GR</v>
      </c>
      <c r="G128" s="18" t="s">
        <v>703</v>
      </c>
      <c r="H128" s="18" t="s">
        <v>1016</v>
      </c>
      <c r="I128" s="18" t="s">
        <v>1034</v>
      </c>
      <c r="J128" s="17" t="b">
        <v>0</v>
      </c>
    </row>
    <row r="129" hidden="1">
      <c r="A129" s="36">
        <v>46233.0</v>
      </c>
      <c r="B129" s="18" t="s">
        <v>109</v>
      </c>
      <c r="C129" s="17" t="str">
        <f>IFERROR(VLOOKUP(B129,'MASTER DATA'!$A$1:$E$212,2,FALSE),"")</f>
        <v>BB-100501</v>
      </c>
      <c r="D129" s="17" t="str">
        <f>IFERROR(VLOOKUP(B129,'MASTER DATA'!$A$1:$E$212,5,FALSE),"")</f>
        <v>BAHAN BAKU LUUCA</v>
      </c>
      <c r="E129" s="44" t="s">
        <v>1109</v>
      </c>
      <c r="F129" s="17" t="str">
        <f>IFERROR(VLOOKUP(B129,'MASTER DATA'!$A$1:$E$212,4,FALSE),"")</f>
        <v>GR</v>
      </c>
      <c r="G129" s="18" t="s">
        <v>1039</v>
      </c>
      <c r="H129" s="18" t="s">
        <v>595</v>
      </c>
      <c r="I129" s="18" t="s">
        <v>1034</v>
      </c>
      <c r="J129" s="17" t="b">
        <v>0</v>
      </c>
    </row>
    <row r="130" hidden="1">
      <c r="A130" s="17"/>
      <c r="B130" s="18" t="s">
        <v>109</v>
      </c>
      <c r="C130" s="17" t="str">
        <f>IFERROR(VLOOKUP(B130,'MASTER DATA'!$A$1:$E$212,2,FALSE),"")</f>
        <v>BB-100501</v>
      </c>
      <c r="D130" s="17" t="str">
        <f>IFERROR(VLOOKUP(B130,'MASTER DATA'!$A$1:$E$212,5,FALSE),"")</f>
        <v>BAHAN BAKU LUUCA</v>
      </c>
      <c r="E130" s="44">
        <v>40.0</v>
      </c>
      <c r="F130" s="17" t="str">
        <f>IFERROR(VLOOKUP(B130,'MASTER DATA'!$A$1:$E$212,4,FALSE),"")</f>
        <v>GR</v>
      </c>
      <c r="G130" s="18" t="s">
        <v>819</v>
      </c>
      <c r="H130" s="18" t="s">
        <v>595</v>
      </c>
      <c r="I130" s="18" t="s">
        <v>1041</v>
      </c>
      <c r="J130" s="17" t="b">
        <v>0</v>
      </c>
    </row>
    <row r="131" hidden="1">
      <c r="A131" s="17"/>
      <c r="B131" s="18" t="s">
        <v>34</v>
      </c>
      <c r="C131" s="17" t="str">
        <f>IFERROR(VLOOKUP(B131,'MASTER DATA'!$A$1:$E$212,2,FALSE),"")</f>
        <v>BB-100023</v>
      </c>
      <c r="D131" s="17" t="str">
        <f>IFERROR(VLOOKUP(B131,'MASTER DATA'!$A$1:$E$212,5,FALSE),"")</f>
        <v>BAHAN BAKU LUUCA</v>
      </c>
      <c r="E131" s="38">
        <f>572+537</f>
        <v>1109</v>
      </c>
      <c r="F131" s="17" t="str">
        <f>IFERROR(VLOOKUP(B131,'MASTER DATA'!$A$1:$E$212,4,FALSE),"")</f>
        <v>GR</v>
      </c>
      <c r="G131" s="18" t="s">
        <v>703</v>
      </c>
      <c r="H131" s="18" t="s">
        <v>595</v>
      </c>
      <c r="I131" s="18" t="s">
        <v>1034</v>
      </c>
      <c r="J131" s="17" t="b">
        <v>0</v>
      </c>
    </row>
    <row r="132" hidden="1">
      <c r="A132" s="17"/>
      <c r="B132" s="18" t="s">
        <v>514</v>
      </c>
      <c r="C132" s="17" t="str">
        <f>IFERROR(VLOOKUP(B132,'MASTER DATA'!$A$1:$E$212,2,FALSE),"")</f>
        <v>P006-011</v>
      </c>
      <c r="D132" s="17" t="str">
        <f>IFERROR(VLOOKUP(B132,'MASTER DATA'!$A$1:$E$212,5,FALSE),"")</f>
        <v>PRODUKSI STOK LUUCA</v>
      </c>
      <c r="E132" s="44">
        <v>1757.0</v>
      </c>
      <c r="F132" s="17" t="str">
        <f>IFERROR(VLOOKUP(B132,'MASTER DATA'!$A$1:$E$212,4,FALSE),"")</f>
        <v>GR</v>
      </c>
      <c r="G132" s="18" t="s">
        <v>370</v>
      </c>
      <c r="H132" s="18" t="s">
        <v>522</v>
      </c>
      <c r="I132" s="18" t="s">
        <v>1041</v>
      </c>
      <c r="J132" s="17" t="b">
        <v>0</v>
      </c>
    </row>
    <row r="133" hidden="1">
      <c r="A133" s="17"/>
      <c r="B133" s="18" t="s">
        <v>77</v>
      </c>
      <c r="C133" s="17" t="str">
        <f>IFERROR(VLOOKUP(B133,'MASTER DATA'!$A$1:$E$212,2,FALSE),"")</f>
        <v>BB-100251</v>
      </c>
      <c r="D133" s="17" t="str">
        <f>IFERROR(VLOOKUP(B133,'MASTER DATA'!$A$1:$E$212,5,FALSE),"")</f>
        <v>BAHAN BAKU LUUCA</v>
      </c>
      <c r="E133" s="44">
        <v>1.0</v>
      </c>
      <c r="F133" s="17" t="str">
        <f>IFERROR(VLOOKUP(B133,'MASTER DATA'!$A$1:$E$212,4,FALSE),"")</f>
        <v>PCS</v>
      </c>
      <c r="G133" s="18" t="s">
        <v>1110</v>
      </c>
      <c r="H133" s="18" t="s">
        <v>888</v>
      </c>
      <c r="I133" s="18" t="s">
        <v>1041</v>
      </c>
      <c r="J133" s="17" t="b">
        <v>0</v>
      </c>
    </row>
    <row r="134" hidden="1">
      <c r="A134" s="17"/>
      <c r="B134" s="18" t="s">
        <v>238</v>
      </c>
      <c r="C134" s="17" t="str">
        <f>IFERROR(VLOOKUP(B134,'MASTER DATA'!$A$1:$E$212,2,FALSE),"")</f>
        <v>BB-100517</v>
      </c>
      <c r="D134" s="17" t="str">
        <f>IFERROR(VLOOKUP(B134,'MASTER DATA'!$A$1:$E$212,5,FALSE),"")</f>
        <v>PRODUKSI STOK LUUCA</v>
      </c>
      <c r="E134" s="44">
        <v>3.0</v>
      </c>
      <c r="F134" s="17" t="str">
        <f>IFERROR(VLOOKUP(B134,'MASTER DATA'!$A$1:$E$212,4,FALSE),"")</f>
        <v>PCS</v>
      </c>
      <c r="G134" s="18" t="s">
        <v>1089</v>
      </c>
      <c r="H134" s="18" t="s">
        <v>888</v>
      </c>
      <c r="I134" s="18" t="s">
        <v>1034</v>
      </c>
      <c r="J134" s="17" t="b">
        <v>0</v>
      </c>
    </row>
    <row r="135" hidden="1">
      <c r="A135" s="36">
        <v>46234.0</v>
      </c>
      <c r="B135" s="18" t="s">
        <v>53</v>
      </c>
      <c r="C135" s="17" t="str">
        <f>IFERROR(VLOOKUP(B135,'MASTER DATA'!$A$1:$E$212,2,FALSE),"")</f>
        <v>BB-100502</v>
      </c>
      <c r="D135" s="17" t="str">
        <f>IFERROR(VLOOKUP(B135,'MASTER DATA'!$A$1:$E$212,5,FALSE),"")</f>
        <v>BAHAN BAKU LUUCA</v>
      </c>
      <c r="E135" s="44" t="s">
        <v>1111</v>
      </c>
      <c r="F135" s="17" t="str">
        <f>IFERROR(VLOOKUP(B135,'MASTER DATA'!$A$1:$E$212,4,FALSE),"")</f>
        <v>GR</v>
      </c>
      <c r="G135" s="18" t="s">
        <v>793</v>
      </c>
      <c r="H135" s="18" t="s">
        <v>595</v>
      </c>
      <c r="I135" s="18" t="s">
        <v>1034</v>
      </c>
      <c r="J135" s="17" t="b">
        <v>0</v>
      </c>
    </row>
    <row r="136" hidden="1">
      <c r="A136" s="17"/>
      <c r="B136" s="18" t="s">
        <v>53</v>
      </c>
      <c r="C136" s="17" t="str">
        <f>IFERROR(VLOOKUP(B136,'MASTER DATA'!$A$1:$E$212,2,FALSE),"")</f>
        <v>BB-100502</v>
      </c>
      <c r="D136" s="17" t="str">
        <f>IFERROR(VLOOKUP(B136,'MASTER DATA'!$A$1:$E$212,5,FALSE),"")</f>
        <v>BAHAN BAKU LUUCA</v>
      </c>
      <c r="E136" s="44" t="s">
        <v>1112</v>
      </c>
      <c r="F136" s="17" t="str">
        <f>IFERROR(VLOOKUP(B136,'MASTER DATA'!$A$1:$E$212,4,FALSE),"")</f>
        <v>GR</v>
      </c>
      <c r="G136" s="18" t="s">
        <v>1113</v>
      </c>
      <c r="H136" s="18" t="s">
        <v>595</v>
      </c>
      <c r="I136" s="18" t="s">
        <v>1041</v>
      </c>
      <c r="J136" s="17" t="b">
        <v>0</v>
      </c>
    </row>
    <row r="137" hidden="1">
      <c r="A137" s="17"/>
      <c r="B137" s="18" t="s">
        <v>108</v>
      </c>
      <c r="C137" s="17" t="str">
        <f>IFERROR(VLOOKUP(B137,'MASTER DATA'!$A$1:$E$212,2,FALSE),"")</f>
        <v>BB-100500</v>
      </c>
      <c r="D137" s="17" t="str">
        <f>IFERROR(VLOOKUP(B137,'MASTER DATA'!$A$1:$E$212,5,FALSE),"")</f>
        <v>BAHAN BAKU LUUCA</v>
      </c>
      <c r="E137" s="44" t="s">
        <v>1074</v>
      </c>
      <c r="F137" s="17" t="str">
        <f>IFERROR(VLOOKUP(B137,'MASTER DATA'!$A$1:$E$212,4,FALSE),"")</f>
        <v>GR</v>
      </c>
      <c r="G137" s="18" t="s">
        <v>792</v>
      </c>
      <c r="H137" s="18" t="s">
        <v>1114</v>
      </c>
      <c r="I137" s="18" t="s">
        <v>1034</v>
      </c>
      <c r="J137" s="17" t="b">
        <v>0</v>
      </c>
    </row>
    <row r="138" hidden="1">
      <c r="A138" s="17"/>
      <c r="B138" s="18" t="s">
        <v>111</v>
      </c>
      <c r="C138" s="17" t="str">
        <f>IFERROR(VLOOKUP(B138,'MASTER DATA'!$A$1:$E$212,2,FALSE),"")</f>
        <v>BB-100503</v>
      </c>
      <c r="D138" s="17" t="str">
        <f>IFERROR(VLOOKUP(B138,'MASTER DATA'!$A$1:$E$212,5,FALSE),"")</f>
        <v>BAHAN BAKU LUUCA</v>
      </c>
      <c r="E138" s="44" t="s">
        <v>1115</v>
      </c>
      <c r="F138" s="17" t="str">
        <f>IFERROR(VLOOKUP(B138,'MASTER DATA'!$A$1:$E$212,4,FALSE),"")</f>
        <v>GR</v>
      </c>
      <c r="G138" s="18" t="s">
        <v>1116</v>
      </c>
      <c r="H138" s="18" t="s">
        <v>888</v>
      </c>
      <c r="I138" s="18" t="s">
        <v>1041</v>
      </c>
      <c r="J138" s="17" t="b">
        <v>0</v>
      </c>
    </row>
    <row r="139" hidden="1">
      <c r="A139" s="17"/>
      <c r="B139" s="18" t="s">
        <v>512</v>
      </c>
      <c r="C139" s="17" t="str">
        <f>IFERROR(VLOOKUP(B139,'MASTER DATA'!$A$1:$E$212,2,FALSE),"")</f>
        <v>P006-010</v>
      </c>
      <c r="D139" s="17" t="str">
        <f>IFERROR(VLOOKUP(B139,'MASTER DATA'!$A$1:$E$212,5,FALSE),"")</f>
        <v>PRODUKSI STOK LUUCA</v>
      </c>
      <c r="E139" s="44" t="s">
        <v>1117</v>
      </c>
      <c r="F139" s="17" t="str">
        <f>IFERROR(VLOOKUP(B139,'MASTER DATA'!$A$1:$E$212,4,FALSE),"")</f>
        <v>GR</v>
      </c>
      <c r="G139" s="18" t="s">
        <v>1081</v>
      </c>
      <c r="H139" s="18" t="s">
        <v>888</v>
      </c>
      <c r="I139" s="18" t="s">
        <v>1041</v>
      </c>
      <c r="J139" s="17" t="b">
        <v>0</v>
      </c>
    </row>
    <row r="140" hidden="1">
      <c r="A140" s="17"/>
      <c r="B140" s="17"/>
      <c r="C140" s="17" t="str">
        <f>IFERROR(VLOOKUP(B140,'MASTER DATA'!$A$1:$E$212,2,FALSE),"")</f>
        <v/>
      </c>
      <c r="D140" s="17" t="str">
        <f>IFERROR(VLOOKUP(B140,'MASTER DATA'!$A$1:$E$212,5,FALSE),"")</f>
        <v/>
      </c>
      <c r="E140" s="38"/>
      <c r="F140" s="17" t="str">
        <f>IFERROR(VLOOKUP(B140,'MASTER DATA'!$A$1:$E$212,4,FALSE),"")</f>
        <v/>
      </c>
      <c r="G140" s="17"/>
      <c r="H140" s="17"/>
      <c r="I140" s="17"/>
      <c r="J140" s="17" t="b">
        <v>0</v>
      </c>
    </row>
    <row r="141" hidden="1">
      <c r="A141" s="17"/>
      <c r="B141" s="17"/>
      <c r="C141" s="17" t="str">
        <f>IFERROR(VLOOKUP(B141,'MASTER DATA'!$A$1:$E$212,2,FALSE),"")</f>
        <v/>
      </c>
      <c r="D141" s="17" t="str">
        <f>IFERROR(VLOOKUP(B141,'MASTER DATA'!$A$1:$E$212,5,FALSE),"")</f>
        <v/>
      </c>
      <c r="E141" s="38"/>
      <c r="F141" s="17" t="str">
        <f>IFERROR(VLOOKUP(B141,'MASTER DATA'!$A$1:$E$212,4,FALSE),"")</f>
        <v/>
      </c>
      <c r="G141" s="17"/>
      <c r="H141" s="17"/>
      <c r="I141" s="17"/>
      <c r="J141" s="17" t="b">
        <v>0</v>
      </c>
    </row>
    <row r="142" hidden="1">
      <c r="A142" s="17"/>
      <c r="B142" s="17"/>
      <c r="C142" s="17" t="str">
        <f>IFERROR(VLOOKUP(B142,'MASTER DATA'!$A$1:$E$212,2,FALSE),"")</f>
        <v/>
      </c>
      <c r="D142" s="17" t="str">
        <f>IFERROR(VLOOKUP(B142,'MASTER DATA'!$A$1:$E$212,5,FALSE),"")</f>
        <v/>
      </c>
      <c r="E142" s="38"/>
      <c r="F142" s="17" t="str">
        <f>IFERROR(VLOOKUP(B142,'MASTER DATA'!$A$1:$E$212,4,FALSE),"")</f>
        <v/>
      </c>
      <c r="G142" s="17"/>
      <c r="H142" s="17"/>
      <c r="I142" s="17"/>
      <c r="J142" s="17" t="b">
        <v>0</v>
      </c>
    </row>
    <row r="143" hidden="1">
      <c r="A143" s="17"/>
      <c r="B143" s="17"/>
      <c r="C143" s="17" t="str">
        <f>IFERROR(VLOOKUP(B143,'MASTER DATA'!$A$1:$E$212,2,FALSE),"")</f>
        <v/>
      </c>
      <c r="D143" s="17" t="str">
        <f>IFERROR(VLOOKUP(B143,'MASTER DATA'!$A$1:$E$212,5,FALSE),"")</f>
        <v/>
      </c>
      <c r="E143" s="38"/>
      <c r="F143" s="17" t="str">
        <f>IFERROR(VLOOKUP(B143,'MASTER DATA'!$A$1:$E$212,4,FALSE),"")</f>
        <v/>
      </c>
      <c r="G143" s="17"/>
      <c r="H143" s="17"/>
      <c r="I143" s="17"/>
      <c r="J143" s="17" t="b">
        <v>0</v>
      </c>
    </row>
    <row r="144" hidden="1">
      <c r="A144" s="17"/>
      <c r="B144" s="17"/>
      <c r="C144" s="17" t="str">
        <f>IFERROR(VLOOKUP(B144,'MASTER DATA'!$A$1:$E$212,2,FALSE),"")</f>
        <v/>
      </c>
      <c r="D144" s="17" t="str">
        <f>IFERROR(VLOOKUP(B144,'MASTER DATA'!$A$1:$E$212,5,FALSE),"")</f>
        <v/>
      </c>
      <c r="E144" s="38"/>
      <c r="F144" s="17" t="str">
        <f>IFERROR(VLOOKUP(B144,'MASTER DATA'!$A$1:$E$212,4,FALSE),"")</f>
        <v/>
      </c>
      <c r="G144" s="17"/>
      <c r="H144" s="17"/>
      <c r="I144" s="17"/>
      <c r="J144" s="17" t="b">
        <v>0</v>
      </c>
    </row>
    <row r="145" hidden="1">
      <c r="A145" s="17"/>
      <c r="B145" s="17"/>
      <c r="C145" s="17" t="str">
        <f>IFERROR(VLOOKUP(B145,'MASTER DATA'!$A$1:$E$212,2,FALSE),"")</f>
        <v/>
      </c>
      <c r="D145" s="17" t="str">
        <f>IFERROR(VLOOKUP(B145,'MASTER DATA'!$A$1:$E$212,5,FALSE),"")</f>
        <v/>
      </c>
      <c r="E145" s="38"/>
      <c r="F145" s="17" t="str">
        <f>IFERROR(VLOOKUP(B145,'MASTER DATA'!$A$1:$E$212,4,FALSE),"")</f>
        <v/>
      </c>
      <c r="G145" s="17"/>
      <c r="H145" s="17"/>
      <c r="I145" s="17"/>
      <c r="J145" s="17" t="b">
        <v>0</v>
      </c>
    </row>
    <row r="146" hidden="1">
      <c r="A146" s="17"/>
      <c r="B146" s="17"/>
      <c r="C146" s="17" t="str">
        <f>IFERROR(VLOOKUP(B146,'MASTER DATA'!$A$1:$E$212,2,FALSE),"")</f>
        <v/>
      </c>
      <c r="D146" s="17" t="str">
        <f>IFERROR(VLOOKUP(B146,'MASTER DATA'!$A$1:$E$212,5,FALSE),"")</f>
        <v/>
      </c>
      <c r="E146" s="38"/>
      <c r="F146" s="17" t="str">
        <f>IFERROR(VLOOKUP(B146,'MASTER DATA'!$A$1:$E$212,4,FALSE),"")</f>
        <v/>
      </c>
      <c r="G146" s="17"/>
      <c r="H146" s="17"/>
      <c r="I146" s="17"/>
      <c r="J146" s="17" t="b">
        <v>0</v>
      </c>
    </row>
    <row r="147" hidden="1">
      <c r="A147" s="17"/>
      <c r="B147" s="17"/>
      <c r="C147" s="17" t="str">
        <f>IFERROR(VLOOKUP(B147,'MASTER DATA'!$A$1:$E$212,2,FALSE),"")</f>
        <v/>
      </c>
      <c r="D147" s="17" t="str">
        <f>IFERROR(VLOOKUP(B147,'MASTER DATA'!$A$1:$E$212,5,FALSE),"")</f>
        <v/>
      </c>
      <c r="E147" s="38"/>
      <c r="F147" s="17" t="str">
        <f>IFERROR(VLOOKUP(B147,'MASTER DATA'!$A$1:$E$212,4,FALSE),"")</f>
        <v/>
      </c>
      <c r="G147" s="17"/>
      <c r="H147" s="17"/>
      <c r="I147" s="17"/>
      <c r="J147" s="17" t="b">
        <v>0</v>
      </c>
    </row>
    <row r="148" hidden="1">
      <c r="A148" s="17"/>
      <c r="B148" s="17"/>
      <c r="C148" s="17" t="str">
        <f>IFERROR(VLOOKUP(B148,'MASTER DATA'!$A$1:$E$212,2,FALSE),"")</f>
        <v/>
      </c>
      <c r="D148" s="17" t="str">
        <f>IFERROR(VLOOKUP(B148,'MASTER DATA'!$A$1:$E$212,5,FALSE),"")</f>
        <v/>
      </c>
      <c r="E148" s="38"/>
      <c r="F148" s="17" t="str">
        <f>IFERROR(VLOOKUP(B148,'MASTER DATA'!$A$1:$E$212,4,FALSE),"")</f>
        <v/>
      </c>
      <c r="G148" s="17"/>
      <c r="H148" s="17"/>
      <c r="I148" s="17"/>
      <c r="J148" s="17" t="b">
        <v>0</v>
      </c>
    </row>
    <row r="149" hidden="1">
      <c r="A149" s="17"/>
      <c r="B149" s="17"/>
      <c r="C149" s="17" t="str">
        <f>IFERROR(VLOOKUP(B149,'MASTER DATA'!$A$1:$E$212,2,FALSE),"")</f>
        <v/>
      </c>
      <c r="D149" s="17" t="str">
        <f>IFERROR(VLOOKUP(B149,'MASTER DATA'!$A$1:$E$212,5,FALSE),"")</f>
        <v/>
      </c>
      <c r="E149" s="38"/>
      <c r="F149" s="17" t="str">
        <f>IFERROR(VLOOKUP(B149,'MASTER DATA'!$A$1:$E$212,4,FALSE),"")</f>
        <v/>
      </c>
      <c r="G149" s="17"/>
      <c r="H149" s="17"/>
      <c r="I149" s="17"/>
      <c r="J149" s="17" t="b">
        <v>0</v>
      </c>
    </row>
    <row r="150" hidden="1">
      <c r="A150" s="17"/>
      <c r="B150" s="17"/>
      <c r="C150" s="17" t="str">
        <f>IFERROR(VLOOKUP(B150,'MASTER DATA'!$A$1:$E$212,2,FALSE),"")</f>
        <v/>
      </c>
      <c r="D150" s="17" t="str">
        <f>IFERROR(VLOOKUP(B150,'MASTER DATA'!$A$1:$E$212,5,FALSE),"")</f>
        <v/>
      </c>
      <c r="E150" s="38"/>
      <c r="F150" s="17" t="str">
        <f>IFERROR(VLOOKUP(B150,'MASTER DATA'!$A$1:$E$212,4,FALSE),"")</f>
        <v/>
      </c>
      <c r="G150" s="17"/>
      <c r="H150" s="17"/>
      <c r="I150" s="17"/>
      <c r="J150" s="17" t="b">
        <v>0</v>
      </c>
    </row>
    <row r="151" hidden="1">
      <c r="A151" s="17"/>
      <c r="B151" s="17"/>
      <c r="C151" s="17" t="str">
        <f>IFERROR(VLOOKUP(B151,'MASTER DATA'!$A$1:$E$212,2,FALSE),"")</f>
        <v/>
      </c>
      <c r="D151" s="17" t="str">
        <f>IFERROR(VLOOKUP(B151,'MASTER DATA'!$A$1:$E$212,5,FALSE),"")</f>
        <v/>
      </c>
      <c r="E151" s="38"/>
      <c r="F151" s="17" t="str">
        <f>IFERROR(VLOOKUP(B151,'MASTER DATA'!$A$1:$E$212,4,FALSE),"")</f>
        <v/>
      </c>
      <c r="G151" s="17"/>
      <c r="H151" s="17"/>
      <c r="I151" s="17"/>
      <c r="J151" s="17" t="b">
        <v>0</v>
      </c>
    </row>
    <row r="152" hidden="1">
      <c r="A152" s="17"/>
      <c r="B152" s="17"/>
      <c r="C152" s="17" t="str">
        <f>IFERROR(VLOOKUP(B152,'MASTER DATA'!$A$1:$E$212,2,FALSE),"")</f>
        <v/>
      </c>
      <c r="D152" s="17" t="str">
        <f>IFERROR(VLOOKUP(B152,'MASTER DATA'!$A$1:$E$212,5,FALSE),"")</f>
        <v/>
      </c>
      <c r="E152" s="38"/>
      <c r="F152" s="17" t="str">
        <f>IFERROR(VLOOKUP(B152,'MASTER DATA'!$A$1:$E$212,4,FALSE),"")</f>
        <v/>
      </c>
      <c r="G152" s="17"/>
      <c r="H152" s="17"/>
      <c r="I152" s="17"/>
      <c r="J152" s="17" t="b">
        <v>0</v>
      </c>
    </row>
    <row r="153" hidden="1">
      <c r="A153" s="17"/>
      <c r="B153" s="17"/>
      <c r="C153" s="17" t="str">
        <f>IFERROR(VLOOKUP(B153,'MASTER DATA'!$A$1:$E$212,2,FALSE),"")</f>
        <v/>
      </c>
      <c r="D153" s="17" t="str">
        <f>IFERROR(VLOOKUP(B153,'MASTER DATA'!$A$1:$E$212,5,FALSE),"")</f>
        <v/>
      </c>
      <c r="E153" s="38"/>
      <c r="F153" s="17" t="str">
        <f>IFERROR(VLOOKUP(B153,'MASTER DATA'!$A$1:$E$212,4,FALSE),"")</f>
        <v/>
      </c>
      <c r="G153" s="17"/>
      <c r="H153" s="17"/>
      <c r="I153" s="17"/>
      <c r="J153" s="17" t="b">
        <v>0</v>
      </c>
    </row>
    <row r="154" hidden="1">
      <c r="A154" s="17"/>
      <c r="B154" s="17"/>
      <c r="C154" s="17" t="str">
        <f>IFERROR(VLOOKUP(B154,'MASTER DATA'!$A$1:$E$212,2,FALSE),"")</f>
        <v/>
      </c>
      <c r="D154" s="17" t="str">
        <f>IFERROR(VLOOKUP(B154,'MASTER DATA'!$A$1:$E$212,5,FALSE),"")</f>
        <v/>
      </c>
      <c r="E154" s="38"/>
      <c r="F154" s="17" t="str">
        <f>IFERROR(VLOOKUP(B154,'MASTER DATA'!$A$1:$E$212,4,FALSE),"")</f>
        <v/>
      </c>
      <c r="G154" s="17"/>
      <c r="H154" s="17"/>
      <c r="I154" s="17"/>
      <c r="J154" s="17" t="b">
        <v>0</v>
      </c>
    </row>
    <row r="155" hidden="1">
      <c r="A155" s="17"/>
      <c r="B155" s="17"/>
      <c r="C155" s="17" t="str">
        <f>IFERROR(VLOOKUP(B155,'MASTER DATA'!$A$1:$E$212,2,FALSE),"")</f>
        <v/>
      </c>
      <c r="D155" s="17" t="str">
        <f>IFERROR(VLOOKUP(B155,'MASTER DATA'!$A$1:$E$212,5,FALSE),"")</f>
        <v/>
      </c>
      <c r="E155" s="38"/>
      <c r="F155" s="17" t="str">
        <f>IFERROR(VLOOKUP(B155,'MASTER DATA'!$A$1:$E$212,4,FALSE),"")</f>
        <v/>
      </c>
      <c r="G155" s="17"/>
      <c r="H155" s="17"/>
      <c r="I155" s="17"/>
      <c r="J155" s="17" t="b">
        <v>0</v>
      </c>
    </row>
    <row r="156" hidden="1">
      <c r="A156" s="17"/>
      <c r="B156" s="17"/>
      <c r="C156" s="17" t="str">
        <f>IFERROR(VLOOKUP(B156,'MASTER DATA'!$A$1:$E$212,2,FALSE),"")</f>
        <v/>
      </c>
      <c r="D156" s="17" t="str">
        <f>IFERROR(VLOOKUP(B156,'MASTER DATA'!$A$1:$E$212,5,FALSE),"")</f>
        <v/>
      </c>
      <c r="E156" s="17"/>
      <c r="F156" s="17" t="str">
        <f>IFERROR(VLOOKUP(B156,'MASTER DATA'!$A$1:$E$212,4,FALSE),"")</f>
        <v/>
      </c>
      <c r="G156" s="17"/>
      <c r="H156" s="17"/>
      <c r="I156" s="17"/>
      <c r="J156" s="17" t="b">
        <v>0</v>
      </c>
    </row>
    <row r="157" hidden="1">
      <c r="A157" s="17"/>
      <c r="B157" s="17"/>
      <c r="C157" s="17" t="str">
        <f>IFERROR(VLOOKUP(B157,'MASTER DATA'!$A$1:$E$212,2,FALSE),"")</f>
        <v/>
      </c>
      <c r="D157" s="17" t="str">
        <f>IFERROR(VLOOKUP(B157,'MASTER DATA'!$A$1:$E$212,5,FALSE),"")</f>
        <v/>
      </c>
      <c r="E157" s="17"/>
      <c r="F157" s="17" t="str">
        <f>IFERROR(VLOOKUP(B157,'MASTER DATA'!$A$1:$E$212,4,FALSE),"")</f>
        <v/>
      </c>
      <c r="G157" s="17"/>
      <c r="H157" s="17"/>
      <c r="I157" s="17"/>
      <c r="J157" s="17" t="b">
        <v>0</v>
      </c>
    </row>
    <row r="158" hidden="1">
      <c r="A158" s="17"/>
      <c r="B158" s="17"/>
      <c r="C158" s="17" t="str">
        <f>IFERROR(VLOOKUP(B158,'MASTER DATA'!$A$1:$E$212,2,FALSE),"")</f>
        <v/>
      </c>
      <c r="D158" s="17" t="str">
        <f>IFERROR(VLOOKUP(B158,'MASTER DATA'!$A$1:$E$212,5,FALSE),"")</f>
        <v/>
      </c>
      <c r="E158" s="17"/>
      <c r="F158" s="17" t="str">
        <f>IFERROR(VLOOKUP(B158,'MASTER DATA'!$A$1:$E$212,4,FALSE),"")</f>
        <v/>
      </c>
      <c r="G158" s="17"/>
      <c r="H158" s="17"/>
      <c r="I158" s="17"/>
      <c r="J158" s="17" t="b">
        <v>0</v>
      </c>
    </row>
    <row r="159" hidden="1">
      <c r="A159" s="17"/>
      <c r="B159" s="17"/>
      <c r="C159" s="17" t="str">
        <f>IFERROR(VLOOKUP(B159,'MASTER DATA'!$A$1:$E$212,2,FALSE),"")</f>
        <v/>
      </c>
      <c r="D159" s="17" t="str">
        <f>IFERROR(VLOOKUP(B159,'MASTER DATA'!$A$1:$E$212,5,FALSE),"")</f>
        <v/>
      </c>
      <c r="E159" s="17"/>
      <c r="F159" s="17" t="str">
        <f>IFERROR(VLOOKUP(B159,'MASTER DATA'!$A$1:$E$212,4,FALSE),"")</f>
        <v/>
      </c>
      <c r="G159" s="17"/>
      <c r="H159" s="17"/>
      <c r="I159" s="17"/>
      <c r="J159" s="17" t="b">
        <v>0</v>
      </c>
    </row>
    <row r="160" hidden="1">
      <c r="A160" s="17"/>
      <c r="B160" s="17"/>
      <c r="C160" s="17" t="str">
        <f>IFERROR(VLOOKUP(B160,'MASTER DATA'!$A$1:$E$212,2,FALSE),"")</f>
        <v/>
      </c>
      <c r="D160" s="17" t="str">
        <f>IFERROR(VLOOKUP(B160,'MASTER DATA'!$A$1:$E$212,5,FALSE),"")</f>
        <v/>
      </c>
      <c r="E160" s="17"/>
      <c r="F160" s="17" t="str">
        <f>IFERROR(VLOOKUP(B160,'MASTER DATA'!$A$1:$E$212,4,FALSE),"")</f>
        <v/>
      </c>
      <c r="G160" s="17"/>
      <c r="H160" s="17"/>
      <c r="I160" s="17"/>
      <c r="J160" s="17" t="b">
        <v>0</v>
      </c>
    </row>
    <row r="161" hidden="1">
      <c r="A161" s="17"/>
      <c r="B161" s="17"/>
      <c r="C161" s="17" t="str">
        <f>IFERROR(VLOOKUP(B161,'MASTER DATA'!$A$1:$E$212,2,FALSE),"")</f>
        <v/>
      </c>
      <c r="D161" s="17" t="str">
        <f>IFERROR(VLOOKUP(B161,'MASTER DATA'!$A$1:$E$212,5,FALSE),"")</f>
        <v/>
      </c>
      <c r="E161" s="17"/>
      <c r="F161" s="17" t="str">
        <f>IFERROR(VLOOKUP(B161,'MASTER DATA'!$A$1:$E$212,4,FALSE),"")</f>
        <v/>
      </c>
      <c r="G161" s="17"/>
      <c r="H161" s="17"/>
      <c r="I161" s="17"/>
      <c r="J161" s="17" t="b">
        <v>0</v>
      </c>
    </row>
    <row r="162" hidden="1">
      <c r="A162" s="17"/>
      <c r="B162" s="17"/>
      <c r="C162" s="17" t="str">
        <f>IFERROR(VLOOKUP(B162,'MASTER DATA'!$A$1:$E$212,2,FALSE),"")</f>
        <v/>
      </c>
      <c r="D162" s="17" t="str">
        <f>IFERROR(VLOOKUP(B162,'MASTER DATA'!$A$1:$E$212,5,FALSE),"")</f>
        <v/>
      </c>
      <c r="E162" s="17"/>
      <c r="F162" s="17" t="str">
        <f>IFERROR(VLOOKUP(B162,'MASTER DATA'!$A$1:$E$212,4,FALSE),"")</f>
        <v/>
      </c>
      <c r="G162" s="17"/>
      <c r="H162" s="17"/>
      <c r="I162" s="17"/>
      <c r="J162" s="17" t="b">
        <v>0</v>
      </c>
    </row>
    <row r="163" hidden="1">
      <c r="A163" s="17"/>
      <c r="B163" s="17"/>
      <c r="C163" s="17" t="str">
        <f>IFERROR(VLOOKUP(B163,'MASTER DATA'!$A$1:$E$212,2,FALSE),"")</f>
        <v/>
      </c>
      <c r="D163" s="17" t="str">
        <f>IFERROR(VLOOKUP(B163,'MASTER DATA'!$A$1:$E$212,5,FALSE),"")</f>
        <v/>
      </c>
      <c r="E163" s="17"/>
      <c r="F163" s="17" t="str">
        <f>IFERROR(VLOOKUP(B163,'MASTER DATA'!$A$1:$E$212,4,FALSE),"")</f>
        <v/>
      </c>
      <c r="G163" s="17"/>
      <c r="H163" s="17"/>
      <c r="I163" s="17"/>
      <c r="J163" s="17" t="b">
        <v>0</v>
      </c>
    </row>
    <row r="164" hidden="1">
      <c r="A164" s="17"/>
      <c r="B164" s="17"/>
      <c r="C164" s="17" t="str">
        <f>IFERROR(VLOOKUP(B164,'MASTER DATA'!$A$1:$E$212,2,FALSE),"")</f>
        <v/>
      </c>
      <c r="D164" s="17" t="str">
        <f>IFERROR(VLOOKUP(B164,'MASTER DATA'!$A$1:$E$212,5,FALSE),"")</f>
        <v/>
      </c>
      <c r="E164" s="17"/>
      <c r="F164" s="17" t="str">
        <f>IFERROR(VLOOKUP(B164,'MASTER DATA'!$A$1:$E$212,4,FALSE),"")</f>
        <v/>
      </c>
      <c r="G164" s="17"/>
      <c r="H164" s="17"/>
      <c r="I164" s="17"/>
      <c r="J164" s="17" t="b">
        <v>0</v>
      </c>
    </row>
    <row r="165" hidden="1">
      <c r="A165" s="17"/>
      <c r="B165" s="17"/>
      <c r="C165" s="17" t="str">
        <f>IFERROR(VLOOKUP(B165,'MASTER DATA'!$A$1:$E$212,2,FALSE),"")</f>
        <v/>
      </c>
      <c r="D165" s="17" t="str">
        <f>IFERROR(VLOOKUP(B165,'MASTER DATA'!$A$1:$E$212,5,FALSE),"")</f>
        <v/>
      </c>
      <c r="E165" s="17"/>
      <c r="F165" s="17" t="str">
        <f>IFERROR(VLOOKUP(B165,'MASTER DATA'!$A$1:$E$212,4,FALSE),"")</f>
        <v/>
      </c>
      <c r="G165" s="17"/>
      <c r="H165" s="17"/>
      <c r="I165" s="17"/>
      <c r="J165" s="17" t="b">
        <v>0</v>
      </c>
    </row>
    <row r="166" hidden="1">
      <c r="A166" s="17"/>
      <c r="B166" s="17"/>
      <c r="C166" s="17" t="str">
        <f>IFERROR(VLOOKUP(B166,'MASTER DATA'!$A$1:$E$212,2,FALSE),"")</f>
        <v/>
      </c>
      <c r="D166" s="17" t="str">
        <f>IFERROR(VLOOKUP(B166,'MASTER DATA'!$A$1:$E$212,5,FALSE),"")</f>
        <v/>
      </c>
      <c r="E166" s="17"/>
      <c r="F166" s="17" t="str">
        <f>IFERROR(VLOOKUP(B166,'MASTER DATA'!$A$1:$E$212,4,FALSE),"")</f>
        <v/>
      </c>
      <c r="G166" s="17"/>
      <c r="H166" s="17"/>
      <c r="I166" s="17"/>
      <c r="J166" s="17" t="b">
        <v>0</v>
      </c>
    </row>
    <row r="167" hidden="1">
      <c r="A167" s="17"/>
      <c r="B167" s="17"/>
      <c r="C167" s="17" t="str">
        <f>IFERROR(VLOOKUP(B167,'MASTER DATA'!$A$1:$E$212,2,FALSE),"")</f>
        <v/>
      </c>
      <c r="D167" s="17" t="str">
        <f>IFERROR(VLOOKUP(B167,'MASTER DATA'!$A$1:$E$212,5,FALSE),"")</f>
        <v/>
      </c>
      <c r="E167" s="17"/>
      <c r="F167" s="17" t="str">
        <f>IFERROR(VLOOKUP(B167,'MASTER DATA'!$A$1:$E$212,4,FALSE),"")</f>
        <v/>
      </c>
      <c r="G167" s="17"/>
      <c r="H167" s="17"/>
      <c r="I167" s="17"/>
      <c r="J167" s="17" t="b">
        <v>0</v>
      </c>
    </row>
    <row r="168" hidden="1">
      <c r="A168" s="17"/>
      <c r="B168" s="17"/>
      <c r="C168" s="17" t="str">
        <f>IFERROR(VLOOKUP(B168,'MASTER DATA'!$A$1:$E$212,2,FALSE),"")</f>
        <v/>
      </c>
      <c r="D168" s="17" t="str">
        <f>IFERROR(VLOOKUP(B168,'MASTER DATA'!$A$1:$E$212,5,FALSE),"")</f>
        <v/>
      </c>
      <c r="E168" s="17"/>
      <c r="F168" s="17" t="str">
        <f>IFERROR(VLOOKUP(B168,'MASTER DATA'!$A$1:$E$212,4,FALSE),"")</f>
        <v/>
      </c>
      <c r="G168" s="17"/>
      <c r="H168" s="17"/>
      <c r="I168" s="17"/>
      <c r="J168" s="17" t="b">
        <v>0</v>
      </c>
    </row>
    <row r="169" hidden="1">
      <c r="A169" s="17"/>
      <c r="B169" s="17"/>
      <c r="C169" s="17" t="str">
        <f>IFERROR(VLOOKUP(B169,'MASTER DATA'!$A$1:$E$212,2,FALSE),"")</f>
        <v/>
      </c>
      <c r="D169" s="17" t="str">
        <f>IFERROR(VLOOKUP(B169,'MASTER DATA'!$A$1:$E$212,5,FALSE),"")</f>
        <v/>
      </c>
      <c r="E169" s="17"/>
      <c r="F169" s="17" t="str">
        <f>IFERROR(VLOOKUP(B169,'MASTER DATA'!$A$1:$E$212,4,FALSE),"")</f>
        <v/>
      </c>
      <c r="G169" s="17"/>
      <c r="H169" s="17"/>
      <c r="I169" s="17"/>
      <c r="J169" s="17" t="b">
        <v>0</v>
      </c>
    </row>
    <row r="170" hidden="1">
      <c r="A170" s="17"/>
      <c r="B170" s="17"/>
      <c r="C170" s="17" t="str">
        <f>IFERROR(VLOOKUP(B170,'MASTER DATA'!$A$1:$E$212,2,FALSE),"")</f>
        <v/>
      </c>
      <c r="D170" s="17" t="str">
        <f>IFERROR(VLOOKUP(B170,'MASTER DATA'!$A$1:$E$212,5,FALSE),"")</f>
        <v/>
      </c>
      <c r="E170" s="17"/>
      <c r="F170" s="17" t="str">
        <f>IFERROR(VLOOKUP(B170,'MASTER DATA'!$A$1:$E$212,4,FALSE),"")</f>
        <v/>
      </c>
      <c r="G170" s="17"/>
      <c r="H170" s="17"/>
      <c r="I170" s="17"/>
      <c r="J170" s="17" t="b">
        <v>0</v>
      </c>
    </row>
    <row r="171" hidden="1">
      <c r="A171" s="17"/>
      <c r="B171" s="17"/>
      <c r="C171" s="17" t="str">
        <f>IFERROR(VLOOKUP(B171,'MASTER DATA'!$A$1:$E$212,2,FALSE),"")</f>
        <v/>
      </c>
      <c r="D171" s="17" t="str">
        <f>IFERROR(VLOOKUP(B171,'MASTER DATA'!$A$1:$E$212,5,FALSE),"")</f>
        <v/>
      </c>
      <c r="E171" s="17"/>
      <c r="F171" s="17" t="str">
        <f>IFERROR(VLOOKUP(B171,'MASTER DATA'!$A$1:$E$212,4,FALSE),"")</f>
        <v/>
      </c>
      <c r="G171" s="17"/>
      <c r="H171" s="17"/>
      <c r="I171" s="17"/>
      <c r="J171" s="17" t="b">
        <v>0</v>
      </c>
    </row>
    <row r="172" hidden="1">
      <c r="A172" s="17"/>
      <c r="B172" s="17"/>
      <c r="C172" s="17" t="str">
        <f>IFERROR(VLOOKUP(B172,'MASTER DATA'!$A$1:$E$212,2,FALSE),"")</f>
        <v/>
      </c>
      <c r="D172" s="17" t="str">
        <f>IFERROR(VLOOKUP(B172,'MASTER DATA'!$A$1:$E$212,5,FALSE),"")</f>
        <v/>
      </c>
      <c r="E172" s="17"/>
      <c r="F172" s="17" t="str">
        <f>IFERROR(VLOOKUP(B172,'MASTER DATA'!$A$1:$E$212,4,FALSE),"")</f>
        <v/>
      </c>
      <c r="G172" s="17"/>
      <c r="H172" s="17"/>
      <c r="I172" s="17"/>
      <c r="J172" s="17" t="b">
        <v>0</v>
      </c>
    </row>
    <row r="173" hidden="1">
      <c r="A173" s="17"/>
      <c r="B173" s="17"/>
      <c r="C173" s="17" t="str">
        <f>IFERROR(VLOOKUP(B173,'MASTER DATA'!$A$1:$E$212,2,FALSE),"")</f>
        <v/>
      </c>
      <c r="D173" s="17" t="str">
        <f>IFERROR(VLOOKUP(B173,'MASTER DATA'!$A$1:$E$212,5,FALSE),"")</f>
        <v/>
      </c>
      <c r="E173" s="17"/>
      <c r="F173" s="17" t="str">
        <f>IFERROR(VLOOKUP(B173,'MASTER DATA'!$A$1:$E$212,4,FALSE),"")</f>
        <v/>
      </c>
      <c r="G173" s="17"/>
      <c r="H173" s="17"/>
      <c r="I173" s="17"/>
      <c r="J173" s="17" t="b">
        <v>0</v>
      </c>
    </row>
    <row r="174" hidden="1">
      <c r="A174" s="17"/>
      <c r="B174" s="17"/>
      <c r="C174" s="17" t="str">
        <f>IFERROR(VLOOKUP(B174,'MASTER DATA'!$A$1:$E$212,2,FALSE),"")</f>
        <v/>
      </c>
      <c r="D174" s="17" t="str">
        <f>IFERROR(VLOOKUP(B174,'MASTER DATA'!$A$1:$E$212,5,FALSE),"")</f>
        <v/>
      </c>
      <c r="E174" s="17"/>
      <c r="F174" s="17" t="str">
        <f>IFERROR(VLOOKUP(B174,'MASTER DATA'!$A$1:$E$212,4,FALSE),"")</f>
        <v/>
      </c>
      <c r="G174" s="17"/>
      <c r="H174" s="17"/>
      <c r="I174" s="17"/>
      <c r="J174" s="17" t="b">
        <v>0</v>
      </c>
    </row>
    <row r="175" hidden="1">
      <c r="A175" s="17"/>
      <c r="B175" s="17"/>
      <c r="C175" s="17" t="str">
        <f>IFERROR(VLOOKUP(B175,'MASTER DATA'!$A$1:$E$212,2,FALSE),"")</f>
        <v/>
      </c>
      <c r="D175" s="17" t="str">
        <f>IFERROR(VLOOKUP(B175,'MASTER DATA'!$A$1:$E$212,5,FALSE),"")</f>
        <v/>
      </c>
      <c r="E175" s="17"/>
      <c r="F175" s="17" t="str">
        <f>IFERROR(VLOOKUP(B175,'MASTER DATA'!$A$1:$E$212,4,FALSE),"")</f>
        <v/>
      </c>
      <c r="G175" s="17"/>
      <c r="H175" s="17"/>
      <c r="I175" s="17"/>
      <c r="J175" s="17" t="b">
        <v>0</v>
      </c>
    </row>
    <row r="176" hidden="1">
      <c r="A176" s="17"/>
      <c r="B176" s="17"/>
      <c r="C176" s="17" t="str">
        <f>IFERROR(VLOOKUP(B176,'MASTER DATA'!$A$1:$E$212,2,FALSE),"")</f>
        <v/>
      </c>
      <c r="D176" s="17" t="str">
        <f>IFERROR(VLOOKUP(B176,'MASTER DATA'!$A$1:$E$212,5,FALSE),"")</f>
        <v/>
      </c>
      <c r="E176" s="17"/>
      <c r="F176" s="17" t="str">
        <f>IFERROR(VLOOKUP(B176,'MASTER DATA'!$A$1:$E$212,4,FALSE),"")</f>
        <v/>
      </c>
      <c r="G176" s="17"/>
      <c r="H176" s="17"/>
      <c r="I176" s="17"/>
      <c r="J176" s="17" t="b">
        <v>0</v>
      </c>
    </row>
    <row r="177" hidden="1">
      <c r="A177" s="17"/>
      <c r="B177" s="17"/>
      <c r="C177" s="17" t="str">
        <f>IFERROR(VLOOKUP(B177,'MASTER DATA'!$A$1:$E$212,2,FALSE),"")</f>
        <v/>
      </c>
      <c r="D177" s="17" t="str">
        <f>IFERROR(VLOOKUP(B177,'MASTER DATA'!$A$1:$E$212,5,FALSE),"")</f>
        <v/>
      </c>
      <c r="E177" s="17"/>
      <c r="F177" s="17" t="str">
        <f>IFERROR(VLOOKUP(B177,'MASTER DATA'!$A$1:$E$212,4,FALSE),"")</f>
        <v/>
      </c>
      <c r="G177" s="17"/>
      <c r="H177" s="17"/>
      <c r="I177" s="17"/>
      <c r="J177" s="17" t="b">
        <v>0</v>
      </c>
    </row>
    <row r="178" hidden="1">
      <c r="A178" s="17"/>
      <c r="B178" s="17"/>
      <c r="C178" s="17" t="str">
        <f>IFERROR(VLOOKUP(B178,'MASTER DATA'!$A$1:$E$212,2,FALSE),"")</f>
        <v/>
      </c>
      <c r="D178" s="17" t="str">
        <f>IFERROR(VLOOKUP(B178,'MASTER DATA'!$A$1:$E$212,5,FALSE),"")</f>
        <v/>
      </c>
      <c r="E178" s="17"/>
      <c r="F178" s="17" t="str">
        <f>IFERROR(VLOOKUP(B178,'MASTER DATA'!$A$1:$E$212,4,FALSE),"")</f>
        <v/>
      </c>
      <c r="G178" s="17"/>
      <c r="H178" s="17"/>
      <c r="I178" s="17"/>
      <c r="J178" s="17" t="b">
        <v>0</v>
      </c>
    </row>
    <row r="179" hidden="1">
      <c r="A179" s="17"/>
      <c r="B179" s="17"/>
      <c r="C179" s="17" t="str">
        <f>IFERROR(VLOOKUP(B179,'MASTER DATA'!$A$1:$E$212,2,FALSE),"")</f>
        <v/>
      </c>
      <c r="D179" s="17" t="str">
        <f>IFERROR(VLOOKUP(B179,'MASTER DATA'!$A$1:$E$212,5,FALSE),"")</f>
        <v/>
      </c>
      <c r="E179" s="17"/>
      <c r="F179" s="17" t="str">
        <f>IFERROR(VLOOKUP(B179,'MASTER DATA'!$A$1:$E$212,4,FALSE),"")</f>
        <v/>
      </c>
      <c r="G179" s="17"/>
      <c r="H179" s="17"/>
      <c r="I179" s="17"/>
      <c r="J179" s="17" t="b">
        <v>0</v>
      </c>
    </row>
    <row r="180" hidden="1">
      <c r="A180" s="17"/>
      <c r="B180" s="17"/>
      <c r="C180" s="17" t="str">
        <f>IFERROR(VLOOKUP(B180,'MASTER DATA'!$A$1:$E$212,2,FALSE),"")</f>
        <v/>
      </c>
      <c r="D180" s="17" t="str">
        <f>IFERROR(VLOOKUP(B180,'MASTER DATA'!$A$1:$E$212,5,FALSE),"")</f>
        <v/>
      </c>
      <c r="E180" s="17"/>
      <c r="F180" s="17" t="str">
        <f>IFERROR(VLOOKUP(B180,'MASTER DATA'!$A$1:$E$212,4,FALSE),"")</f>
        <v/>
      </c>
      <c r="G180" s="17"/>
      <c r="H180" s="17"/>
      <c r="I180" s="17"/>
      <c r="J180" s="17" t="b">
        <v>0</v>
      </c>
    </row>
    <row r="181" hidden="1">
      <c r="A181" s="17"/>
      <c r="B181" s="17"/>
      <c r="C181" s="17" t="str">
        <f>IFERROR(VLOOKUP(B181,'MASTER DATA'!$A$1:$E$212,2,FALSE),"")</f>
        <v/>
      </c>
      <c r="D181" s="17" t="str">
        <f>IFERROR(VLOOKUP(B181,'MASTER DATA'!$A$1:$E$212,5,FALSE),"")</f>
        <v/>
      </c>
      <c r="E181" s="17"/>
      <c r="F181" s="17" t="str">
        <f>IFERROR(VLOOKUP(B181,'MASTER DATA'!$A$1:$E$212,4,FALSE),"")</f>
        <v/>
      </c>
      <c r="G181" s="17"/>
      <c r="H181" s="17"/>
      <c r="I181" s="17"/>
      <c r="J181" s="17" t="b">
        <v>0</v>
      </c>
    </row>
    <row r="182" hidden="1">
      <c r="A182" s="17"/>
      <c r="B182" s="17"/>
      <c r="C182" s="17" t="str">
        <f>IFERROR(VLOOKUP(B182,'MASTER DATA'!$A$1:$E$212,2,FALSE),"")</f>
        <v/>
      </c>
      <c r="D182" s="17" t="str">
        <f>IFERROR(VLOOKUP(B182,'MASTER DATA'!$A$1:$E$212,5,FALSE),"")</f>
        <v/>
      </c>
      <c r="E182" s="17"/>
      <c r="F182" s="17" t="str">
        <f>IFERROR(VLOOKUP(B182,'MASTER DATA'!$A$1:$E$212,4,FALSE),"")</f>
        <v/>
      </c>
      <c r="G182" s="17"/>
      <c r="H182" s="17"/>
      <c r="I182" s="17"/>
      <c r="J182" s="17" t="b">
        <v>0</v>
      </c>
    </row>
    <row r="183" hidden="1">
      <c r="A183" s="17"/>
      <c r="B183" s="17"/>
      <c r="C183" s="17" t="str">
        <f>IFERROR(VLOOKUP(B183,'MASTER DATA'!$A$1:$E$212,2,FALSE),"")</f>
        <v/>
      </c>
      <c r="D183" s="17" t="str">
        <f>IFERROR(VLOOKUP(B183,'MASTER DATA'!$A$1:$E$212,5,FALSE),"")</f>
        <v/>
      </c>
      <c r="E183" s="17"/>
      <c r="F183" s="17" t="str">
        <f>IFERROR(VLOOKUP(B183,'MASTER DATA'!$A$1:$E$212,4,FALSE),"")</f>
        <v/>
      </c>
      <c r="G183" s="17"/>
      <c r="H183" s="17"/>
      <c r="I183" s="17"/>
      <c r="J183" s="17" t="b">
        <v>0</v>
      </c>
    </row>
    <row r="184" hidden="1">
      <c r="A184" s="17"/>
      <c r="B184" s="17"/>
      <c r="C184" s="17" t="str">
        <f>IFERROR(VLOOKUP(B184,'MASTER DATA'!$A$1:$E$212,2,FALSE),"")</f>
        <v/>
      </c>
      <c r="D184" s="17" t="str">
        <f>IFERROR(VLOOKUP(B184,'MASTER DATA'!$A$1:$E$212,5,FALSE),"")</f>
        <v/>
      </c>
      <c r="E184" s="17"/>
      <c r="F184" s="17" t="str">
        <f>IFERROR(VLOOKUP(B184,'MASTER DATA'!$A$1:$E$212,4,FALSE),"")</f>
        <v/>
      </c>
      <c r="G184" s="17"/>
      <c r="H184" s="17"/>
      <c r="I184" s="17"/>
      <c r="J184" s="17" t="b">
        <v>0</v>
      </c>
    </row>
    <row r="185" hidden="1">
      <c r="A185" s="17"/>
      <c r="B185" s="17"/>
      <c r="C185" s="17" t="str">
        <f>IFERROR(VLOOKUP(B185,'MASTER DATA'!$A$1:$E$212,2,FALSE),"")</f>
        <v/>
      </c>
      <c r="D185" s="17" t="str">
        <f>IFERROR(VLOOKUP(B185,'MASTER DATA'!$A$1:$E$212,5,FALSE),"")</f>
        <v/>
      </c>
      <c r="E185" s="17"/>
      <c r="F185" s="17" t="str">
        <f>IFERROR(VLOOKUP(B185,'MASTER DATA'!$A$1:$E$212,4,FALSE),"")</f>
        <v/>
      </c>
      <c r="G185" s="17"/>
      <c r="H185" s="17"/>
      <c r="I185" s="17"/>
      <c r="J185" s="17" t="b">
        <v>0</v>
      </c>
    </row>
    <row r="186" hidden="1">
      <c r="A186" s="17"/>
      <c r="B186" s="17"/>
      <c r="C186" s="17" t="str">
        <f>IFERROR(VLOOKUP(B186,'MASTER DATA'!$A$1:$E$212,2,FALSE),"")</f>
        <v/>
      </c>
      <c r="D186" s="17" t="str">
        <f>IFERROR(VLOOKUP(B186,'MASTER DATA'!$A$1:$E$212,5,FALSE),"")</f>
        <v/>
      </c>
      <c r="E186" s="17"/>
      <c r="F186" s="17" t="str">
        <f>IFERROR(VLOOKUP(B186,'MASTER DATA'!$A$1:$E$212,4,FALSE),"")</f>
        <v/>
      </c>
      <c r="G186" s="17"/>
      <c r="H186" s="17"/>
      <c r="I186" s="17"/>
      <c r="J186" s="17" t="b">
        <v>0</v>
      </c>
    </row>
    <row r="187" hidden="1">
      <c r="A187" s="17"/>
      <c r="B187" s="17"/>
      <c r="C187" s="17" t="str">
        <f>IFERROR(VLOOKUP(B187,'MASTER DATA'!$A$1:$E$212,2,FALSE),"")</f>
        <v/>
      </c>
      <c r="D187" s="17" t="str">
        <f>IFERROR(VLOOKUP(B187,'MASTER DATA'!$A$1:$E$212,5,FALSE),"")</f>
        <v/>
      </c>
      <c r="E187" s="17"/>
      <c r="F187" s="17" t="str">
        <f>IFERROR(VLOOKUP(B187,'MASTER DATA'!$A$1:$E$212,4,FALSE),"")</f>
        <v/>
      </c>
      <c r="G187" s="17"/>
      <c r="H187" s="17"/>
      <c r="I187" s="17"/>
      <c r="J187" s="17" t="b">
        <v>0</v>
      </c>
    </row>
    <row r="188" hidden="1">
      <c r="A188" s="17"/>
      <c r="B188" s="17"/>
      <c r="C188" s="17" t="str">
        <f>IFERROR(VLOOKUP(B188,'MASTER DATA'!$A$1:$E$212,2,FALSE),"")</f>
        <v/>
      </c>
      <c r="D188" s="17" t="str">
        <f>IFERROR(VLOOKUP(B188,'MASTER DATA'!$A$1:$E$212,5,FALSE),"")</f>
        <v/>
      </c>
      <c r="E188" s="17"/>
      <c r="F188" s="17" t="str">
        <f>IFERROR(VLOOKUP(B188,'MASTER DATA'!$A$1:$E$212,4,FALSE),"")</f>
        <v/>
      </c>
      <c r="G188" s="17"/>
      <c r="H188" s="17"/>
      <c r="I188" s="17"/>
      <c r="J188" s="17" t="b">
        <v>0</v>
      </c>
    </row>
    <row r="189" hidden="1">
      <c r="A189" s="17"/>
      <c r="B189" s="17"/>
      <c r="C189" s="17" t="str">
        <f>IFERROR(VLOOKUP(B189,'MASTER DATA'!$A$1:$E$212,2,FALSE),"")</f>
        <v/>
      </c>
      <c r="D189" s="17" t="str">
        <f>IFERROR(VLOOKUP(B189,'MASTER DATA'!$A$1:$E$212,5,FALSE),"")</f>
        <v/>
      </c>
      <c r="E189" s="17"/>
      <c r="F189" s="17" t="str">
        <f>IFERROR(VLOOKUP(B189,'MASTER DATA'!$A$1:$E$212,4,FALSE),"")</f>
        <v/>
      </c>
      <c r="G189" s="17"/>
      <c r="H189" s="17"/>
      <c r="I189" s="17"/>
      <c r="J189" s="17" t="b">
        <v>0</v>
      </c>
    </row>
    <row r="190" hidden="1">
      <c r="A190" s="17"/>
      <c r="B190" s="17"/>
      <c r="C190" s="17" t="str">
        <f>IFERROR(VLOOKUP(B190,'MASTER DATA'!$A$1:$E$212,2,FALSE),"")</f>
        <v/>
      </c>
      <c r="D190" s="17" t="str">
        <f>IFERROR(VLOOKUP(B190,'MASTER DATA'!$A$1:$E$212,5,FALSE),"")</f>
        <v/>
      </c>
      <c r="E190" s="17"/>
      <c r="F190" s="17" t="str">
        <f>IFERROR(VLOOKUP(B190,'MASTER DATA'!$A$1:$E$212,4,FALSE),"")</f>
        <v/>
      </c>
      <c r="G190" s="17"/>
      <c r="H190" s="17"/>
      <c r="I190" s="17"/>
      <c r="J190" s="17" t="b">
        <v>0</v>
      </c>
    </row>
    <row r="191" hidden="1">
      <c r="A191" s="17"/>
      <c r="B191" s="17"/>
      <c r="C191" s="17" t="str">
        <f>IFERROR(VLOOKUP(B191,'MASTER DATA'!$A$1:$E$212,2,FALSE),"")</f>
        <v/>
      </c>
      <c r="D191" s="17" t="str">
        <f>IFERROR(VLOOKUP(B191,'MASTER DATA'!$A$1:$E$212,5,FALSE),"")</f>
        <v/>
      </c>
      <c r="E191" s="17"/>
      <c r="F191" s="17" t="str">
        <f>IFERROR(VLOOKUP(B191,'MASTER DATA'!$A$1:$E$212,4,FALSE),"")</f>
        <v/>
      </c>
      <c r="G191" s="17"/>
      <c r="H191" s="17"/>
      <c r="I191" s="17"/>
      <c r="J191" s="17" t="b">
        <v>0</v>
      </c>
    </row>
    <row r="192" hidden="1">
      <c r="A192" s="17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 t="str">
        <f>IFERROR(VLOOKUP(B192,'MASTER DATA'!$A$1:$E$212,4,FALSE),"")</f>
        <v/>
      </c>
      <c r="G192" s="17"/>
      <c r="H192" s="17"/>
      <c r="I192" s="17"/>
      <c r="J192" s="17" t="b">
        <v>0</v>
      </c>
    </row>
    <row r="193" hidden="1">
      <c r="A193" s="17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 t="str">
        <f>IFERROR(VLOOKUP(B193,'MASTER DATA'!$A$1:$E$212,4,FALSE),"")</f>
        <v/>
      </c>
      <c r="G193" s="17"/>
      <c r="H193" s="17"/>
      <c r="I193" s="17"/>
      <c r="J193" s="17" t="b">
        <v>0</v>
      </c>
    </row>
    <row r="194" hidden="1">
      <c r="A194" s="17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 t="str">
        <f>IFERROR(VLOOKUP(B194,'MASTER DATA'!$A$1:$E$212,4,FALSE),"")</f>
        <v/>
      </c>
      <c r="G194" s="17"/>
      <c r="H194" s="17"/>
      <c r="I194" s="17"/>
      <c r="J194" s="17" t="b">
        <v>0</v>
      </c>
    </row>
    <row r="195" hidden="1">
      <c r="A195" s="17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 t="str">
        <f>IFERROR(VLOOKUP(B195,'MASTER DATA'!$A$1:$E$212,4,FALSE),"")</f>
        <v/>
      </c>
      <c r="G195" s="17"/>
      <c r="H195" s="17"/>
      <c r="I195" s="17"/>
      <c r="J195" s="17" t="b">
        <v>0</v>
      </c>
    </row>
    <row r="196" hidden="1">
      <c r="A196" s="17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 t="str">
        <f>IFERROR(VLOOKUP(B196,'MASTER DATA'!$A$1:$E$212,4,FALSE),"")</f>
        <v/>
      </c>
      <c r="G196" s="17"/>
      <c r="H196" s="17"/>
      <c r="I196" s="17"/>
      <c r="J196" s="17" t="b">
        <v>0</v>
      </c>
    </row>
    <row r="197" hidden="1">
      <c r="A197" s="17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 t="str">
        <f>IFERROR(VLOOKUP(B197,'MASTER DATA'!$A$1:$E$212,4,FALSE),"")</f>
        <v/>
      </c>
      <c r="G197" s="17"/>
      <c r="H197" s="17"/>
      <c r="I197" s="17"/>
      <c r="J197" s="17" t="b">
        <v>0</v>
      </c>
    </row>
    <row r="198" hidden="1">
      <c r="A198" s="17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 t="str">
        <f>IFERROR(VLOOKUP(B198,'MASTER DATA'!$A$1:$E$212,4,FALSE),"")</f>
        <v/>
      </c>
      <c r="G198" s="17"/>
      <c r="H198" s="17"/>
      <c r="I198" s="17"/>
      <c r="J198" s="17" t="b">
        <v>0</v>
      </c>
    </row>
    <row r="199" hidden="1">
      <c r="A199" s="17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 t="str">
        <f>IFERROR(VLOOKUP(B199,'MASTER DATA'!$A$1:$E$212,4,FALSE),"")</f>
        <v/>
      </c>
      <c r="G199" s="17"/>
      <c r="H199" s="17"/>
      <c r="I199" s="17"/>
      <c r="J199" s="17" t="b">
        <v>0</v>
      </c>
    </row>
    <row r="200" hidden="1">
      <c r="A200" s="17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 t="str">
        <f>IFERROR(VLOOKUP(B200,'MASTER DATA'!$A$1:$E$212,4,FALSE),"")</f>
        <v/>
      </c>
      <c r="G200" s="17"/>
      <c r="H200" s="17"/>
      <c r="I200" s="17"/>
      <c r="J200" s="17" t="b">
        <v>0</v>
      </c>
    </row>
    <row r="201" hidden="1">
      <c r="A201" s="17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 t="str">
        <f>IFERROR(VLOOKUP(B201,'MASTER DATA'!$A$1:$E$212,4,FALSE),"")</f>
        <v/>
      </c>
      <c r="G201" s="17"/>
      <c r="H201" s="17"/>
      <c r="I201" s="17"/>
      <c r="J201" s="17" t="b">
        <v>0</v>
      </c>
    </row>
    <row r="202" hidden="1">
      <c r="A202" s="17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 t="str">
        <f>IFERROR(VLOOKUP(B202,'MASTER DATA'!$A$1:$E$212,4,FALSE),"")</f>
        <v/>
      </c>
      <c r="G202" s="17"/>
      <c r="H202" s="17"/>
      <c r="I202" s="17"/>
      <c r="J202" s="17" t="b">
        <v>0</v>
      </c>
    </row>
    <row r="203" hidden="1">
      <c r="A203" s="17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 t="str">
        <f>IFERROR(VLOOKUP(B203,'MASTER DATA'!$A$1:$E$212,4,FALSE),"")</f>
        <v/>
      </c>
      <c r="G203" s="17"/>
      <c r="H203" s="17"/>
      <c r="I203" s="17"/>
      <c r="J203" s="17" t="b">
        <v>0</v>
      </c>
    </row>
    <row r="204" hidden="1">
      <c r="A204" s="17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 t="str">
        <f>IFERROR(VLOOKUP(B204,'MASTER DATA'!$A$1:$E$212,4,FALSE),"")</f>
        <v/>
      </c>
      <c r="G204" s="17"/>
      <c r="H204" s="17"/>
      <c r="I204" s="17"/>
      <c r="J204" s="17" t="b">
        <v>0</v>
      </c>
    </row>
    <row r="205" hidden="1">
      <c r="A205" s="17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 t="str">
        <f>IFERROR(VLOOKUP(B205,'MASTER DATA'!$A$1:$E$212,4,FALSE),"")</f>
        <v/>
      </c>
      <c r="G205" s="17"/>
      <c r="H205" s="17"/>
      <c r="I205" s="17"/>
      <c r="J205" s="17" t="b">
        <v>0</v>
      </c>
    </row>
    <row r="206" hidden="1">
      <c r="A206" s="17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 t="str">
        <f>IFERROR(VLOOKUP(B206,'MASTER DATA'!$A$1:$E$212,4,FALSE),"")</f>
        <v/>
      </c>
      <c r="G206" s="17"/>
      <c r="H206" s="17"/>
      <c r="I206" s="17"/>
      <c r="J206" s="17" t="b">
        <v>0</v>
      </c>
    </row>
    <row r="207" hidden="1">
      <c r="A207" s="17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 t="str">
        <f>IFERROR(VLOOKUP(B207,'MASTER DATA'!$A$1:$E$212,4,FALSE),"")</f>
        <v/>
      </c>
      <c r="G207" s="17"/>
      <c r="H207" s="17"/>
      <c r="I207" s="17"/>
      <c r="J207" s="17" t="b">
        <v>0</v>
      </c>
    </row>
    <row r="208" hidden="1">
      <c r="A208" s="17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 t="str">
        <f>IFERROR(VLOOKUP(B208,'MASTER DATA'!$A$1:$E$212,4,FALSE),"")</f>
        <v/>
      </c>
      <c r="G208" s="17"/>
      <c r="H208" s="17"/>
      <c r="I208" s="17"/>
      <c r="J208" s="17" t="b">
        <v>0</v>
      </c>
    </row>
    <row r="209" hidden="1">
      <c r="A209" s="17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 t="str">
        <f>IFERROR(VLOOKUP(B209,'MASTER DATA'!$A$1:$E$212,4,FALSE),"")</f>
        <v/>
      </c>
      <c r="G209" s="17"/>
      <c r="H209" s="17"/>
      <c r="I209" s="17"/>
      <c r="J209" s="17" t="b">
        <v>0</v>
      </c>
    </row>
    <row r="210" hidden="1">
      <c r="A210" s="17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 t="str">
        <f>IFERROR(VLOOKUP(B210,'MASTER DATA'!$A$1:$E$212,4,FALSE),"")</f>
        <v/>
      </c>
      <c r="G210" s="17"/>
      <c r="H210" s="17"/>
      <c r="I210" s="17"/>
      <c r="J210" s="17" t="b">
        <v>0</v>
      </c>
    </row>
    <row r="211" hidden="1">
      <c r="A211" s="17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 t="str">
        <f>IFERROR(VLOOKUP(B211,'MASTER DATA'!$A$1:$E$212,4,FALSE),"")</f>
        <v/>
      </c>
      <c r="G211" s="17"/>
      <c r="H211" s="17"/>
      <c r="I211" s="17"/>
      <c r="J211" s="17" t="b">
        <v>0</v>
      </c>
    </row>
    <row r="212" hidden="1">
      <c r="A212" s="17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 t="str">
        <f>IFERROR(VLOOKUP(B212,'MASTER DATA'!$A$1:$E$212,4,FALSE),"")</f>
        <v/>
      </c>
      <c r="G212" s="17"/>
      <c r="H212" s="17"/>
      <c r="I212" s="17"/>
      <c r="J212" s="17" t="b">
        <v>0</v>
      </c>
    </row>
    <row r="213" hidden="1">
      <c r="A213" s="17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 t="str">
        <f>IFERROR(VLOOKUP(B213,'MASTER DATA'!$A$1:$E$212,4,FALSE),"")</f>
        <v/>
      </c>
      <c r="G213" s="17"/>
      <c r="H213" s="17"/>
      <c r="I213" s="17"/>
      <c r="J213" s="17" t="b">
        <v>0</v>
      </c>
    </row>
    <row r="214" hidden="1">
      <c r="A214" s="17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 t="str">
        <f>IFERROR(VLOOKUP(B214,'MASTER DATA'!$A$1:$E$212,4,FALSE),"")</f>
        <v/>
      </c>
      <c r="G214" s="17"/>
      <c r="H214" s="17"/>
      <c r="I214" s="17"/>
      <c r="J214" s="17" t="b">
        <v>0</v>
      </c>
    </row>
    <row r="215" hidden="1">
      <c r="A215" s="17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 t="str">
        <f>IFERROR(VLOOKUP(B215,'MASTER DATA'!$A$1:$E$212,4,FALSE),"")</f>
        <v/>
      </c>
      <c r="G215" s="17"/>
      <c r="H215" s="17"/>
      <c r="I215" s="17"/>
      <c r="J215" s="17" t="b">
        <v>0</v>
      </c>
    </row>
    <row r="216" hidden="1">
      <c r="A216" s="17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 t="str">
        <f>IFERROR(VLOOKUP(B216,'MASTER DATA'!$A$1:$E$212,4,FALSE),"")</f>
        <v/>
      </c>
      <c r="G216" s="17"/>
      <c r="H216" s="17"/>
      <c r="I216" s="17"/>
      <c r="J216" s="17" t="b">
        <v>0</v>
      </c>
    </row>
    <row r="217" hidden="1">
      <c r="A217" s="17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 t="str">
        <f>IFERROR(VLOOKUP(B217,'MASTER DATA'!$A$1:$E$212,4,FALSE),"")</f>
        <v/>
      </c>
      <c r="G217" s="17"/>
      <c r="H217" s="17"/>
      <c r="I217" s="17"/>
      <c r="J217" s="17" t="b">
        <v>0</v>
      </c>
    </row>
    <row r="218" hidden="1">
      <c r="A218" s="17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 t="str">
        <f>IFERROR(VLOOKUP(B218,'MASTER DATA'!$A$1:$E$212,4,FALSE),"")</f>
        <v/>
      </c>
      <c r="G218" s="17"/>
      <c r="H218" s="17"/>
      <c r="I218" s="17"/>
      <c r="J218" s="17" t="b">
        <v>0</v>
      </c>
    </row>
    <row r="219" hidden="1">
      <c r="A219" s="17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 t="str">
        <f>IFERROR(VLOOKUP(B219,'MASTER DATA'!$A$1:$E$212,4,FALSE),"")</f>
        <v/>
      </c>
      <c r="G219" s="17"/>
      <c r="H219" s="17"/>
      <c r="I219" s="17"/>
      <c r="J219" s="17" t="b">
        <v>0</v>
      </c>
    </row>
    <row r="220" hidden="1">
      <c r="A220" s="17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 t="str">
        <f>IFERROR(VLOOKUP(B220,'MASTER DATA'!$A$1:$E$212,4,FALSE),"")</f>
        <v/>
      </c>
      <c r="G220" s="17"/>
      <c r="H220" s="17"/>
      <c r="I220" s="17"/>
      <c r="J220" s="17" t="b">
        <v>0</v>
      </c>
    </row>
    <row r="221" hidden="1">
      <c r="A221" s="17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 t="str">
        <f>IFERROR(VLOOKUP(B221,'MASTER DATA'!$A$1:$E$212,4,FALSE),"")</f>
        <v/>
      </c>
      <c r="G221" s="17"/>
      <c r="H221" s="17"/>
      <c r="I221" s="17"/>
      <c r="J221" s="17" t="b">
        <v>0</v>
      </c>
    </row>
    <row r="222" hidden="1">
      <c r="A222" s="17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 t="str">
        <f>IFERROR(VLOOKUP(B222,'MASTER DATA'!$A$1:$E$212,4,FALSE),"")</f>
        <v/>
      </c>
      <c r="G222" s="17"/>
      <c r="H222" s="17"/>
      <c r="I222" s="17"/>
      <c r="J222" s="17" t="b">
        <v>0</v>
      </c>
    </row>
    <row r="223" hidden="1">
      <c r="A223" s="17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 t="str">
        <f>IFERROR(VLOOKUP(B223,'MASTER DATA'!$A$1:$E$212,4,FALSE),"")</f>
        <v/>
      </c>
      <c r="G223" s="17"/>
      <c r="H223" s="17"/>
      <c r="I223" s="17"/>
      <c r="J223" s="17" t="b">
        <v>0</v>
      </c>
    </row>
    <row r="224" hidden="1">
      <c r="A224" s="17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 t="str">
        <f>IFERROR(VLOOKUP(B224,'MASTER DATA'!$A$1:$E$212,4,FALSE),"")</f>
        <v/>
      </c>
      <c r="G224" s="17"/>
      <c r="H224" s="17"/>
      <c r="I224" s="17"/>
      <c r="J224" s="17" t="b">
        <v>0</v>
      </c>
    </row>
    <row r="225" hidden="1">
      <c r="A225" s="17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 t="str">
        <f>IFERROR(VLOOKUP(B225,'MASTER DATA'!$A$1:$E$212,4,FALSE),"")</f>
        <v/>
      </c>
      <c r="G225" s="17"/>
      <c r="H225" s="17"/>
      <c r="I225" s="17"/>
      <c r="J225" s="17" t="b">
        <v>0</v>
      </c>
    </row>
    <row r="226" hidden="1">
      <c r="A226" s="17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 t="str">
        <f>IFERROR(VLOOKUP(B226,'MASTER DATA'!$A$1:$E$212,4,FALSE),"")</f>
        <v/>
      </c>
      <c r="G226" s="17"/>
      <c r="H226" s="17"/>
      <c r="I226" s="17"/>
      <c r="J226" s="17" t="b">
        <v>0</v>
      </c>
    </row>
    <row r="227" hidden="1">
      <c r="A227" s="17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 t="str">
        <f>IFERROR(VLOOKUP(B227,'MASTER DATA'!$A$1:$E$212,4,FALSE),"")</f>
        <v/>
      </c>
      <c r="G227" s="17"/>
      <c r="H227" s="17"/>
      <c r="I227" s="17"/>
      <c r="J227" s="17" t="b">
        <v>0</v>
      </c>
    </row>
    <row r="228" hidden="1">
      <c r="A228" s="17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 t="str">
        <f>IFERROR(VLOOKUP(B228,'MASTER DATA'!$A$1:$E$212,4,FALSE),"")</f>
        <v/>
      </c>
      <c r="G228" s="17"/>
      <c r="H228" s="17"/>
      <c r="I228" s="17"/>
      <c r="J228" s="17" t="b">
        <v>0</v>
      </c>
    </row>
    <row r="229" hidden="1">
      <c r="A229" s="17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 t="str">
        <f>IFERROR(VLOOKUP(B229,'MASTER DATA'!$A$1:$E$212,4,FALSE),"")</f>
        <v/>
      </c>
      <c r="G229" s="17"/>
      <c r="H229" s="17"/>
      <c r="I229" s="17"/>
      <c r="J229" s="17" t="b">
        <v>0</v>
      </c>
    </row>
    <row r="230" hidden="1">
      <c r="A230" s="17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 t="str">
        <f>IFERROR(VLOOKUP(B230,'MASTER DATA'!$A$1:$E$212,4,FALSE),"")</f>
        <v/>
      </c>
      <c r="G230" s="17"/>
      <c r="H230" s="17"/>
      <c r="I230" s="17"/>
      <c r="J230" s="17" t="b">
        <v>0</v>
      </c>
    </row>
    <row r="231" hidden="1">
      <c r="A231" s="17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 t="str">
        <f>IFERROR(VLOOKUP(B231,'MASTER DATA'!$A$1:$E$212,4,FALSE),"")</f>
        <v/>
      </c>
      <c r="G231" s="17"/>
      <c r="H231" s="17"/>
      <c r="I231" s="17"/>
      <c r="J231" s="17" t="b">
        <v>0</v>
      </c>
    </row>
    <row r="232" hidden="1">
      <c r="A232" s="17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 t="str">
        <f>IFERROR(VLOOKUP(B232,'MASTER DATA'!$A$1:$E$212,4,FALSE),"")</f>
        <v/>
      </c>
      <c r="G232" s="17"/>
      <c r="H232" s="17"/>
      <c r="I232" s="17"/>
      <c r="J232" s="17" t="b">
        <v>0</v>
      </c>
    </row>
    <row r="233" hidden="1">
      <c r="A233" s="17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 t="str">
        <f>IFERROR(VLOOKUP(B233,'MASTER DATA'!$A$1:$E$212,4,FALSE),"")</f>
        <v/>
      </c>
      <c r="G233" s="17"/>
      <c r="H233" s="17"/>
      <c r="I233" s="17"/>
      <c r="J233" s="17" t="b">
        <v>0</v>
      </c>
    </row>
    <row r="234" hidden="1">
      <c r="A234" s="17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 t="str">
        <f>IFERROR(VLOOKUP(B234,'MASTER DATA'!$A$1:$E$212,4,FALSE),"")</f>
        <v/>
      </c>
      <c r="G234" s="17"/>
      <c r="H234" s="17"/>
      <c r="I234" s="17"/>
      <c r="J234" s="17" t="b">
        <v>0</v>
      </c>
    </row>
    <row r="235" hidden="1">
      <c r="A235" s="17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 t="str">
        <f>IFERROR(VLOOKUP(B235,'MASTER DATA'!$A$1:$E$212,4,FALSE),"")</f>
        <v/>
      </c>
      <c r="G235" s="17"/>
      <c r="H235" s="17"/>
      <c r="I235" s="17"/>
      <c r="J235" s="17" t="b">
        <v>0</v>
      </c>
    </row>
    <row r="236" hidden="1">
      <c r="A236" s="17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 t="str">
        <f>IFERROR(VLOOKUP(B236,'MASTER DATA'!$A$1:$E$212,4,FALSE),"")</f>
        <v/>
      </c>
      <c r="G236" s="17"/>
      <c r="H236" s="17"/>
      <c r="I236" s="17"/>
      <c r="J236" s="17" t="b">
        <v>0</v>
      </c>
    </row>
    <row r="237" hidden="1">
      <c r="A237" s="17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 t="str">
        <f>IFERROR(VLOOKUP(B237,'MASTER DATA'!$A$1:$E$212,4,FALSE),"")</f>
        <v/>
      </c>
      <c r="G237" s="17"/>
      <c r="H237" s="17"/>
      <c r="I237" s="17"/>
      <c r="J237" s="17" t="b">
        <v>0</v>
      </c>
    </row>
    <row r="238" hidden="1">
      <c r="A238" s="17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 t="str">
        <f>IFERROR(VLOOKUP(B238,'MASTER DATA'!$A$1:$E$212,4,FALSE),"")</f>
        <v/>
      </c>
      <c r="G238" s="17"/>
      <c r="H238" s="17"/>
      <c r="I238" s="17"/>
      <c r="J238" s="17" t="b">
        <v>0</v>
      </c>
    </row>
    <row r="239" hidden="1">
      <c r="A239" s="17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 t="str">
        <f>IFERROR(VLOOKUP(B239,'MASTER DATA'!$A$1:$E$212,4,FALSE),"")</f>
        <v/>
      </c>
      <c r="G239" s="17"/>
      <c r="H239" s="17"/>
      <c r="I239" s="17"/>
      <c r="J239" s="17" t="b">
        <v>0</v>
      </c>
    </row>
    <row r="240" hidden="1">
      <c r="A240" s="17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 t="str">
        <f>IFERROR(VLOOKUP(B240,'MASTER DATA'!$A$1:$E$212,4,FALSE),"")</f>
        <v/>
      </c>
      <c r="G240" s="17"/>
      <c r="H240" s="17"/>
      <c r="I240" s="17"/>
      <c r="J240" s="17" t="b">
        <v>0</v>
      </c>
    </row>
    <row r="241" hidden="1">
      <c r="A241" s="17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 t="str">
        <f>IFERROR(VLOOKUP(B241,'MASTER DATA'!$A$1:$E$212,4,FALSE),"")</f>
        <v/>
      </c>
      <c r="G241" s="17"/>
      <c r="H241" s="17"/>
      <c r="I241" s="17"/>
      <c r="J241" s="17" t="b">
        <v>0</v>
      </c>
    </row>
    <row r="242" hidden="1">
      <c r="A242" s="17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 t="str">
        <f>IFERROR(VLOOKUP(B242,'MASTER DATA'!$A$1:$E$212,4,FALSE),"")</f>
        <v/>
      </c>
      <c r="G242" s="17"/>
      <c r="H242" s="17"/>
      <c r="I242" s="17"/>
      <c r="J242" s="17" t="b">
        <v>0</v>
      </c>
    </row>
    <row r="243" hidden="1">
      <c r="A243" s="17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 t="str">
        <f>IFERROR(VLOOKUP(B243,'MASTER DATA'!$A$1:$E$212,4,FALSE),"")</f>
        <v/>
      </c>
      <c r="G243" s="17"/>
      <c r="H243" s="17"/>
      <c r="I243" s="17"/>
      <c r="J243" s="17" t="b">
        <v>0</v>
      </c>
    </row>
    <row r="244" hidden="1">
      <c r="A244" s="17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 t="str">
        <f>IFERROR(VLOOKUP(B244,'MASTER DATA'!$A$1:$E$212,4,FALSE),"")</f>
        <v/>
      </c>
      <c r="G244" s="17"/>
      <c r="H244" s="17"/>
      <c r="I244" s="17"/>
      <c r="J244" s="17" t="b">
        <v>0</v>
      </c>
    </row>
    <row r="245" hidden="1">
      <c r="A245" s="17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 t="str">
        <f>IFERROR(VLOOKUP(B245,'MASTER DATA'!$A$1:$E$212,4,FALSE),"")</f>
        <v/>
      </c>
      <c r="G245" s="17"/>
      <c r="H245" s="17"/>
      <c r="I245" s="17"/>
      <c r="J245" s="17" t="b">
        <v>0</v>
      </c>
    </row>
    <row r="246" hidden="1">
      <c r="A246" s="17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 t="str">
        <f>IFERROR(VLOOKUP(B246,'MASTER DATA'!$A$1:$E$212,4,FALSE),"")</f>
        <v/>
      </c>
      <c r="G246" s="17"/>
      <c r="H246" s="17"/>
      <c r="I246" s="17"/>
      <c r="J246" s="17" t="b">
        <v>0</v>
      </c>
    </row>
    <row r="247" hidden="1">
      <c r="A247" s="17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 t="str">
        <f>IFERROR(VLOOKUP(B247,'MASTER DATA'!$A$1:$E$212,4,FALSE),"")</f>
        <v/>
      </c>
      <c r="G247" s="17"/>
      <c r="H247" s="17"/>
      <c r="I247" s="17"/>
      <c r="J247" s="17" t="b">
        <v>0</v>
      </c>
    </row>
    <row r="248" hidden="1">
      <c r="A248" s="17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 t="str">
        <f>IFERROR(VLOOKUP(B248,'MASTER DATA'!$A$1:$E$212,4,FALSE),"")</f>
        <v/>
      </c>
      <c r="G248" s="17"/>
      <c r="H248" s="17"/>
      <c r="I248" s="17"/>
      <c r="J248" s="17" t="b">
        <v>0</v>
      </c>
    </row>
    <row r="249" hidden="1">
      <c r="A249" s="17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 t="str">
        <f>IFERROR(VLOOKUP(B249,'MASTER DATA'!$A$1:$E$212,4,FALSE),"")</f>
        <v/>
      </c>
      <c r="G249" s="17"/>
      <c r="H249" s="17"/>
      <c r="I249" s="17"/>
      <c r="J249" s="17" t="b">
        <v>0</v>
      </c>
    </row>
    <row r="250" hidden="1">
      <c r="A250" s="17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 t="str">
        <f>IFERROR(VLOOKUP(B250,'MASTER DATA'!$A$1:$E$212,4,FALSE),"")</f>
        <v/>
      </c>
      <c r="G250" s="17"/>
      <c r="H250" s="17"/>
      <c r="I250" s="17"/>
      <c r="J250" s="17" t="b">
        <v>0</v>
      </c>
    </row>
    <row r="251" hidden="1">
      <c r="A251" s="17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 t="str">
        <f>IFERROR(VLOOKUP(B251,'MASTER DATA'!$A$1:$E$212,4,FALSE),"")</f>
        <v/>
      </c>
      <c r="G251" s="17"/>
      <c r="H251" s="17"/>
      <c r="I251" s="17"/>
      <c r="J251" s="17" t="b">
        <v>0</v>
      </c>
    </row>
    <row r="252" hidden="1">
      <c r="A252" s="17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 t="str">
        <f>IFERROR(VLOOKUP(B252,'MASTER DATA'!$A$1:$E$212,4,FALSE),"")</f>
        <v/>
      </c>
      <c r="G252" s="17"/>
      <c r="H252" s="17"/>
      <c r="I252" s="17"/>
      <c r="J252" s="17" t="b">
        <v>0</v>
      </c>
    </row>
    <row r="253" hidden="1">
      <c r="A253" s="17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 t="str">
        <f>IFERROR(VLOOKUP(B253,'MASTER DATA'!$A$1:$E$212,4,FALSE),"")</f>
        <v/>
      </c>
      <c r="G253" s="17"/>
      <c r="H253" s="17"/>
      <c r="I253" s="17"/>
      <c r="J253" s="17" t="b">
        <v>0</v>
      </c>
    </row>
    <row r="254" hidden="1">
      <c r="A254" s="17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 t="str">
        <f>IFERROR(VLOOKUP(B254,'MASTER DATA'!$A$1:$E$212,4,FALSE),"")</f>
        <v/>
      </c>
      <c r="G254" s="17"/>
      <c r="H254" s="17"/>
      <c r="I254" s="17"/>
      <c r="J254" s="17" t="b">
        <v>0</v>
      </c>
    </row>
    <row r="255" hidden="1">
      <c r="A255" s="17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 t="str">
        <f>IFERROR(VLOOKUP(B255,'MASTER DATA'!$A$1:$E$212,4,FALSE),"")</f>
        <v/>
      </c>
      <c r="G255" s="17"/>
      <c r="H255" s="17"/>
      <c r="I255" s="17"/>
      <c r="J255" s="17" t="b">
        <v>0</v>
      </c>
    </row>
    <row r="256" hidden="1">
      <c r="A256" s="17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 t="str">
        <f>IFERROR(VLOOKUP(B256,'MASTER DATA'!$A$1:$E$212,4,FALSE),"")</f>
        <v/>
      </c>
      <c r="G256" s="17"/>
      <c r="H256" s="17"/>
      <c r="I256" s="17"/>
      <c r="J256" s="17" t="b">
        <v>0</v>
      </c>
    </row>
    <row r="257" hidden="1">
      <c r="A257" s="17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 t="str">
        <f>IFERROR(VLOOKUP(B257,'MASTER DATA'!$A$1:$E$212,4,FALSE),"")</f>
        <v/>
      </c>
      <c r="G257" s="17"/>
      <c r="H257" s="17"/>
      <c r="I257" s="17"/>
      <c r="J257" s="17" t="b">
        <v>0</v>
      </c>
    </row>
    <row r="258" hidden="1">
      <c r="A258" s="17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 t="str">
        <f>IFERROR(VLOOKUP(B258,'MASTER DATA'!$A$1:$E$212,4,FALSE),"")</f>
        <v/>
      </c>
      <c r="G258" s="17"/>
      <c r="H258" s="17"/>
      <c r="I258" s="17"/>
      <c r="J258" s="17" t="b">
        <v>0</v>
      </c>
    </row>
    <row r="259" hidden="1">
      <c r="A259" s="17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 t="str">
        <f>IFERROR(VLOOKUP(B259,'MASTER DATA'!$A$1:$E$212,4,FALSE),"")</f>
        <v/>
      </c>
      <c r="G259" s="17"/>
      <c r="H259" s="17"/>
      <c r="I259" s="17"/>
      <c r="J259" s="17" t="b">
        <v>0</v>
      </c>
    </row>
    <row r="260" hidden="1">
      <c r="A260" s="17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 t="str">
        <f>IFERROR(VLOOKUP(B260,'MASTER DATA'!$A$1:$E$212,4,FALSE),"")</f>
        <v/>
      </c>
      <c r="G260" s="17"/>
      <c r="H260" s="17"/>
      <c r="I260" s="17"/>
      <c r="J260" s="17" t="b">
        <v>0</v>
      </c>
    </row>
    <row r="261" hidden="1">
      <c r="A261" s="17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 t="str">
        <f>IFERROR(VLOOKUP(B261,'MASTER DATA'!$A$1:$E$212,4,FALSE),"")</f>
        <v/>
      </c>
      <c r="G261" s="17"/>
      <c r="H261" s="17"/>
      <c r="I261" s="17"/>
      <c r="J261" s="17" t="b">
        <v>0</v>
      </c>
    </row>
    <row r="262" hidden="1">
      <c r="A262" s="17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 t="str">
        <f>IFERROR(VLOOKUP(B262,'MASTER DATA'!$A$1:$E$212,4,FALSE),"")</f>
        <v/>
      </c>
      <c r="G262" s="17"/>
      <c r="H262" s="17"/>
      <c r="I262" s="17"/>
      <c r="J262" s="17" t="b">
        <v>0</v>
      </c>
    </row>
    <row r="263" hidden="1">
      <c r="A263" s="17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 t="str">
        <f>IFERROR(VLOOKUP(B263,'MASTER DATA'!$A$1:$E$212,4,FALSE),"")</f>
        <v/>
      </c>
      <c r="G263" s="17"/>
      <c r="H263" s="17"/>
      <c r="I263" s="17"/>
      <c r="J263" s="17" t="b">
        <v>0</v>
      </c>
    </row>
    <row r="264" hidden="1">
      <c r="A264" s="17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 t="str">
        <f>IFERROR(VLOOKUP(B264,'MASTER DATA'!$A$1:$E$212,4,FALSE),"")</f>
        <v/>
      </c>
      <c r="G264" s="17"/>
      <c r="H264" s="17"/>
      <c r="I264" s="17"/>
      <c r="J264" s="17" t="b">
        <v>0</v>
      </c>
    </row>
    <row r="265" hidden="1">
      <c r="A265" s="17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 t="str">
        <f>IFERROR(VLOOKUP(B265,'MASTER DATA'!$A$1:$E$212,4,FALSE),"")</f>
        <v/>
      </c>
      <c r="G265" s="17"/>
      <c r="H265" s="17"/>
      <c r="I265" s="17"/>
      <c r="J265" s="17" t="b">
        <v>0</v>
      </c>
    </row>
    <row r="266" hidden="1">
      <c r="A266" s="17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 t="str">
        <f>IFERROR(VLOOKUP(B266,'MASTER DATA'!$A$1:$E$212,4,FALSE),"")</f>
        <v/>
      </c>
      <c r="G266" s="17"/>
      <c r="H266" s="17"/>
      <c r="I266" s="17"/>
      <c r="J266" s="17" t="b">
        <v>0</v>
      </c>
    </row>
    <row r="267" hidden="1">
      <c r="A267" s="17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 t="str">
        <f>IFERROR(VLOOKUP(B267,'MASTER DATA'!$A$1:$E$212,4,FALSE),"")</f>
        <v/>
      </c>
      <c r="G267" s="17"/>
      <c r="H267" s="17"/>
      <c r="I267" s="17"/>
      <c r="J267" s="17" t="b">
        <v>0</v>
      </c>
    </row>
    <row r="268" hidden="1">
      <c r="A268" s="17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 t="str">
        <f>IFERROR(VLOOKUP(B268,'MASTER DATA'!$A$1:$E$212,4,FALSE),"")</f>
        <v/>
      </c>
      <c r="G268" s="17"/>
      <c r="H268" s="17"/>
      <c r="I268" s="17"/>
      <c r="J268" s="17" t="b">
        <v>0</v>
      </c>
    </row>
    <row r="269" hidden="1">
      <c r="A269" s="17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 t="str">
        <f>IFERROR(VLOOKUP(B269,'MASTER DATA'!$A$1:$E$212,4,FALSE),"")</f>
        <v/>
      </c>
      <c r="G269" s="17"/>
      <c r="H269" s="17"/>
      <c r="I269" s="17"/>
      <c r="J269" s="17" t="b">
        <v>0</v>
      </c>
    </row>
    <row r="270" hidden="1">
      <c r="A270" s="17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 t="str">
        <f>IFERROR(VLOOKUP(B270,'MASTER DATA'!$A$1:$E$212,4,FALSE),"")</f>
        <v/>
      </c>
      <c r="G270" s="17"/>
      <c r="H270" s="17"/>
      <c r="I270" s="17"/>
      <c r="J270" s="17" t="b">
        <v>0</v>
      </c>
    </row>
    <row r="271" hidden="1">
      <c r="A271" s="17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 t="str">
        <f>IFERROR(VLOOKUP(B271,'MASTER DATA'!$A$1:$E$212,4,FALSE),"")</f>
        <v/>
      </c>
      <c r="G271" s="17"/>
      <c r="H271" s="17"/>
      <c r="I271" s="17"/>
      <c r="J271" s="17" t="b">
        <v>0</v>
      </c>
    </row>
    <row r="272" hidden="1">
      <c r="A272" s="17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 t="str">
        <f>IFERROR(VLOOKUP(B272,'MASTER DATA'!$A$1:$E$212,4,FALSE),"")</f>
        <v/>
      </c>
      <c r="G272" s="17"/>
      <c r="H272" s="17"/>
      <c r="I272" s="17"/>
      <c r="J272" s="17" t="b">
        <v>0</v>
      </c>
    </row>
    <row r="273" hidden="1">
      <c r="A273" s="17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 t="str">
        <f>IFERROR(VLOOKUP(B273,'MASTER DATA'!$A$1:$E$212,4,FALSE),"")</f>
        <v/>
      </c>
      <c r="G273" s="17"/>
      <c r="H273" s="17"/>
      <c r="I273" s="17"/>
      <c r="J273" s="17" t="b">
        <v>0</v>
      </c>
    </row>
    <row r="274" hidden="1">
      <c r="A274" s="17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 t="str">
        <f>IFERROR(VLOOKUP(B274,'MASTER DATA'!$A$1:$E$212,4,FALSE),"")</f>
        <v/>
      </c>
      <c r="G274" s="17"/>
      <c r="H274" s="17"/>
      <c r="I274" s="17"/>
      <c r="J274" s="17" t="b">
        <v>0</v>
      </c>
    </row>
    <row r="275" hidden="1">
      <c r="A275" s="17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 t="str">
        <f>IFERROR(VLOOKUP(B275,'MASTER DATA'!$A$1:$E$212,4,FALSE),"")</f>
        <v/>
      </c>
      <c r="G275" s="17"/>
      <c r="H275" s="17"/>
      <c r="I275" s="17"/>
      <c r="J275" s="17" t="b">
        <v>0</v>
      </c>
    </row>
    <row r="276" hidden="1">
      <c r="A276" s="17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 t="str">
        <f>IFERROR(VLOOKUP(B276,'MASTER DATA'!$A$1:$E$212,4,FALSE),"")</f>
        <v/>
      </c>
      <c r="G276" s="17"/>
      <c r="H276" s="17"/>
      <c r="I276" s="17"/>
      <c r="J276" s="17" t="b">
        <v>0</v>
      </c>
    </row>
    <row r="277" hidden="1">
      <c r="A277" s="17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 t="str">
        <f>IFERROR(VLOOKUP(B277,'MASTER DATA'!$A$1:$E$212,4,FALSE),"")</f>
        <v/>
      </c>
      <c r="G277" s="17"/>
      <c r="H277" s="17"/>
      <c r="I277" s="17"/>
      <c r="J277" s="17" t="b">
        <v>0</v>
      </c>
    </row>
    <row r="278" hidden="1">
      <c r="A278" s="17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 t="str">
        <f>IFERROR(VLOOKUP(B278,'MASTER DATA'!$A$1:$E$212,4,FALSE),"")</f>
        <v/>
      </c>
      <c r="G278" s="17"/>
      <c r="H278" s="17"/>
      <c r="I278" s="17"/>
      <c r="J278" s="17" t="b">
        <v>0</v>
      </c>
    </row>
    <row r="279" hidden="1">
      <c r="A279" s="17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 t="str">
        <f>IFERROR(VLOOKUP(B279,'MASTER DATA'!$A$1:$E$212,4,FALSE),"")</f>
        <v/>
      </c>
      <c r="G279" s="17"/>
      <c r="H279" s="17"/>
      <c r="I279" s="17"/>
      <c r="J279" s="17" t="b">
        <v>0</v>
      </c>
    </row>
    <row r="280" hidden="1">
      <c r="A280" s="17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 t="str">
        <f>IFERROR(VLOOKUP(B280,'MASTER DATA'!$A$1:$E$212,4,FALSE),"")</f>
        <v/>
      </c>
      <c r="G280" s="17"/>
      <c r="H280" s="17"/>
      <c r="I280" s="17"/>
      <c r="J280" s="17" t="b">
        <v>0</v>
      </c>
    </row>
    <row r="281" hidden="1">
      <c r="A281" s="17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 t="str">
        <f>IFERROR(VLOOKUP(B281,'MASTER DATA'!$A$1:$E$212,4,FALSE),"")</f>
        <v/>
      </c>
      <c r="G281" s="17"/>
      <c r="H281" s="17"/>
      <c r="I281" s="17"/>
      <c r="J281" s="17" t="b">
        <v>0</v>
      </c>
    </row>
    <row r="282" hidden="1">
      <c r="A282" s="17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 t="str">
        <f>IFERROR(VLOOKUP(B282,'MASTER DATA'!$A$1:$E$212,4,FALSE),"")</f>
        <v/>
      </c>
      <c r="G282" s="17"/>
      <c r="H282" s="17"/>
      <c r="I282" s="17"/>
      <c r="J282" s="17" t="b">
        <v>0</v>
      </c>
    </row>
    <row r="283" hidden="1">
      <c r="A283" s="17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 t="str">
        <f>IFERROR(VLOOKUP(B283,'MASTER DATA'!$A$1:$E$212,4,FALSE),"")</f>
        <v/>
      </c>
      <c r="G283" s="17"/>
      <c r="H283" s="17"/>
      <c r="I283" s="17"/>
      <c r="J283" s="17" t="b">
        <v>0</v>
      </c>
    </row>
    <row r="284" hidden="1">
      <c r="A284" s="17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 t="str">
        <f>IFERROR(VLOOKUP(B284,'MASTER DATA'!$A$1:$E$212,4,FALSE),"")</f>
        <v/>
      </c>
      <c r="G284" s="17"/>
      <c r="H284" s="17"/>
      <c r="I284" s="17"/>
      <c r="J284" s="17" t="b">
        <v>0</v>
      </c>
    </row>
    <row r="285" hidden="1">
      <c r="A285" s="17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 t="str">
        <f>IFERROR(VLOOKUP(B285,'MASTER DATA'!$A$1:$E$212,4,FALSE),"")</f>
        <v/>
      </c>
      <c r="G285" s="17"/>
      <c r="H285" s="17"/>
      <c r="I285" s="17"/>
      <c r="J285" s="17" t="b">
        <v>0</v>
      </c>
    </row>
    <row r="286" hidden="1">
      <c r="A286" s="17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 t="str">
        <f>IFERROR(VLOOKUP(B286,'MASTER DATA'!$A$1:$E$212,4,FALSE),"")</f>
        <v/>
      </c>
      <c r="G286" s="17"/>
      <c r="H286" s="17"/>
      <c r="I286" s="17"/>
      <c r="J286" s="17" t="b">
        <v>0</v>
      </c>
    </row>
    <row r="287" hidden="1">
      <c r="A287" s="17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 t="str">
        <f>IFERROR(VLOOKUP(B287,'MASTER DATA'!$A$1:$E$212,4,FALSE),"")</f>
        <v/>
      </c>
      <c r="G287" s="17"/>
      <c r="H287" s="17"/>
      <c r="I287" s="17"/>
      <c r="J287" s="17" t="b">
        <v>0</v>
      </c>
    </row>
    <row r="288" hidden="1">
      <c r="A288" s="17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 t="str">
        <f>IFERROR(VLOOKUP(B288,'MASTER DATA'!$A$1:$E$212,4,FALSE),"")</f>
        <v/>
      </c>
      <c r="G288" s="17"/>
      <c r="H288" s="17"/>
      <c r="I288" s="17"/>
      <c r="J288" s="17" t="b">
        <v>0</v>
      </c>
    </row>
    <row r="289" hidden="1">
      <c r="A289" s="17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 t="str">
        <f>IFERROR(VLOOKUP(B289,'MASTER DATA'!$A$1:$E$212,4,FALSE),"")</f>
        <v/>
      </c>
      <c r="G289" s="17"/>
      <c r="H289" s="17"/>
      <c r="I289" s="17"/>
      <c r="J289" s="17" t="b">
        <v>0</v>
      </c>
    </row>
    <row r="290" hidden="1">
      <c r="A290" s="17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 t="str">
        <f>IFERROR(VLOOKUP(B290,'MASTER DATA'!$A$1:$E$212,4,FALSE),"")</f>
        <v/>
      </c>
      <c r="G290" s="17"/>
      <c r="H290" s="17"/>
      <c r="I290" s="17"/>
      <c r="J290" s="17" t="b">
        <v>0</v>
      </c>
    </row>
    <row r="291" hidden="1">
      <c r="A291" s="17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 t="str">
        <f>IFERROR(VLOOKUP(B291,'MASTER DATA'!$A$1:$E$212,4,FALSE),"")</f>
        <v/>
      </c>
      <c r="G291" s="17"/>
      <c r="H291" s="17"/>
      <c r="I291" s="17"/>
      <c r="J291" s="17" t="b">
        <v>0</v>
      </c>
    </row>
    <row r="292" hidden="1">
      <c r="A292" s="17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 t="str">
        <f>IFERROR(VLOOKUP(B292,'MASTER DATA'!$A$1:$E$212,4,FALSE),"")</f>
        <v/>
      </c>
      <c r="G292" s="17"/>
      <c r="H292" s="17"/>
      <c r="I292" s="17"/>
      <c r="J292" s="17" t="b">
        <v>0</v>
      </c>
    </row>
    <row r="293" hidden="1">
      <c r="A293" s="17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 t="str">
        <f>IFERROR(VLOOKUP(B293,'MASTER DATA'!$A$1:$E$212,4,FALSE),"")</f>
        <v/>
      </c>
      <c r="G293" s="17"/>
      <c r="H293" s="17"/>
      <c r="I293" s="17"/>
      <c r="J293" s="17" t="b">
        <v>0</v>
      </c>
    </row>
    <row r="294" hidden="1">
      <c r="A294" s="17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 t="str">
        <f>IFERROR(VLOOKUP(B294,'MASTER DATA'!$A$1:$E$212,4,FALSE),"")</f>
        <v/>
      </c>
      <c r="G294" s="17"/>
      <c r="H294" s="17"/>
      <c r="I294" s="17"/>
      <c r="J294" s="17" t="b">
        <v>0</v>
      </c>
    </row>
    <row r="295" hidden="1">
      <c r="A295" s="17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 t="str">
        <f>IFERROR(VLOOKUP(B295,'MASTER DATA'!$A$1:$E$212,4,FALSE),"")</f>
        <v/>
      </c>
      <c r="G295" s="17"/>
      <c r="H295" s="17"/>
      <c r="I295" s="17"/>
      <c r="J295" s="17" t="b">
        <v>0</v>
      </c>
    </row>
    <row r="296" hidden="1">
      <c r="A296" s="17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 t="str">
        <f>IFERROR(VLOOKUP(B296,'MASTER DATA'!$A$1:$E$212,4,FALSE),"")</f>
        <v/>
      </c>
      <c r="G296" s="17"/>
      <c r="H296" s="17"/>
      <c r="I296" s="17"/>
      <c r="J296" s="17" t="b">
        <v>0</v>
      </c>
    </row>
    <row r="297" hidden="1">
      <c r="A297" s="17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 t="str">
        <f>IFERROR(VLOOKUP(B297,'MASTER DATA'!$A$1:$E$212,4,FALSE),"")</f>
        <v/>
      </c>
      <c r="G297" s="17"/>
      <c r="H297" s="17"/>
      <c r="I297" s="17"/>
      <c r="J297" s="17" t="b">
        <v>0</v>
      </c>
    </row>
    <row r="298" hidden="1">
      <c r="A298" s="17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 t="str">
        <f>IFERROR(VLOOKUP(B298,'MASTER DATA'!$A$1:$E$212,4,FALSE),"")</f>
        <v/>
      </c>
      <c r="G298" s="17"/>
      <c r="H298" s="17"/>
      <c r="I298" s="17"/>
      <c r="J298" s="17" t="b">
        <v>0</v>
      </c>
    </row>
    <row r="299" hidden="1">
      <c r="A299" s="17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 t="str">
        <f>IFERROR(VLOOKUP(B299,'MASTER DATA'!$A$1:$E$212,4,FALSE),"")</f>
        <v/>
      </c>
      <c r="G299" s="17"/>
      <c r="H299" s="17"/>
      <c r="I299" s="17"/>
      <c r="J299" s="17" t="b">
        <v>0</v>
      </c>
    </row>
    <row r="300" hidden="1">
      <c r="A300" s="17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 t="str">
        <f>IFERROR(VLOOKUP(B300,'MASTER DATA'!$A$1:$E$212,4,FALSE),"")</f>
        <v/>
      </c>
      <c r="G300" s="17"/>
      <c r="H300" s="17"/>
      <c r="I300" s="17"/>
      <c r="J300" s="17" t="b">
        <v>0</v>
      </c>
    </row>
    <row r="301" hidden="1">
      <c r="A301" s="17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 t="str">
        <f>IFERROR(VLOOKUP(B301,'MASTER DATA'!$A$1:$E$212,4,FALSE),"")</f>
        <v/>
      </c>
      <c r="G301" s="17"/>
      <c r="H301" s="17"/>
      <c r="I301" s="17"/>
      <c r="J301" s="17" t="b">
        <v>0</v>
      </c>
    </row>
    <row r="302" hidden="1">
      <c r="A302" s="17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 t="str">
        <f>IFERROR(VLOOKUP(B302,'MASTER DATA'!$A$1:$E$212,4,FALSE),"")</f>
        <v/>
      </c>
      <c r="G302" s="17"/>
      <c r="H302" s="17"/>
      <c r="I302" s="17"/>
      <c r="J302" s="17" t="b">
        <v>0</v>
      </c>
    </row>
    <row r="303" hidden="1">
      <c r="A303" s="17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 t="str">
        <f>IFERROR(VLOOKUP(B303,'MASTER DATA'!$A$1:$E$212,4,FALSE),"")</f>
        <v/>
      </c>
      <c r="G303" s="17"/>
      <c r="H303" s="17"/>
      <c r="I303" s="17"/>
      <c r="J303" s="17" t="b">
        <v>0</v>
      </c>
    </row>
    <row r="304" hidden="1">
      <c r="A304" s="17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 t="str">
        <f>IFERROR(VLOOKUP(B304,'MASTER DATA'!$A$1:$E$212,4,FALSE),"")</f>
        <v/>
      </c>
      <c r="G304" s="17"/>
      <c r="H304" s="17"/>
      <c r="I304" s="17"/>
      <c r="J304" s="17" t="b">
        <v>0</v>
      </c>
    </row>
    <row r="305" hidden="1">
      <c r="A305" s="17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 t="str">
        <f>IFERROR(VLOOKUP(B305,'MASTER DATA'!$A$1:$E$212,4,FALSE),"")</f>
        <v/>
      </c>
      <c r="G305" s="17"/>
      <c r="H305" s="17"/>
      <c r="I305" s="17"/>
      <c r="J305" s="17" t="b">
        <v>0</v>
      </c>
    </row>
    <row r="306" hidden="1">
      <c r="A306" s="17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 t="str">
        <f>IFERROR(VLOOKUP(B306,'MASTER DATA'!$A$1:$E$212,4,FALSE),"")</f>
        <v/>
      </c>
      <c r="G306" s="17"/>
      <c r="H306" s="17"/>
      <c r="I306" s="17"/>
      <c r="J306" s="17" t="b">
        <v>0</v>
      </c>
    </row>
    <row r="307" hidden="1">
      <c r="A307" s="17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 t="str">
        <f>IFERROR(VLOOKUP(B307,'MASTER DATA'!$A$1:$E$212,4,FALSE),"")</f>
        <v/>
      </c>
      <c r="G307" s="17"/>
      <c r="H307" s="17"/>
      <c r="I307" s="17"/>
      <c r="J307" s="17" t="b">
        <v>0</v>
      </c>
    </row>
    <row r="308" hidden="1">
      <c r="A308" s="17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 t="str">
        <f>IFERROR(VLOOKUP(B308,'MASTER DATA'!$A$1:$E$212,4,FALSE),"")</f>
        <v/>
      </c>
      <c r="G308" s="17"/>
      <c r="H308" s="17"/>
      <c r="I308" s="17"/>
      <c r="J308" s="17" t="b">
        <v>0</v>
      </c>
    </row>
    <row r="309" hidden="1">
      <c r="A309" s="17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 t="str">
        <f>IFERROR(VLOOKUP(B309,'MASTER DATA'!$A$1:$E$212,4,FALSE),"")</f>
        <v/>
      </c>
      <c r="G309" s="17"/>
      <c r="H309" s="17"/>
      <c r="I309" s="17"/>
      <c r="J309" s="17" t="b">
        <v>0</v>
      </c>
    </row>
    <row r="310" hidden="1">
      <c r="A310" s="17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 t="str">
        <f>IFERROR(VLOOKUP(B310,'MASTER DATA'!$A$1:$E$212,4,FALSE),"")</f>
        <v/>
      </c>
      <c r="G310" s="17"/>
      <c r="H310" s="17"/>
      <c r="I310" s="17"/>
      <c r="J310" s="17" t="b">
        <v>0</v>
      </c>
    </row>
    <row r="311" hidden="1">
      <c r="A311" s="17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 t="str">
        <f>IFERROR(VLOOKUP(B311,'MASTER DATA'!$A$1:$E$212,4,FALSE),"")</f>
        <v/>
      </c>
      <c r="G311" s="17"/>
      <c r="H311" s="17"/>
      <c r="I311" s="17"/>
      <c r="J311" s="17" t="b">
        <v>0</v>
      </c>
    </row>
    <row r="312" hidden="1">
      <c r="A312" s="17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 t="str">
        <f>IFERROR(VLOOKUP(B312,'MASTER DATA'!$A$1:$E$212,4,FALSE),"")</f>
        <v/>
      </c>
      <c r="G312" s="17"/>
      <c r="H312" s="17"/>
      <c r="I312" s="17"/>
      <c r="J312" s="17" t="b">
        <v>0</v>
      </c>
    </row>
    <row r="313" hidden="1">
      <c r="A313" s="17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 t="str">
        <f>IFERROR(VLOOKUP(B313,'MASTER DATA'!$A$1:$E$212,4,FALSE),"")</f>
        <v/>
      </c>
      <c r="G313" s="17"/>
      <c r="H313" s="17"/>
      <c r="I313" s="17"/>
      <c r="J313" s="17" t="b">
        <v>0</v>
      </c>
    </row>
    <row r="314" hidden="1">
      <c r="A314" s="17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 t="str">
        <f>IFERROR(VLOOKUP(B314,'MASTER DATA'!$A$1:$E$212,4,FALSE),"")</f>
        <v/>
      </c>
      <c r="G314" s="17"/>
      <c r="H314" s="17"/>
      <c r="I314" s="17"/>
      <c r="J314" s="17" t="b">
        <v>0</v>
      </c>
    </row>
    <row r="315" hidden="1">
      <c r="A315" s="17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 t="str">
        <f>IFERROR(VLOOKUP(B315,'MASTER DATA'!$A$1:$E$212,4,FALSE),"")</f>
        <v/>
      </c>
      <c r="G315" s="17"/>
      <c r="H315" s="17"/>
      <c r="I315" s="17"/>
      <c r="J315" s="17" t="b">
        <v>0</v>
      </c>
    </row>
    <row r="316" hidden="1">
      <c r="A316" s="17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 t="str">
        <f>IFERROR(VLOOKUP(B316,'MASTER DATA'!$A$1:$E$212,4,FALSE),"")</f>
        <v/>
      </c>
      <c r="G316" s="17"/>
      <c r="H316" s="17"/>
      <c r="I316" s="17"/>
      <c r="J316" s="17" t="b">
        <v>0</v>
      </c>
    </row>
    <row r="317" hidden="1">
      <c r="A317" s="17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 t="str">
        <f>IFERROR(VLOOKUP(B317,'MASTER DATA'!$A$1:$E$212,4,FALSE),"")</f>
        <v/>
      </c>
      <c r="G317" s="17"/>
      <c r="H317" s="17"/>
      <c r="I317" s="17"/>
      <c r="J317" s="17" t="b">
        <v>0</v>
      </c>
    </row>
    <row r="318" hidden="1">
      <c r="A318" s="17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 t="str">
        <f>IFERROR(VLOOKUP(B318,'MASTER DATA'!$A$1:$E$212,4,FALSE),"")</f>
        <v/>
      </c>
      <c r="G318" s="17"/>
      <c r="H318" s="17"/>
      <c r="I318" s="17"/>
      <c r="J318" s="17" t="b">
        <v>0</v>
      </c>
    </row>
    <row r="319" hidden="1">
      <c r="A319" s="17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 t="str">
        <f>IFERROR(VLOOKUP(B319,'MASTER DATA'!$A$1:$E$212,4,FALSE),"")</f>
        <v/>
      </c>
      <c r="G319" s="17"/>
      <c r="H319" s="17"/>
      <c r="I319" s="17"/>
      <c r="J319" s="17" t="b">
        <v>0</v>
      </c>
    </row>
    <row r="320" hidden="1">
      <c r="A320" s="17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 t="str">
        <f>IFERROR(VLOOKUP(B320,'MASTER DATA'!$A$1:$E$212,4,FALSE),"")</f>
        <v/>
      </c>
      <c r="G320" s="17"/>
      <c r="H320" s="17"/>
      <c r="I320" s="17"/>
      <c r="J320" s="17" t="b">
        <v>0</v>
      </c>
    </row>
    <row r="321" hidden="1">
      <c r="A321" s="17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 t="str">
        <f>IFERROR(VLOOKUP(B321,'MASTER DATA'!$A$1:$E$212,4,FALSE),"")</f>
        <v/>
      </c>
      <c r="G321" s="17"/>
      <c r="H321" s="17"/>
      <c r="I321" s="17"/>
      <c r="J321" s="17" t="b">
        <v>0</v>
      </c>
    </row>
    <row r="322" hidden="1">
      <c r="A322" s="17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 t="str">
        <f>IFERROR(VLOOKUP(B322,'MASTER DATA'!$A$1:$E$212,4,FALSE),"")</f>
        <v/>
      </c>
      <c r="G322" s="17"/>
      <c r="H322" s="17"/>
      <c r="I322" s="17"/>
      <c r="J322" s="17" t="b">
        <v>0</v>
      </c>
    </row>
    <row r="323" hidden="1">
      <c r="A323" s="17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 t="str">
        <f>IFERROR(VLOOKUP(B323,'MASTER DATA'!$A$1:$E$212,4,FALSE),"")</f>
        <v/>
      </c>
      <c r="G323" s="17"/>
      <c r="H323" s="17"/>
      <c r="I323" s="17"/>
      <c r="J323" s="17" t="b">
        <v>0</v>
      </c>
    </row>
    <row r="324" hidden="1">
      <c r="A324" s="17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 t="str">
        <f>IFERROR(VLOOKUP(B324,'MASTER DATA'!$A$1:$E$212,4,FALSE),"")</f>
        <v/>
      </c>
      <c r="G324" s="17"/>
      <c r="H324" s="17"/>
      <c r="I324" s="17"/>
      <c r="J324" s="17" t="b">
        <v>0</v>
      </c>
    </row>
    <row r="325" hidden="1">
      <c r="A325" s="17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 t="str">
        <f>IFERROR(VLOOKUP(B325,'MASTER DATA'!$A$1:$E$212,4,FALSE),"")</f>
        <v/>
      </c>
      <c r="G325" s="17"/>
      <c r="H325" s="17"/>
      <c r="I325" s="17"/>
      <c r="J325" s="17" t="b">
        <v>0</v>
      </c>
    </row>
    <row r="326" hidden="1">
      <c r="A326" s="17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 t="str">
        <f>IFERROR(VLOOKUP(B326,'MASTER DATA'!$A$1:$E$212,4,FALSE),"")</f>
        <v/>
      </c>
      <c r="G326" s="17"/>
      <c r="H326" s="17"/>
      <c r="I326" s="17"/>
      <c r="J326" s="17" t="b">
        <v>0</v>
      </c>
    </row>
    <row r="327" hidden="1">
      <c r="A327" s="17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 t="str">
        <f>IFERROR(VLOOKUP(B327,'MASTER DATA'!$A$1:$E$212,4,FALSE),"")</f>
        <v/>
      </c>
      <c r="G327" s="17"/>
      <c r="H327" s="17"/>
      <c r="I327" s="17"/>
      <c r="J327" s="17" t="b">
        <v>0</v>
      </c>
    </row>
    <row r="328" hidden="1">
      <c r="A328" s="17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 t="str">
        <f>IFERROR(VLOOKUP(B328,'MASTER DATA'!$A$1:$E$212,4,FALSE),"")</f>
        <v/>
      </c>
      <c r="G328" s="17"/>
      <c r="H328" s="17"/>
      <c r="I328" s="17"/>
      <c r="J328" s="17" t="b">
        <v>0</v>
      </c>
    </row>
    <row r="329" hidden="1">
      <c r="A329" s="17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 t="str">
        <f>IFERROR(VLOOKUP(B329,'MASTER DATA'!$A$1:$E$212,4,FALSE),"")</f>
        <v/>
      </c>
      <c r="G329" s="17"/>
      <c r="H329" s="17"/>
      <c r="I329" s="17"/>
      <c r="J329" s="17" t="b">
        <v>0</v>
      </c>
    </row>
    <row r="330" hidden="1">
      <c r="A330" s="17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 t="str">
        <f>IFERROR(VLOOKUP(B330,'MASTER DATA'!$A$1:$E$212,4,FALSE),"")</f>
        <v/>
      </c>
      <c r="G330" s="17"/>
      <c r="H330" s="17"/>
      <c r="I330" s="17"/>
      <c r="J330" s="17" t="b">
        <v>0</v>
      </c>
    </row>
    <row r="331" hidden="1">
      <c r="A331" s="17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 t="str">
        <f>IFERROR(VLOOKUP(B331,'MASTER DATA'!$A$1:$E$212,4,FALSE),"")</f>
        <v/>
      </c>
      <c r="G331" s="17"/>
      <c r="H331" s="17"/>
      <c r="I331" s="17"/>
      <c r="J331" s="17" t="b">
        <v>0</v>
      </c>
    </row>
    <row r="332" hidden="1">
      <c r="A332" s="17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 t="str">
        <f>IFERROR(VLOOKUP(B332,'MASTER DATA'!$A$1:$E$212,4,FALSE),"")</f>
        <v/>
      </c>
      <c r="G332" s="17"/>
      <c r="H332" s="17"/>
      <c r="I332" s="17"/>
      <c r="J332" s="17" t="b">
        <v>0</v>
      </c>
    </row>
    <row r="333" hidden="1">
      <c r="A333" s="17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 t="str">
        <f>IFERROR(VLOOKUP(B333,'MASTER DATA'!$A$1:$E$212,4,FALSE),"")</f>
        <v/>
      </c>
      <c r="G333" s="17"/>
      <c r="H333" s="17"/>
      <c r="I333" s="17"/>
      <c r="J333" s="17" t="b">
        <v>0</v>
      </c>
    </row>
    <row r="334" hidden="1">
      <c r="A334" s="17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 t="str">
        <f>IFERROR(VLOOKUP(B334,'MASTER DATA'!$A$1:$E$212,4,FALSE),"")</f>
        <v/>
      </c>
      <c r="G334" s="17"/>
      <c r="H334" s="17"/>
      <c r="I334" s="17"/>
      <c r="J334" s="17" t="b">
        <v>0</v>
      </c>
    </row>
    <row r="335" hidden="1">
      <c r="A335" s="17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 t="str">
        <f>IFERROR(VLOOKUP(B335,'MASTER DATA'!$A$1:$E$212,4,FALSE),"")</f>
        <v/>
      </c>
      <c r="G335" s="17"/>
      <c r="H335" s="17"/>
      <c r="I335" s="17"/>
      <c r="J335" s="17" t="b">
        <v>0</v>
      </c>
    </row>
    <row r="336" hidden="1">
      <c r="A336" s="17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 t="str">
        <f>IFERROR(VLOOKUP(B336,'MASTER DATA'!$A$1:$E$212,4,FALSE),"")</f>
        <v/>
      </c>
      <c r="G336" s="17"/>
      <c r="H336" s="17"/>
      <c r="I336" s="17"/>
      <c r="J336" s="17" t="b">
        <v>0</v>
      </c>
    </row>
    <row r="337" hidden="1">
      <c r="A337" s="17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 t="str">
        <f>IFERROR(VLOOKUP(B337,'MASTER DATA'!$A$1:$E$212,4,FALSE),"")</f>
        <v/>
      </c>
      <c r="G337" s="17"/>
      <c r="H337" s="17"/>
      <c r="I337" s="17"/>
      <c r="J337" s="17" t="b">
        <v>0</v>
      </c>
    </row>
    <row r="338" hidden="1">
      <c r="A338" s="17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 t="str">
        <f>IFERROR(VLOOKUP(B338,'MASTER DATA'!$A$1:$E$212,4,FALSE),"")</f>
        <v/>
      </c>
      <c r="G338" s="17"/>
      <c r="H338" s="17"/>
      <c r="I338" s="17"/>
      <c r="J338" s="17" t="b">
        <v>0</v>
      </c>
    </row>
    <row r="339" hidden="1">
      <c r="A339" s="17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 t="str">
        <f>IFERROR(VLOOKUP(B339,'MASTER DATA'!$A$1:$E$212,4,FALSE),"")</f>
        <v/>
      </c>
      <c r="G339" s="17"/>
      <c r="H339" s="17"/>
      <c r="I339" s="17"/>
      <c r="J339" s="17" t="b">
        <v>0</v>
      </c>
    </row>
    <row r="340" hidden="1">
      <c r="A340" s="17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 t="str">
        <f>IFERROR(VLOOKUP(B340,'MASTER DATA'!$A$1:$E$212,4,FALSE),"")</f>
        <v/>
      </c>
      <c r="G340" s="17"/>
      <c r="H340" s="17"/>
      <c r="I340" s="17"/>
      <c r="J340" s="17" t="b">
        <v>0</v>
      </c>
    </row>
    <row r="341" hidden="1">
      <c r="A341" s="17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 t="str">
        <f>IFERROR(VLOOKUP(B341,'MASTER DATA'!$A$1:$E$212,4,FALSE),"")</f>
        <v/>
      </c>
      <c r="G341" s="17"/>
      <c r="H341" s="17"/>
      <c r="I341" s="17"/>
      <c r="J341" s="17" t="b">
        <v>0</v>
      </c>
    </row>
    <row r="342" hidden="1">
      <c r="A342" s="17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 t="str">
        <f>IFERROR(VLOOKUP(B342,'MASTER DATA'!$A$1:$E$212,4,FALSE),"")</f>
        <v/>
      </c>
      <c r="G342" s="17"/>
      <c r="H342" s="17"/>
      <c r="I342" s="17"/>
      <c r="J342" s="17" t="b">
        <v>0</v>
      </c>
    </row>
    <row r="343" hidden="1">
      <c r="A343" s="17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 t="str">
        <f>IFERROR(VLOOKUP(B343,'MASTER DATA'!$A$1:$E$212,4,FALSE),"")</f>
        <v/>
      </c>
      <c r="G343" s="17"/>
      <c r="H343" s="17"/>
      <c r="I343" s="17"/>
      <c r="J343" s="17" t="b">
        <v>0</v>
      </c>
    </row>
    <row r="344" hidden="1">
      <c r="A344" s="17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 t="str">
        <f>IFERROR(VLOOKUP(B344,'MASTER DATA'!$A$1:$E$212,4,FALSE),"")</f>
        <v/>
      </c>
      <c r="G344" s="17"/>
      <c r="H344" s="17"/>
      <c r="I344" s="17"/>
      <c r="J344" s="17" t="b">
        <v>0</v>
      </c>
    </row>
    <row r="345" hidden="1">
      <c r="A345" s="17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 t="str">
        <f>IFERROR(VLOOKUP(B345,'MASTER DATA'!$A$1:$E$212,4,FALSE),"")</f>
        <v/>
      </c>
      <c r="G345" s="17"/>
      <c r="H345" s="17"/>
      <c r="I345" s="17"/>
      <c r="J345" s="17" t="b">
        <v>0</v>
      </c>
    </row>
    <row r="346" hidden="1">
      <c r="A346" s="17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 t="str">
        <f>IFERROR(VLOOKUP(B346,'MASTER DATA'!$A$1:$E$212,4,FALSE),"")</f>
        <v/>
      </c>
      <c r="G346" s="17"/>
      <c r="H346" s="17"/>
      <c r="I346" s="17"/>
      <c r="J346" s="17" t="b">
        <v>0</v>
      </c>
    </row>
    <row r="347" hidden="1">
      <c r="A347" s="17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 t="str">
        <f>IFERROR(VLOOKUP(B347,'MASTER DATA'!$A$1:$E$212,4,FALSE),"")</f>
        <v/>
      </c>
      <c r="G347" s="17"/>
      <c r="H347" s="17"/>
      <c r="I347" s="17"/>
      <c r="J347" s="17" t="b">
        <v>0</v>
      </c>
    </row>
    <row r="348" hidden="1">
      <c r="A348" s="17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 t="str">
        <f>IFERROR(VLOOKUP(B348,'MASTER DATA'!$A$1:$E$212,4,FALSE),"")</f>
        <v/>
      </c>
      <c r="G348" s="17"/>
      <c r="H348" s="17"/>
      <c r="I348" s="17"/>
      <c r="J348" s="17" t="b">
        <v>0</v>
      </c>
    </row>
    <row r="349" hidden="1">
      <c r="A349" s="17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 t="str">
        <f>IFERROR(VLOOKUP(B349,'MASTER DATA'!$A$1:$E$212,4,FALSE),"")</f>
        <v/>
      </c>
      <c r="G349" s="17"/>
      <c r="H349" s="17"/>
      <c r="I349" s="17"/>
      <c r="J349" s="17" t="b">
        <v>0</v>
      </c>
    </row>
    <row r="350" hidden="1">
      <c r="A350" s="17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 t="str">
        <f>IFERROR(VLOOKUP(B350,'MASTER DATA'!$A$1:$E$212,4,FALSE),"")</f>
        <v/>
      </c>
      <c r="G350" s="17"/>
      <c r="H350" s="17"/>
      <c r="I350" s="17"/>
      <c r="J350" s="17" t="b">
        <v>0</v>
      </c>
    </row>
    <row r="351" hidden="1">
      <c r="A351" s="17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 t="str">
        <f>IFERROR(VLOOKUP(B351,'MASTER DATA'!$A$1:$E$212,4,FALSE),"")</f>
        <v/>
      </c>
      <c r="G351" s="17"/>
      <c r="H351" s="17"/>
      <c r="I351" s="17"/>
      <c r="J351" s="17" t="b">
        <v>0</v>
      </c>
    </row>
    <row r="352" hidden="1">
      <c r="A352" s="17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 t="str">
        <f>IFERROR(VLOOKUP(B352,'MASTER DATA'!$A$1:$E$212,4,FALSE),"")</f>
        <v/>
      </c>
      <c r="G352" s="17"/>
      <c r="H352" s="17"/>
      <c r="I352" s="17"/>
      <c r="J352" s="17" t="b">
        <v>0</v>
      </c>
    </row>
    <row r="353" hidden="1">
      <c r="A353" s="17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 t="str">
        <f>IFERROR(VLOOKUP(B353,'MASTER DATA'!$A$1:$E$212,4,FALSE),"")</f>
        <v/>
      </c>
      <c r="G353" s="17"/>
      <c r="H353" s="17"/>
      <c r="I353" s="17"/>
      <c r="J353" s="17" t="b">
        <v>0</v>
      </c>
    </row>
    <row r="354" hidden="1">
      <c r="A354" s="17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 t="str">
        <f>IFERROR(VLOOKUP(B354,'MASTER DATA'!$A$1:$E$212,4,FALSE),"")</f>
        <v/>
      </c>
      <c r="G354" s="17"/>
      <c r="H354" s="17"/>
      <c r="I354" s="17"/>
      <c r="J354" s="17" t="b">
        <v>0</v>
      </c>
    </row>
    <row r="355" hidden="1">
      <c r="A355" s="17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 t="str">
        <f>IFERROR(VLOOKUP(B355,'MASTER DATA'!$A$1:$E$212,4,FALSE),"")</f>
        <v/>
      </c>
      <c r="G355" s="17"/>
      <c r="H355" s="17"/>
      <c r="I355" s="17"/>
      <c r="J355" s="17" t="b">
        <v>0</v>
      </c>
    </row>
    <row r="356" hidden="1">
      <c r="A356" s="17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 t="str">
        <f>IFERROR(VLOOKUP(B356,'MASTER DATA'!$A$1:$E$212,4,FALSE),"")</f>
        <v/>
      </c>
      <c r="G356" s="17"/>
      <c r="H356" s="17"/>
      <c r="I356" s="17"/>
      <c r="J356" s="17" t="b">
        <v>0</v>
      </c>
    </row>
    <row r="357" hidden="1">
      <c r="A357" s="17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 t="str">
        <f>IFERROR(VLOOKUP(B357,'MASTER DATA'!$A$1:$E$212,4,FALSE),"")</f>
        <v/>
      </c>
      <c r="G357" s="17"/>
      <c r="H357" s="17"/>
      <c r="I357" s="17"/>
      <c r="J357" s="17" t="b">
        <v>0</v>
      </c>
    </row>
    <row r="358" hidden="1">
      <c r="A358" s="17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 t="str">
        <f>IFERROR(VLOOKUP(B358,'MASTER DATA'!$A$1:$E$212,4,FALSE),"")</f>
        <v/>
      </c>
      <c r="G358" s="17"/>
      <c r="H358" s="17"/>
      <c r="I358" s="17"/>
      <c r="J358" s="17" t="b">
        <v>0</v>
      </c>
    </row>
    <row r="359" hidden="1">
      <c r="A359" s="17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 t="str">
        <f>IFERROR(VLOOKUP(B359,'MASTER DATA'!$A$1:$E$212,4,FALSE),"")</f>
        <v/>
      </c>
      <c r="G359" s="17"/>
      <c r="H359" s="17"/>
      <c r="I359" s="17"/>
      <c r="J359" s="17" t="b">
        <v>0</v>
      </c>
    </row>
    <row r="360" hidden="1">
      <c r="A360" s="17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 t="str">
        <f>IFERROR(VLOOKUP(B360,'MASTER DATA'!$A$1:$E$212,4,FALSE),"")</f>
        <v/>
      </c>
      <c r="G360" s="17"/>
      <c r="H360" s="17"/>
      <c r="I360" s="17"/>
      <c r="J360" s="17" t="b">
        <v>0</v>
      </c>
    </row>
    <row r="361" hidden="1">
      <c r="A361" s="17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 t="str">
        <f>IFERROR(VLOOKUP(B361,'MASTER DATA'!$A$1:$E$212,4,FALSE),"")</f>
        <v/>
      </c>
      <c r="G361" s="17"/>
      <c r="H361" s="17"/>
      <c r="I361" s="17"/>
      <c r="J361" s="17" t="b">
        <v>0</v>
      </c>
    </row>
    <row r="362" hidden="1">
      <c r="A362" s="17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 t="str">
        <f>IFERROR(VLOOKUP(B362,'MASTER DATA'!$A$1:$E$212,4,FALSE),"")</f>
        <v/>
      </c>
      <c r="G362" s="17"/>
      <c r="H362" s="17"/>
      <c r="I362" s="17"/>
      <c r="J362" s="17" t="b">
        <v>0</v>
      </c>
    </row>
    <row r="363" hidden="1">
      <c r="A363" s="17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 t="str">
        <f>IFERROR(VLOOKUP(B363,'MASTER DATA'!$A$1:$E$212,4,FALSE),"")</f>
        <v/>
      </c>
      <c r="G363" s="17"/>
      <c r="H363" s="17"/>
      <c r="I363" s="17"/>
      <c r="J363" s="17" t="b">
        <v>0</v>
      </c>
    </row>
    <row r="364" hidden="1">
      <c r="A364" s="17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 t="str">
        <f>IFERROR(VLOOKUP(B364,'MASTER DATA'!$A$1:$E$212,4,FALSE),"")</f>
        <v/>
      </c>
      <c r="G364" s="17"/>
      <c r="H364" s="17"/>
      <c r="I364" s="17"/>
      <c r="J364" s="17" t="b">
        <v>0</v>
      </c>
    </row>
    <row r="365" hidden="1">
      <c r="A365" s="17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 t="str">
        <f>IFERROR(VLOOKUP(B365,'MASTER DATA'!$A$1:$E$212,4,FALSE),"")</f>
        <v/>
      </c>
      <c r="G365" s="17"/>
      <c r="H365" s="17"/>
      <c r="I365" s="17"/>
      <c r="J365" s="17" t="b">
        <v>0</v>
      </c>
    </row>
    <row r="366" hidden="1">
      <c r="A366" s="17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 t="str">
        <f>IFERROR(VLOOKUP(B366,'MASTER DATA'!$A$1:$E$212,4,FALSE),"")</f>
        <v/>
      </c>
      <c r="G366" s="17"/>
      <c r="H366" s="17"/>
      <c r="I366" s="17"/>
      <c r="J366" s="17" t="b">
        <v>0</v>
      </c>
    </row>
    <row r="367" hidden="1">
      <c r="A367" s="17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 t="str">
        <f>IFERROR(VLOOKUP(B367,'MASTER DATA'!$A$1:$E$212,4,FALSE),"")</f>
        <v/>
      </c>
      <c r="G367" s="17"/>
      <c r="H367" s="17"/>
      <c r="I367" s="17"/>
      <c r="J367" s="17" t="b">
        <v>0</v>
      </c>
    </row>
    <row r="368" hidden="1">
      <c r="A368" s="17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 t="str">
        <f>IFERROR(VLOOKUP(B368,'MASTER DATA'!$A$1:$E$212,4,FALSE),"")</f>
        <v/>
      </c>
      <c r="G368" s="17"/>
      <c r="H368" s="17"/>
      <c r="I368" s="17"/>
      <c r="J368" s="17" t="b">
        <v>0</v>
      </c>
    </row>
    <row r="369" hidden="1">
      <c r="A369" s="17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 t="str">
        <f>IFERROR(VLOOKUP(B369,'MASTER DATA'!$A$1:$E$212,4,FALSE),"")</f>
        <v/>
      </c>
      <c r="G369" s="17"/>
      <c r="H369" s="17"/>
      <c r="I369" s="17"/>
      <c r="J369" s="17" t="b">
        <v>0</v>
      </c>
    </row>
    <row r="370" hidden="1">
      <c r="A370" s="17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 t="str">
        <f>IFERROR(VLOOKUP(B370,'MASTER DATA'!$A$1:$E$212,4,FALSE),"")</f>
        <v/>
      </c>
      <c r="G370" s="17"/>
      <c r="H370" s="17"/>
      <c r="I370" s="17"/>
      <c r="J370" s="17" t="b">
        <v>0</v>
      </c>
    </row>
    <row r="371" hidden="1">
      <c r="A371" s="17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 t="str">
        <f>IFERROR(VLOOKUP(B371,'MASTER DATA'!$A$1:$E$212,4,FALSE),"")</f>
        <v/>
      </c>
      <c r="G371" s="17"/>
      <c r="H371" s="17"/>
      <c r="I371" s="17"/>
      <c r="J371" s="17" t="b">
        <v>0</v>
      </c>
    </row>
    <row r="372" hidden="1">
      <c r="A372" s="17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 t="str">
        <f>IFERROR(VLOOKUP(B372,'MASTER DATA'!$A$1:$E$212,4,FALSE),"")</f>
        <v/>
      </c>
      <c r="G372" s="17"/>
      <c r="H372" s="17"/>
      <c r="I372" s="17"/>
      <c r="J372" s="17" t="b">
        <v>0</v>
      </c>
    </row>
    <row r="373" hidden="1">
      <c r="A373" s="17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 t="str">
        <f>IFERROR(VLOOKUP(B373,'MASTER DATA'!$A$1:$E$212,4,FALSE),"")</f>
        <v/>
      </c>
      <c r="G373" s="17"/>
      <c r="H373" s="17"/>
      <c r="I373" s="17"/>
      <c r="J373" s="17" t="b">
        <v>0</v>
      </c>
    </row>
    <row r="374" hidden="1">
      <c r="A374" s="17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 t="str">
        <f>IFERROR(VLOOKUP(B374,'MASTER DATA'!$A$1:$E$212,4,FALSE),"")</f>
        <v/>
      </c>
      <c r="G374" s="17"/>
      <c r="H374" s="17"/>
      <c r="I374" s="17"/>
      <c r="J374" s="17" t="b">
        <v>0</v>
      </c>
    </row>
    <row r="375" hidden="1">
      <c r="A375" s="17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 t="str">
        <f>IFERROR(VLOOKUP(B375,'MASTER DATA'!$A$1:$E$212,4,FALSE),"")</f>
        <v/>
      </c>
      <c r="G375" s="17"/>
      <c r="H375" s="17"/>
      <c r="I375" s="17"/>
      <c r="J375" s="17" t="b">
        <v>0</v>
      </c>
    </row>
    <row r="376" hidden="1">
      <c r="A376" s="17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 t="str">
        <f>IFERROR(VLOOKUP(B376,'MASTER DATA'!$A$1:$E$212,4,FALSE),"")</f>
        <v/>
      </c>
      <c r="G376" s="17"/>
      <c r="H376" s="17"/>
      <c r="I376" s="17"/>
      <c r="J376" s="17" t="b">
        <v>0</v>
      </c>
    </row>
    <row r="377" hidden="1">
      <c r="A377" s="17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 t="str">
        <f>IFERROR(VLOOKUP(B377,'MASTER DATA'!$A$1:$E$212,4,FALSE),"")</f>
        <v/>
      </c>
      <c r="G377" s="17"/>
      <c r="H377" s="17"/>
      <c r="I377" s="17"/>
      <c r="J377" s="17" t="b">
        <v>0</v>
      </c>
    </row>
    <row r="378" hidden="1">
      <c r="A378" s="17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 t="str">
        <f>IFERROR(VLOOKUP(B378,'MASTER DATA'!$A$1:$E$212,4,FALSE),"")</f>
        <v/>
      </c>
      <c r="G378" s="17"/>
      <c r="H378" s="17"/>
      <c r="I378" s="17"/>
      <c r="J378" s="17" t="b">
        <v>0</v>
      </c>
    </row>
    <row r="379" hidden="1">
      <c r="A379" s="17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 t="str">
        <f>IFERROR(VLOOKUP(B379,'MASTER DATA'!$A$1:$E$212,4,FALSE),"")</f>
        <v/>
      </c>
      <c r="G379" s="17"/>
      <c r="H379" s="17"/>
      <c r="I379" s="17"/>
      <c r="J379" s="17" t="b">
        <v>0</v>
      </c>
    </row>
    <row r="380" hidden="1">
      <c r="A380" s="17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 t="str">
        <f>IFERROR(VLOOKUP(B380,'MASTER DATA'!$A$1:$E$212,4,FALSE),"")</f>
        <v/>
      </c>
      <c r="G380" s="17"/>
      <c r="H380" s="17"/>
      <c r="I380" s="17"/>
      <c r="J380" s="17" t="b">
        <v>0</v>
      </c>
    </row>
    <row r="381" hidden="1">
      <c r="A381" s="17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 t="str">
        <f>IFERROR(VLOOKUP(B381,'MASTER DATA'!$A$1:$E$212,4,FALSE),"")</f>
        <v/>
      </c>
      <c r="G381" s="17"/>
      <c r="H381" s="17"/>
      <c r="I381" s="17"/>
      <c r="J381" s="17" t="b">
        <v>0</v>
      </c>
    </row>
    <row r="382" hidden="1">
      <c r="A382" s="17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 t="str">
        <f>IFERROR(VLOOKUP(B382,'MASTER DATA'!$A$1:$E$212,4,FALSE),"")</f>
        <v/>
      </c>
      <c r="G382" s="17"/>
      <c r="H382" s="17"/>
      <c r="I382" s="17"/>
      <c r="J382" s="17" t="b">
        <v>0</v>
      </c>
    </row>
    <row r="383" hidden="1">
      <c r="A383" s="17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 t="str">
        <f>IFERROR(VLOOKUP(B383,'MASTER DATA'!$A$1:$E$212,4,FALSE),"")</f>
        <v/>
      </c>
      <c r="G383" s="17"/>
      <c r="H383" s="17"/>
      <c r="I383" s="17"/>
      <c r="J383" s="17" t="b">
        <v>0</v>
      </c>
    </row>
    <row r="384" hidden="1">
      <c r="A384" s="17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 t="str">
        <f>IFERROR(VLOOKUP(B384,'MASTER DATA'!$A$1:$E$212,4,FALSE),"")</f>
        <v/>
      </c>
      <c r="G384" s="17"/>
      <c r="H384" s="17"/>
      <c r="I384" s="17"/>
      <c r="J384" s="17" t="b">
        <v>0</v>
      </c>
    </row>
    <row r="385" hidden="1">
      <c r="A385" s="17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 t="str">
        <f>IFERROR(VLOOKUP(B385,'MASTER DATA'!$A$1:$E$212,4,FALSE),"")</f>
        <v/>
      </c>
      <c r="G385" s="17"/>
      <c r="H385" s="17"/>
      <c r="I385" s="17"/>
      <c r="J385" s="17" t="b">
        <v>0</v>
      </c>
    </row>
    <row r="386" hidden="1">
      <c r="A386" s="17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 t="str">
        <f>IFERROR(VLOOKUP(B386,'MASTER DATA'!$A$1:$E$212,4,FALSE),"")</f>
        <v/>
      </c>
      <c r="G386" s="17"/>
      <c r="H386" s="17"/>
      <c r="I386" s="17"/>
      <c r="J386" s="17" t="b">
        <v>0</v>
      </c>
    </row>
    <row r="387" hidden="1">
      <c r="A387" s="17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 t="str">
        <f>IFERROR(VLOOKUP(B387,'MASTER DATA'!$A$1:$E$212,4,FALSE),"")</f>
        <v/>
      </c>
      <c r="G387" s="17"/>
      <c r="H387" s="17"/>
      <c r="I387" s="17"/>
      <c r="J387" s="17" t="b">
        <v>0</v>
      </c>
    </row>
    <row r="388" hidden="1">
      <c r="A388" s="17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 t="str">
        <f>IFERROR(VLOOKUP(B388,'MASTER DATA'!$A$1:$E$212,4,FALSE),"")</f>
        <v/>
      </c>
      <c r="G388" s="17"/>
      <c r="H388" s="17"/>
      <c r="I388" s="17"/>
      <c r="J388" s="17" t="b">
        <v>0</v>
      </c>
    </row>
    <row r="389" hidden="1">
      <c r="A389" s="17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 t="str">
        <f>IFERROR(VLOOKUP(B389,'MASTER DATA'!$A$1:$E$212,4,FALSE),"")</f>
        <v/>
      </c>
      <c r="G389" s="17"/>
      <c r="H389" s="17"/>
      <c r="I389" s="17"/>
      <c r="J389" s="17" t="b">
        <v>0</v>
      </c>
    </row>
    <row r="390" hidden="1">
      <c r="A390" s="17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 t="str">
        <f>IFERROR(VLOOKUP(B390,'MASTER DATA'!$A$1:$E$212,4,FALSE),"")</f>
        <v/>
      </c>
      <c r="G390" s="17"/>
      <c r="H390" s="17"/>
      <c r="I390" s="17"/>
      <c r="J390" s="17" t="b">
        <v>0</v>
      </c>
    </row>
    <row r="391" hidden="1">
      <c r="A391" s="17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 t="str">
        <f>IFERROR(VLOOKUP(B391,'MASTER DATA'!$A$1:$E$212,4,FALSE),"")</f>
        <v/>
      </c>
      <c r="G391" s="17"/>
      <c r="H391" s="17"/>
      <c r="I391" s="17"/>
      <c r="J391" s="17" t="b">
        <v>0</v>
      </c>
    </row>
    <row r="392" hidden="1">
      <c r="A392" s="17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 t="str">
        <f>IFERROR(VLOOKUP(B392,'MASTER DATA'!$A$1:$E$212,4,FALSE),"")</f>
        <v/>
      </c>
      <c r="G392" s="17"/>
      <c r="H392" s="17"/>
      <c r="I392" s="17"/>
      <c r="J392" s="17" t="b">
        <v>0</v>
      </c>
    </row>
    <row r="393" hidden="1">
      <c r="A393" s="17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 t="str">
        <f>IFERROR(VLOOKUP(B393,'MASTER DATA'!$A$1:$E$212,4,FALSE),"")</f>
        <v/>
      </c>
      <c r="G393" s="17"/>
      <c r="H393" s="17"/>
      <c r="I393" s="17"/>
      <c r="J393" s="17" t="b">
        <v>0</v>
      </c>
    </row>
    <row r="394" hidden="1">
      <c r="A394" s="17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 t="str">
        <f>IFERROR(VLOOKUP(B394,'MASTER DATA'!$A$1:$E$212,4,FALSE),"")</f>
        <v/>
      </c>
      <c r="G394" s="17"/>
      <c r="H394" s="17"/>
      <c r="I394" s="17"/>
      <c r="J394" s="17" t="b">
        <v>0</v>
      </c>
    </row>
    <row r="395" hidden="1">
      <c r="A395" s="17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 t="str">
        <f>IFERROR(VLOOKUP(B395,'MASTER DATA'!$A$1:$E$212,4,FALSE),"")</f>
        <v/>
      </c>
      <c r="G395" s="17"/>
      <c r="H395" s="17"/>
      <c r="I395" s="17"/>
      <c r="J395" s="17" t="b">
        <v>0</v>
      </c>
    </row>
    <row r="396" hidden="1">
      <c r="A396" s="17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 t="str">
        <f>IFERROR(VLOOKUP(B396,'MASTER DATA'!$A$1:$E$212,4,FALSE),"")</f>
        <v/>
      </c>
      <c r="G396" s="17"/>
      <c r="H396" s="17"/>
      <c r="I396" s="17"/>
      <c r="J396" s="17" t="b">
        <v>0</v>
      </c>
    </row>
    <row r="397" hidden="1">
      <c r="A397" s="17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 t="str">
        <f>IFERROR(VLOOKUP(B397,'MASTER DATA'!$A$1:$E$212,4,FALSE),"")</f>
        <v/>
      </c>
      <c r="G397" s="17"/>
      <c r="H397" s="17"/>
      <c r="I397" s="17"/>
      <c r="J397" s="17" t="b">
        <v>0</v>
      </c>
    </row>
    <row r="398" hidden="1">
      <c r="A398" s="17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 t="str">
        <f>IFERROR(VLOOKUP(B398,'MASTER DATA'!$A$1:$E$212,4,FALSE),"")</f>
        <v/>
      </c>
      <c r="G398" s="17"/>
      <c r="H398" s="17"/>
      <c r="I398" s="17"/>
      <c r="J398" s="17" t="b">
        <v>0</v>
      </c>
    </row>
    <row r="399" hidden="1">
      <c r="A399" s="17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 t="str">
        <f>IFERROR(VLOOKUP(B399,'MASTER DATA'!$A$1:$E$212,4,FALSE),"")</f>
        <v/>
      </c>
      <c r="G399" s="17"/>
      <c r="H399" s="17"/>
      <c r="I399" s="17"/>
      <c r="J399" s="17" t="b">
        <v>0</v>
      </c>
    </row>
    <row r="400" hidden="1">
      <c r="A400" s="17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 t="str">
        <f>IFERROR(VLOOKUP(B400,'MASTER DATA'!$A$1:$E$212,4,FALSE),"")</f>
        <v/>
      </c>
      <c r="G400" s="17"/>
      <c r="H400" s="17"/>
      <c r="I400" s="17"/>
      <c r="J400" s="17" t="b">
        <v>0</v>
      </c>
    </row>
    <row r="401" hidden="1">
      <c r="A401" s="17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 t="str">
        <f>IFERROR(VLOOKUP(B401,'MASTER DATA'!$A$1:$E$212,4,FALSE),"")</f>
        <v/>
      </c>
      <c r="G401" s="17"/>
      <c r="H401" s="17"/>
      <c r="I401" s="17"/>
      <c r="J401" s="17" t="b">
        <v>0</v>
      </c>
    </row>
    <row r="402" hidden="1">
      <c r="A402" s="17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 t="str">
        <f>IFERROR(VLOOKUP(B402,'MASTER DATA'!$A$1:$E$212,4,FALSE),"")</f>
        <v/>
      </c>
      <c r="G402" s="17"/>
      <c r="H402" s="17"/>
      <c r="I402" s="17"/>
      <c r="J402" s="17" t="b">
        <v>0</v>
      </c>
    </row>
    <row r="403" hidden="1">
      <c r="A403" s="17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 t="str">
        <f>IFERROR(VLOOKUP(B403,'MASTER DATA'!$A$1:$E$212,4,FALSE),"")</f>
        <v/>
      </c>
      <c r="G403" s="17"/>
      <c r="H403" s="17"/>
      <c r="I403" s="17"/>
      <c r="J403" s="17" t="b">
        <v>0</v>
      </c>
    </row>
    <row r="404" hidden="1">
      <c r="A404" s="17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 t="str">
        <f>IFERROR(VLOOKUP(B404,'MASTER DATA'!$A$1:$E$212,4,FALSE),"")</f>
        <v/>
      </c>
      <c r="G404" s="17"/>
      <c r="H404" s="17"/>
      <c r="I404" s="17"/>
      <c r="J404" s="17" t="b">
        <v>0</v>
      </c>
    </row>
    <row r="405" hidden="1">
      <c r="A405" s="17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 t="str">
        <f>IFERROR(VLOOKUP(B405,'MASTER DATA'!$A$1:$E$212,4,FALSE),"")</f>
        <v/>
      </c>
      <c r="G405" s="17"/>
      <c r="H405" s="17"/>
      <c r="I405" s="17"/>
      <c r="J405" s="17" t="b">
        <v>0</v>
      </c>
    </row>
    <row r="406" hidden="1">
      <c r="A406" s="17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 t="str">
        <f>IFERROR(VLOOKUP(B406,'MASTER DATA'!$A$1:$E$212,4,FALSE),"")</f>
        <v/>
      </c>
      <c r="G406" s="17"/>
      <c r="H406" s="17"/>
      <c r="I406" s="17"/>
      <c r="J406" s="17" t="b">
        <v>0</v>
      </c>
    </row>
    <row r="407" hidden="1">
      <c r="A407" s="17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 t="str">
        <f>IFERROR(VLOOKUP(B407,'MASTER DATA'!$A$1:$E$212,4,FALSE),"")</f>
        <v/>
      </c>
      <c r="G407" s="17"/>
      <c r="H407" s="17"/>
      <c r="I407" s="17"/>
      <c r="J407" s="17" t="b">
        <v>0</v>
      </c>
    </row>
    <row r="408" hidden="1">
      <c r="A408" s="17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 t="str">
        <f>IFERROR(VLOOKUP(B408,'MASTER DATA'!$A$1:$E$212,4,FALSE),"")</f>
        <v/>
      </c>
      <c r="G408" s="17"/>
      <c r="H408" s="17"/>
      <c r="I408" s="17"/>
      <c r="J408" s="17" t="b">
        <v>0</v>
      </c>
    </row>
    <row r="409" hidden="1">
      <c r="A409" s="17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 t="str">
        <f>IFERROR(VLOOKUP(B409,'MASTER DATA'!$A$1:$E$212,4,FALSE),"")</f>
        <v/>
      </c>
      <c r="G409" s="17"/>
      <c r="H409" s="17"/>
      <c r="I409" s="17"/>
      <c r="J409" s="17" t="b">
        <v>0</v>
      </c>
    </row>
    <row r="410" hidden="1">
      <c r="A410" s="17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 t="str">
        <f>IFERROR(VLOOKUP(B410,'MASTER DATA'!$A$1:$E$212,4,FALSE),"")</f>
        <v/>
      </c>
      <c r="G410" s="17"/>
      <c r="H410" s="17"/>
      <c r="I410" s="17"/>
      <c r="J410" s="17" t="b">
        <v>0</v>
      </c>
    </row>
    <row r="411" hidden="1">
      <c r="A411" s="17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 t="str">
        <f>IFERROR(VLOOKUP(B411,'MASTER DATA'!$A$1:$E$212,4,FALSE),"")</f>
        <v/>
      </c>
      <c r="G411" s="17"/>
      <c r="H411" s="17"/>
      <c r="I411" s="17"/>
      <c r="J411" s="17" t="b">
        <v>0</v>
      </c>
    </row>
    <row r="412" hidden="1">
      <c r="A412" s="17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 t="str">
        <f>IFERROR(VLOOKUP(B412,'MASTER DATA'!$A$1:$E$212,4,FALSE),"")</f>
        <v/>
      </c>
      <c r="G412" s="17"/>
      <c r="H412" s="17"/>
      <c r="I412" s="17"/>
      <c r="J412" s="17" t="b">
        <v>0</v>
      </c>
    </row>
    <row r="413" hidden="1">
      <c r="A413" s="17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 t="str">
        <f>IFERROR(VLOOKUP(B413,'MASTER DATA'!$A$1:$E$212,4,FALSE),"")</f>
        <v/>
      </c>
      <c r="G413" s="17"/>
      <c r="H413" s="17"/>
      <c r="I413" s="17"/>
      <c r="J413" s="17" t="b">
        <v>0</v>
      </c>
    </row>
    <row r="414" hidden="1">
      <c r="A414" s="17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 t="str">
        <f>IFERROR(VLOOKUP(B414,'MASTER DATA'!$A$1:$E$212,4,FALSE),"")</f>
        <v/>
      </c>
      <c r="G414" s="17"/>
      <c r="H414" s="17"/>
      <c r="I414" s="17"/>
      <c r="J414" s="17" t="b">
        <v>0</v>
      </c>
    </row>
    <row r="415" hidden="1">
      <c r="A415" s="17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 t="str">
        <f>IFERROR(VLOOKUP(B415,'MASTER DATA'!$A$1:$E$212,4,FALSE),"")</f>
        <v/>
      </c>
      <c r="G415" s="17"/>
      <c r="H415" s="17"/>
      <c r="I415" s="17"/>
      <c r="J415" s="17" t="b">
        <v>0</v>
      </c>
    </row>
    <row r="416" hidden="1">
      <c r="A416" s="17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 t="str">
        <f>IFERROR(VLOOKUP(B416,'MASTER DATA'!$A$1:$E$212,4,FALSE),"")</f>
        <v/>
      </c>
      <c r="G416" s="17"/>
      <c r="H416" s="17"/>
      <c r="I416" s="17"/>
      <c r="J416" s="17" t="b">
        <v>0</v>
      </c>
    </row>
    <row r="417" hidden="1">
      <c r="A417" s="17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 t="str">
        <f>IFERROR(VLOOKUP(B417,'MASTER DATA'!$A$1:$E$212,4,FALSE),"")</f>
        <v/>
      </c>
      <c r="G417" s="17"/>
      <c r="H417" s="17"/>
      <c r="I417" s="17"/>
      <c r="J417" s="17" t="b">
        <v>0</v>
      </c>
    </row>
    <row r="418" hidden="1">
      <c r="A418" s="17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 t="str">
        <f>IFERROR(VLOOKUP(B418,'MASTER DATA'!$A$1:$E$212,4,FALSE),"")</f>
        <v/>
      </c>
      <c r="G418" s="17"/>
      <c r="H418" s="17"/>
      <c r="I418" s="17"/>
      <c r="J418" s="17" t="b">
        <v>0</v>
      </c>
    </row>
    <row r="419" hidden="1">
      <c r="A419" s="17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 t="str">
        <f>IFERROR(VLOOKUP(B419,'MASTER DATA'!$A$1:$E$212,4,FALSE),"")</f>
        <v/>
      </c>
      <c r="G419" s="17"/>
      <c r="H419" s="17"/>
      <c r="I419" s="17"/>
      <c r="J419" s="17" t="b">
        <v>0</v>
      </c>
    </row>
    <row r="420" hidden="1">
      <c r="A420" s="17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 t="str">
        <f>IFERROR(VLOOKUP(B420,'MASTER DATA'!$A$1:$E$212,4,FALSE),"")</f>
        <v/>
      </c>
      <c r="G420" s="17"/>
      <c r="H420" s="17"/>
      <c r="I420" s="17"/>
      <c r="J420" s="17" t="b">
        <v>0</v>
      </c>
    </row>
    <row r="421" hidden="1">
      <c r="A421" s="17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 t="str">
        <f>IFERROR(VLOOKUP(B421,'MASTER DATA'!$A$1:$E$212,4,FALSE),"")</f>
        <v/>
      </c>
      <c r="G421" s="17"/>
      <c r="H421" s="17"/>
      <c r="I421" s="17"/>
      <c r="J421" s="17" t="b">
        <v>0</v>
      </c>
    </row>
    <row r="422" hidden="1">
      <c r="A422" s="17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 t="str">
        <f>IFERROR(VLOOKUP(B422,'MASTER DATA'!$A$1:$E$212,4,FALSE),"")</f>
        <v/>
      </c>
      <c r="G422" s="17"/>
      <c r="H422" s="17"/>
      <c r="I422" s="17"/>
      <c r="J422" s="17" t="b">
        <v>0</v>
      </c>
    </row>
    <row r="423" hidden="1">
      <c r="A423" s="17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 t="str">
        <f>IFERROR(VLOOKUP(B423,'MASTER DATA'!$A$1:$E$212,4,FALSE),"")</f>
        <v/>
      </c>
      <c r="G423" s="17"/>
      <c r="H423" s="17"/>
      <c r="I423" s="17"/>
      <c r="J423" s="17" t="b">
        <v>0</v>
      </c>
    </row>
    <row r="424" hidden="1">
      <c r="A424" s="17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 t="str">
        <f>IFERROR(VLOOKUP(B424,'MASTER DATA'!$A$1:$E$212,4,FALSE),"")</f>
        <v/>
      </c>
      <c r="G424" s="17"/>
      <c r="H424" s="17"/>
      <c r="I424" s="17"/>
      <c r="J424" s="17" t="b">
        <v>0</v>
      </c>
    </row>
    <row r="425" hidden="1">
      <c r="A425" s="17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 t="str">
        <f>IFERROR(VLOOKUP(B425,'MASTER DATA'!$A$1:$E$212,4,FALSE),"")</f>
        <v/>
      </c>
      <c r="G425" s="17"/>
      <c r="H425" s="17"/>
      <c r="I425" s="17"/>
      <c r="J425" s="17" t="b">
        <v>0</v>
      </c>
    </row>
    <row r="426" hidden="1">
      <c r="A426" s="17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 t="str">
        <f>IFERROR(VLOOKUP(B426,'MASTER DATA'!$A$1:$E$212,4,FALSE),"")</f>
        <v/>
      </c>
      <c r="G426" s="17"/>
      <c r="H426" s="17"/>
      <c r="I426" s="17"/>
      <c r="J426" s="17" t="b">
        <v>0</v>
      </c>
    </row>
    <row r="427" hidden="1">
      <c r="A427" s="17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 t="str">
        <f>IFERROR(VLOOKUP(B427,'MASTER DATA'!$A$1:$E$212,4,FALSE),"")</f>
        <v/>
      </c>
      <c r="G427" s="17"/>
      <c r="H427" s="17"/>
      <c r="I427" s="17"/>
      <c r="J427" s="17" t="b">
        <v>0</v>
      </c>
    </row>
    <row r="428" hidden="1">
      <c r="A428" s="17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 t="str">
        <f>IFERROR(VLOOKUP(B428,'MASTER DATA'!$A$1:$E$212,4,FALSE),"")</f>
        <v/>
      </c>
      <c r="G428" s="17"/>
      <c r="H428" s="17"/>
      <c r="I428" s="17"/>
      <c r="J428" s="17" t="b">
        <v>0</v>
      </c>
    </row>
    <row r="429" hidden="1">
      <c r="A429" s="17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 t="str">
        <f>IFERROR(VLOOKUP(B429,'MASTER DATA'!$A$1:$E$212,4,FALSE),"")</f>
        <v/>
      </c>
      <c r="G429" s="17"/>
      <c r="H429" s="17"/>
      <c r="I429" s="17"/>
      <c r="J429" s="17" t="b">
        <v>0</v>
      </c>
    </row>
    <row r="430" hidden="1">
      <c r="A430" s="17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 t="str">
        <f>IFERROR(VLOOKUP(B430,'MASTER DATA'!$A$1:$E$212,4,FALSE),"")</f>
        <v/>
      </c>
      <c r="G430" s="17"/>
      <c r="H430" s="17"/>
      <c r="I430" s="17"/>
      <c r="J430" s="17" t="b">
        <v>0</v>
      </c>
    </row>
    <row r="431" hidden="1">
      <c r="A431" s="17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 t="str">
        <f>IFERROR(VLOOKUP(B431,'MASTER DATA'!$A$1:$E$212,4,FALSE),"")</f>
        <v/>
      </c>
      <c r="G431" s="17"/>
      <c r="H431" s="17"/>
      <c r="I431" s="17"/>
      <c r="J431" s="17" t="b">
        <v>0</v>
      </c>
    </row>
    <row r="432" hidden="1">
      <c r="A432" s="17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 t="str">
        <f>IFERROR(VLOOKUP(B432,'MASTER DATA'!$A$1:$E$212,4,FALSE),"")</f>
        <v/>
      </c>
      <c r="G432" s="17"/>
      <c r="H432" s="17"/>
      <c r="I432" s="17"/>
      <c r="J432" s="17" t="b">
        <v>0</v>
      </c>
    </row>
    <row r="433" hidden="1">
      <c r="A433" s="17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 t="str">
        <f>IFERROR(VLOOKUP(B433,'MASTER DATA'!$A$1:$E$212,4,FALSE),"")</f>
        <v/>
      </c>
      <c r="G433" s="17"/>
      <c r="H433" s="17"/>
      <c r="I433" s="17"/>
      <c r="J433" s="17" t="b">
        <v>0</v>
      </c>
    </row>
    <row r="434" hidden="1">
      <c r="A434" s="17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 t="str">
        <f>IFERROR(VLOOKUP(B434,'MASTER DATA'!$A$1:$E$212,4,FALSE),"")</f>
        <v/>
      </c>
      <c r="G434" s="17"/>
      <c r="H434" s="17"/>
      <c r="I434" s="17"/>
      <c r="J434" s="17" t="b">
        <v>0</v>
      </c>
    </row>
    <row r="435" hidden="1">
      <c r="A435" s="17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 t="str">
        <f>IFERROR(VLOOKUP(B435,'MASTER DATA'!$A$1:$E$212,4,FALSE),"")</f>
        <v/>
      </c>
      <c r="G435" s="17"/>
      <c r="H435" s="17"/>
      <c r="I435" s="17"/>
      <c r="J435" s="17" t="b">
        <v>0</v>
      </c>
    </row>
    <row r="436" hidden="1">
      <c r="A436" s="17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 t="str">
        <f>IFERROR(VLOOKUP(B436,'MASTER DATA'!$A$1:$E$212,4,FALSE),"")</f>
        <v/>
      </c>
      <c r="G436" s="17"/>
      <c r="H436" s="17"/>
      <c r="I436" s="17"/>
      <c r="J436" s="17" t="b">
        <v>0</v>
      </c>
    </row>
    <row r="437" hidden="1">
      <c r="A437" s="17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 t="str">
        <f>IFERROR(VLOOKUP(B437,'MASTER DATA'!$A$1:$E$212,4,FALSE),"")</f>
        <v/>
      </c>
      <c r="G437" s="17"/>
      <c r="H437" s="17"/>
      <c r="I437" s="17"/>
      <c r="J437" s="17" t="b">
        <v>0</v>
      </c>
    </row>
    <row r="438" hidden="1">
      <c r="A438" s="17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 t="str">
        <f>IFERROR(VLOOKUP(B438,'MASTER DATA'!$A$1:$E$212,4,FALSE),"")</f>
        <v/>
      </c>
      <c r="G438" s="17"/>
      <c r="H438" s="17"/>
      <c r="I438" s="17"/>
      <c r="J438" s="17" t="b">
        <v>0</v>
      </c>
    </row>
    <row r="439" hidden="1">
      <c r="A439" s="17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 t="str">
        <f>IFERROR(VLOOKUP(B439,'MASTER DATA'!$A$1:$E$212,4,FALSE),"")</f>
        <v/>
      </c>
      <c r="G439" s="17"/>
      <c r="H439" s="17"/>
      <c r="I439" s="17"/>
      <c r="J439" s="17" t="b">
        <v>0</v>
      </c>
    </row>
    <row r="440" hidden="1">
      <c r="A440" s="17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 t="str">
        <f>IFERROR(VLOOKUP(B440,'MASTER DATA'!$A$1:$E$212,4,FALSE),"")</f>
        <v/>
      </c>
      <c r="G440" s="17"/>
      <c r="H440" s="17"/>
      <c r="I440" s="17"/>
      <c r="J440" s="17" t="b">
        <v>0</v>
      </c>
    </row>
    <row r="441" hidden="1">
      <c r="A441" s="17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 t="str">
        <f>IFERROR(VLOOKUP(B441,'MASTER DATA'!$A$1:$E$212,4,FALSE),"")</f>
        <v/>
      </c>
      <c r="G441" s="17"/>
      <c r="H441" s="17"/>
      <c r="I441" s="17"/>
      <c r="J441" s="17" t="b">
        <v>0</v>
      </c>
    </row>
    <row r="442" hidden="1">
      <c r="A442" s="17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 t="str">
        <f>IFERROR(VLOOKUP(B442,'MASTER DATA'!$A$1:$E$212,4,FALSE),"")</f>
        <v/>
      </c>
      <c r="G442" s="17"/>
      <c r="H442" s="17"/>
      <c r="I442" s="17"/>
      <c r="J442" s="17" t="b">
        <v>0</v>
      </c>
    </row>
    <row r="443" hidden="1">
      <c r="A443" s="17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 t="str">
        <f>IFERROR(VLOOKUP(B443,'MASTER DATA'!$A$1:$E$212,4,FALSE),"")</f>
        <v/>
      </c>
      <c r="G443" s="17"/>
      <c r="H443" s="17"/>
      <c r="I443" s="17"/>
      <c r="J443" s="17" t="b">
        <v>0</v>
      </c>
    </row>
    <row r="444" hidden="1">
      <c r="A444" s="17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 t="str">
        <f>IFERROR(VLOOKUP(B444,'MASTER DATA'!$A$1:$E$212,4,FALSE),"")</f>
        <v/>
      </c>
      <c r="G444" s="17"/>
      <c r="H444" s="17"/>
      <c r="I444" s="17"/>
      <c r="J444" s="17" t="b">
        <v>0</v>
      </c>
    </row>
    <row r="445" hidden="1">
      <c r="A445" s="17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 t="str">
        <f>IFERROR(VLOOKUP(B445,'MASTER DATA'!$A$1:$E$212,4,FALSE),"")</f>
        <v/>
      </c>
      <c r="G445" s="17"/>
      <c r="H445" s="17"/>
      <c r="I445" s="17"/>
      <c r="J445" s="17" t="b">
        <v>0</v>
      </c>
    </row>
    <row r="446" hidden="1">
      <c r="A446" s="17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 t="str">
        <f>IFERROR(VLOOKUP(B446,'MASTER DATA'!$A$1:$E$212,4,FALSE),"")</f>
        <v/>
      </c>
      <c r="G446" s="17"/>
      <c r="H446" s="17"/>
      <c r="I446" s="17"/>
      <c r="J446" s="17" t="b">
        <v>0</v>
      </c>
    </row>
    <row r="447" hidden="1">
      <c r="A447" s="17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 t="str">
        <f>IFERROR(VLOOKUP(B447,'MASTER DATA'!$A$1:$E$212,4,FALSE),"")</f>
        <v/>
      </c>
      <c r="G447" s="17"/>
      <c r="H447" s="17"/>
      <c r="I447" s="17"/>
      <c r="J447" s="17" t="b">
        <v>0</v>
      </c>
    </row>
    <row r="448" hidden="1">
      <c r="A448" s="17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 t="str">
        <f>IFERROR(VLOOKUP(B448,'MASTER DATA'!$A$1:$E$212,4,FALSE),"")</f>
        <v/>
      </c>
      <c r="G448" s="17"/>
      <c r="H448" s="17"/>
      <c r="I448" s="17"/>
      <c r="J448" s="17" t="b">
        <v>0</v>
      </c>
    </row>
    <row r="449" hidden="1">
      <c r="A449" s="17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 t="str">
        <f>IFERROR(VLOOKUP(B449,'MASTER DATA'!$A$1:$E$212,4,FALSE),"")</f>
        <v/>
      </c>
      <c r="G449" s="17"/>
      <c r="H449" s="17"/>
      <c r="I449" s="17"/>
      <c r="J449" s="17" t="b">
        <v>0</v>
      </c>
    </row>
    <row r="450" hidden="1">
      <c r="A450" s="17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 t="str">
        <f>IFERROR(VLOOKUP(B450,'MASTER DATA'!$A$1:$E$212,4,FALSE),"")</f>
        <v/>
      </c>
      <c r="G450" s="17"/>
      <c r="H450" s="17"/>
      <c r="I450" s="17"/>
      <c r="J450" s="17" t="b">
        <v>0</v>
      </c>
    </row>
    <row r="451" hidden="1">
      <c r="A451" s="17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 t="str">
        <f>IFERROR(VLOOKUP(B451,'MASTER DATA'!$A$1:$E$212,4,FALSE),"")</f>
        <v/>
      </c>
      <c r="G451" s="17"/>
      <c r="H451" s="17"/>
      <c r="I451" s="17"/>
      <c r="J451" s="17" t="b">
        <v>0</v>
      </c>
    </row>
    <row r="452" hidden="1">
      <c r="A452" s="17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 t="str">
        <f>IFERROR(VLOOKUP(B452,'MASTER DATA'!$A$1:$E$212,4,FALSE),"")</f>
        <v/>
      </c>
      <c r="G452" s="17"/>
      <c r="H452" s="17"/>
      <c r="I452" s="17"/>
      <c r="J452" s="17" t="b">
        <v>0</v>
      </c>
    </row>
    <row r="453" hidden="1">
      <c r="A453" s="17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 t="str">
        <f>IFERROR(VLOOKUP(B453,'MASTER DATA'!$A$1:$E$212,4,FALSE),"")</f>
        <v/>
      </c>
      <c r="G453" s="17"/>
      <c r="H453" s="17"/>
      <c r="I453" s="17"/>
      <c r="J453" s="17" t="b">
        <v>0</v>
      </c>
    </row>
    <row r="454" hidden="1">
      <c r="A454" s="17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 t="str">
        <f>IFERROR(VLOOKUP(B454,'MASTER DATA'!$A$1:$E$212,4,FALSE),"")</f>
        <v/>
      </c>
      <c r="G454" s="17"/>
      <c r="H454" s="17"/>
      <c r="I454" s="17"/>
      <c r="J454" s="17" t="b">
        <v>0</v>
      </c>
    </row>
    <row r="455" hidden="1">
      <c r="A455" s="17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 t="str">
        <f>IFERROR(VLOOKUP(B455,'MASTER DATA'!$A$1:$E$212,4,FALSE),"")</f>
        <v/>
      </c>
      <c r="G455" s="17"/>
      <c r="H455" s="17"/>
      <c r="I455" s="17"/>
      <c r="J455" s="17" t="b">
        <v>0</v>
      </c>
    </row>
    <row r="456" hidden="1">
      <c r="A456" s="17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 t="str">
        <f>IFERROR(VLOOKUP(B456,'MASTER DATA'!$A$1:$E$212,4,FALSE),"")</f>
        <v/>
      </c>
      <c r="G456" s="17"/>
      <c r="H456" s="17"/>
      <c r="I456" s="17"/>
      <c r="J456" s="17" t="b">
        <v>0</v>
      </c>
    </row>
    <row r="457" hidden="1">
      <c r="A457" s="17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 t="str">
        <f>IFERROR(VLOOKUP(B457,'MASTER DATA'!$A$1:$E$212,4,FALSE),"")</f>
        <v/>
      </c>
      <c r="G457" s="17"/>
      <c r="H457" s="17"/>
      <c r="I457" s="17"/>
      <c r="J457" s="17" t="b">
        <v>0</v>
      </c>
    </row>
    <row r="458" hidden="1">
      <c r="A458" s="17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 t="str">
        <f>IFERROR(VLOOKUP(B458,'MASTER DATA'!$A$1:$E$212,4,FALSE),"")</f>
        <v/>
      </c>
      <c r="G458" s="17"/>
      <c r="H458" s="17"/>
      <c r="I458" s="17"/>
      <c r="J458" s="17" t="b">
        <v>0</v>
      </c>
    </row>
    <row r="459" hidden="1">
      <c r="A459" s="17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 t="str">
        <f>IFERROR(VLOOKUP(B459,'MASTER DATA'!$A$1:$E$212,4,FALSE),"")</f>
        <v/>
      </c>
      <c r="G459" s="17"/>
      <c r="H459" s="17"/>
      <c r="I459" s="17"/>
      <c r="J459" s="17" t="b">
        <v>0</v>
      </c>
    </row>
    <row r="460" hidden="1">
      <c r="A460" s="17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 t="str">
        <f>IFERROR(VLOOKUP(B460,'MASTER DATA'!$A$1:$E$212,4,FALSE),"")</f>
        <v/>
      </c>
      <c r="G460" s="17"/>
      <c r="H460" s="17"/>
      <c r="I460" s="17"/>
      <c r="J460" s="17" t="b">
        <v>0</v>
      </c>
    </row>
    <row r="461" hidden="1">
      <c r="A461" s="17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 t="str">
        <f>IFERROR(VLOOKUP(B461,'MASTER DATA'!$A$1:$E$212,4,FALSE),"")</f>
        <v/>
      </c>
      <c r="G461" s="17"/>
      <c r="H461" s="17"/>
      <c r="I461" s="17"/>
      <c r="J461" s="17" t="b">
        <v>0</v>
      </c>
    </row>
    <row r="462" hidden="1">
      <c r="A462" s="17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 t="str">
        <f>IFERROR(VLOOKUP(B462,'MASTER DATA'!$A$1:$E$212,4,FALSE),"")</f>
        <v/>
      </c>
      <c r="G462" s="17"/>
      <c r="H462" s="17"/>
      <c r="I462" s="17"/>
      <c r="J462" s="17" t="b">
        <v>0</v>
      </c>
    </row>
    <row r="463" hidden="1">
      <c r="A463" s="17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 t="str">
        <f>IFERROR(VLOOKUP(B463,'MASTER DATA'!$A$1:$E$212,4,FALSE),"")</f>
        <v/>
      </c>
      <c r="G463" s="17"/>
      <c r="H463" s="17"/>
      <c r="I463" s="17"/>
      <c r="J463" s="17" t="b">
        <v>0</v>
      </c>
    </row>
    <row r="464" hidden="1">
      <c r="A464" s="17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 t="str">
        <f>IFERROR(VLOOKUP(B464,'MASTER DATA'!$A$1:$E$212,4,FALSE),"")</f>
        <v/>
      </c>
      <c r="G464" s="17"/>
      <c r="H464" s="17"/>
      <c r="I464" s="17"/>
      <c r="J464" s="17" t="b">
        <v>0</v>
      </c>
    </row>
    <row r="465" hidden="1">
      <c r="A465" s="17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 t="str">
        <f>IFERROR(VLOOKUP(B465,'MASTER DATA'!$A$1:$E$212,4,FALSE),"")</f>
        <v/>
      </c>
      <c r="G465" s="17"/>
      <c r="H465" s="17"/>
      <c r="I465" s="17"/>
      <c r="J465" s="17" t="b">
        <v>0</v>
      </c>
    </row>
    <row r="466" hidden="1">
      <c r="A466" s="17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 t="str">
        <f>IFERROR(VLOOKUP(B466,'MASTER DATA'!$A$1:$E$212,4,FALSE),"")</f>
        <v/>
      </c>
      <c r="G466" s="17"/>
      <c r="H466" s="17"/>
      <c r="I466" s="17"/>
      <c r="J466" s="17" t="b">
        <v>0</v>
      </c>
    </row>
    <row r="467" hidden="1">
      <c r="A467" s="17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 t="str">
        <f>IFERROR(VLOOKUP(B467,'MASTER DATA'!$A$1:$E$212,4,FALSE),"")</f>
        <v/>
      </c>
      <c r="G467" s="17"/>
      <c r="H467" s="17"/>
      <c r="I467" s="17"/>
      <c r="J467" s="17" t="b">
        <v>0</v>
      </c>
    </row>
    <row r="468" hidden="1">
      <c r="A468" s="17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 t="str">
        <f>IFERROR(VLOOKUP(B468,'MASTER DATA'!$A$1:$E$212,4,FALSE),"")</f>
        <v/>
      </c>
      <c r="G468" s="17"/>
      <c r="H468" s="17"/>
      <c r="I468" s="17"/>
      <c r="J468" s="17" t="b">
        <v>0</v>
      </c>
    </row>
    <row r="469" hidden="1">
      <c r="A469" s="17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 t="str">
        <f>IFERROR(VLOOKUP(B469,'MASTER DATA'!$A$1:$E$212,4,FALSE),"")</f>
        <v/>
      </c>
      <c r="G469" s="17"/>
      <c r="H469" s="17"/>
      <c r="I469" s="17"/>
      <c r="J469" s="17" t="b">
        <v>0</v>
      </c>
    </row>
    <row r="470" hidden="1">
      <c r="A470" s="17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 t="str">
        <f>IFERROR(VLOOKUP(B470,'MASTER DATA'!$A$1:$E$212,4,FALSE),"")</f>
        <v/>
      </c>
      <c r="G470" s="17"/>
      <c r="H470" s="17"/>
      <c r="I470" s="17"/>
      <c r="J470" s="17" t="b">
        <v>0</v>
      </c>
    </row>
    <row r="471" hidden="1">
      <c r="A471" s="17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 t="str">
        <f>IFERROR(VLOOKUP(B471,'MASTER DATA'!$A$1:$E$212,4,FALSE),"")</f>
        <v/>
      </c>
      <c r="G471" s="17"/>
      <c r="H471" s="17"/>
      <c r="I471" s="17"/>
      <c r="J471" s="17" t="b">
        <v>0</v>
      </c>
    </row>
    <row r="472" hidden="1">
      <c r="A472" s="17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 t="str">
        <f>IFERROR(VLOOKUP(B472,'MASTER DATA'!$A$1:$E$212,4,FALSE),"")</f>
        <v/>
      </c>
      <c r="G472" s="17"/>
      <c r="H472" s="17"/>
      <c r="I472" s="17"/>
      <c r="J472" s="17" t="b">
        <v>0</v>
      </c>
    </row>
    <row r="473" hidden="1">
      <c r="A473" s="17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 t="str">
        <f>IFERROR(VLOOKUP(B473,'MASTER DATA'!$A$1:$E$212,4,FALSE),"")</f>
        <v/>
      </c>
      <c r="G473" s="17"/>
      <c r="H473" s="17"/>
      <c r="I473" s="17"/>
      <c r="J473" s="17" t="b">
        <v>0</v>
      </c>
    </row>
    <row r="474" hidden="1">
      <c r="A474" s="17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 t="str">
        <f>IFERROR(VLOOKUP(B474,'MASTER DATA'!$A$1:$E$212,4,FALSE),"")</f>
        <v/>
      </c>
      <c r="G474" s="17"/>
      <c r="H474" s="17"/>
      <c r="I474" s="17"/>
      <c r="J474" s="17" t="b">
        <v>0</v>
      </c>
    </row>
    <row r="475" hidden="1">
      <c r="A475" s="17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 t="str">
        <f>IFERROR(VLOOKUP(B475,'MASTER DATA'!$A$1:$E$212,4,FALSE),"")</f>
        <v/>
      </c>
      <c r="G475" s="17"/>
      <c r="H475" s="17"/>
      <c r="I475" s="17"/>
      <c r="J475" s="17" t="b">
        <v>0</v>
      </c>
    </row>
    <row r="476" hidden="1">
      <c r="A476" s="17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 t="str">
        <f>IFERROR(VLOOKUP(B476,'MASTER DATA'!$A$1:$E$212,4,FALSE),"")</f>
        <v/>
      </c>
      <c r="G476" s="17"/>
      <c r="H476" s="17"/>
      <c r="I476" s="17"/>
      <c r="J476" s="17" t="b">
        <v>0</v>
      </c>
    </row>
    <row r="477" hidden="1">
      <c r="A477" s="17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 t="str">
        <f>IFERROR(VLOOKUP(B477,'MASTER DATA'!$A$1:$E$212,4,FALSE),"")</f>
        <v/>
      </c>
      <c r="G477" s="17"/>
      <c r="H477" s="17"/>
      <c r="I477" s="17"/>
      <c r="J477" s="17" t="b">
        <v>0</v>
      </c>
    </row>
    <row r="478" hidden="1">
      <c r="A478" s="17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 t="str">
        <f>IFERROR(VLOOKUP(B478,'MASTER DATA'!$A$1:$E$212,4,FALSE),"")</f>
        <v/>
      </c>
      <c r="G478" s="17"/>
      <c r="H478" s="17"/>
      <c r="I478" s="17"/>
      <c r="J478" s="17" t="b">
        <v>0</v>
      </c>
    </row>
    <row r="479" hidden="1">
      <c r="A479" s="17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 t="str">
        <f>IFERROR(VLOOKUP(B479,'MASTER DATA'!$A$1:$E$212,4,FALSE),"")</f>
        <v/>
      </c>
      <c r="G479" s="17"/>
      <c r="H479" s="17"/>
      <c r="I479" s="17"/>
      <c r="J479" s="17" t="b">
        <v>0</v>
      </c>
    </row>
    <row r="480" hidden="1">
      <c r="A480" s="17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 t="str">
        <f>IFERROR(VLOOKUP(B480,'MASTER DATA'!$A$1:$E$212,4,FALSE),"")</f>
        <v/>
      </c>
      <c r="G480" s="17"/>
      <c r="H480" s="17"/>
      <c r="I480" s="17"/>
      <c r="J480" s="17" t="b">
        <v>0</v>
      </c>
    </row>
    <row r="481" hidden="1">
      <c r="A481" s="17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 t="str">
        <f>IFERROR(VLOOKUP(B481,'MASTER DATA'!$A$1:$E$212,4,FALSE),"")</f>
        <v/>
      </c>
      <c r="G481" s="17"/>
      <c r="H481" s="17"/>
      <c r="I481" s="17"/>
      <c r="J481" s="17" t="b">
        <v>0</v>
      </c>
    </row>
    <row r="482" hidden="1">
      <c r="A482" s="17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 t="str">
        <f>IFERROR(VLOOKUP(B482,'MASTER DATA'!$A$1:$E$212,4,FALSE),"")</f>
        <v/>
      </c>
      <c r="G482" s="17"/>
      <c r="H482" s="17"/>
      <c r="I482" s="17"/>
      <c r="J482" s="17" t="b">
        <v>0</v>
      </c>
    </row>
    <row r="483" hidden="1">
      <c r="A483" s="17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 t="str">
        <f>IFERROR(VLOOKUP(B483,'MASTER DATA'!$A$1:$E$212,4,FALSE),"")</f>
        <v/>
      </c>
      <c r="G483" s="17"/>
      <c r="H483" s="17"/>
      <c r="I483" s="17"/>
      <c r="J483" s="17" t="b">
        <v>0</v>
      </c>
    </row>
    <row r="484" hidden="1">
      <c r="A484" s="17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 t="str">
        <f>IFERROR(VLOOKUP(B484,'MASTER DATA'!$A$1:$E$212,4,FALSE),"")</f>
        <v/>
      </c>
      <c r="G484" s="17"/>
      <c r="H484" s="17"/>
      <c r="I484" s="17"/>
      <c r="J484" s="17" t="b">
        <v>0</v>
      </c>
    </row>
    <row r="485" hidden="1">
      <c r="A485" s="17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 t="str">
        <f>IFERROR(VLOOKUP(B485,'MASTER DATA'!$A$1:$E$212,4,FALSE),"")</f>
        <v/>
      </c>
      <c r="G485" s="17"/>
      <c r="H485" s="17"/>
      <c r="I485" s="17"/>
      <c r="J485" s="17" t="b">
        <v>0</v>
      </c>
    </row>
    <row r="486" hidden="1">
      <c r="A486" s="17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 t="str">
        <f>IFERROR(VLOOKUP(B486,'MASTER DATA'!$A$1:$E$212,4,FALSE),"")</f>
        <v/>
      </c>
      <c r="G486" s="17"/>
      <c r="H486" s="17"/>
      <c r="I486" s="17"/>
      <c r="J486" s="17" t="b">
        <v>0</v>
      </c>
    </row>
    <row r="487" hidden="1">
      <c r="A487" s="17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 t="str">
        <f>IFERROR(VLOOKUP(B487,'MASTER DATA'!$A$1:$E$212,4,FALSE),"")</f>
        <v/>
      </c>
      <c r="G487" s="17"/>
      <c r="H487" s="17"/>
      <c r="I487" s="17"/>
      <c r="J487" s="17" t="b">
        <v>0</v>
      </c>
    </row>
    <row r="488" hidden="1">
      <c r="A488" s="17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 t="str">
        <f>IFERROR(VLOOKUP(B488,'MASTER DATA'!$A$1:$E$212,4,FALSE),"")</f>
        <v/>
      </c>
      <c r="G488" s="17"/>
      <c r="H488" s="17"/>
      <c r="I488" s="17"/>
      <c r="J488" s="17" t="b">
        <v>0</v>
      </c>
    </row>
    <row r="489" hidden="1">
      <c r="A489" s="17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 t="str">
        <f>IFERROR(VLOOKUP(B489,'MASTER DATA'!$A$1:$E$212,4,FALSE),"")</f>
        <v/>
      </c>
      <c r="G489" s="17"/>
      <c r="H489" s="17"/>
      <c r="I489" s="17"/>
      <c r="J489" s="17" t="b">
        <v>0</v>
      </c>
    </row>
    <row r="490" hidden="1">
      <c r="A490" s="17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 t="str">
        <f>IFERROR(VLOOKUP(B490,'MASTER DATA'!$A$1:$E$212,4,FALSE),"")</f>
        <v/>
      </c>
      <c r="G490" s="17"/>
      <c r="H490" s="17"/>
      <c r="I490" s="17"/>
      <c r="J490" s="17" t="b">
        <v>0</v>
      </c>
    </row>
    <row r="491" hidden="1">
      <c r="A491" s="17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 t="str">
        <f>IFERROR(VLOOKUP(B491,'MASTER DATA'!$A$1:$E$212,4,FALSE),"")</f>
        <v/>
      </c>
      <c r="G491" s="17"/>
      <c r="H491" s="17"/>
      <c r="I491" s="17"/>
      <c r="J491" s="17" t="b">
        <v>0</v>
      </c>
    </row>
    <row r="492" hidden="1">
      <c r="A492" s="17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 t="str">
        <f>IFERROR(VLOOKUP(B492,'MASTER DATA'!$A$1:$E$212,4,FALSE),"")</f>
        <v/>
      </c>
      <c r="G492" s="17"/>
      <c r="H492" s="17"/>
      <c r="I492" s="17"/>
      <c r="J492" s="17" t="b">
        <v>0</v>
      </c>
    </row>
    <row r="493" hidden="1">
      <c r="A493" s="17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 t="str">
        <f>IFERROR(VLOOKUP(B493,'MASTER DATA'!$A$1:$E$212,4,FALSE),"")</f>
        <v/>
      </c>
      <c r="G493" s="17"/>
      <c r="H493" s="17"/>
      <c r="I493" s="17"/>
      <c r="J493" s="17" t="b">
        <v>0</v>
      </c>
    </row>
    <row r="494" hidden="1">
      <c r="A494" s="17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 t="str">
        <f>IFERROR(VLOOKUP(B494,'MASTER DATA'!$A$1:$E$212,4,FALSE),"")</f>
        <v/>
      </c>
      <c r="G494" s="17"/>
      <c r="H494" s="17"/>
      <c r="I494" s="17"/>
      <c r="J494" s="17" t="b">
        <v>0</v>
      </c>
    </row>
    <row r="495" hidden="1">
      <c r="A495" s="17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 t="str">
        <f>IFERROR(VLOOKUP(B495,'MASTER DATA'!$A$1:$E$212,4,FALSE),"")</f>
        <v/>
      </c>
      <c r="G495" s="17"/>
      <c r="H495" s="17"/>
      <c r="I495" s="17"/>
      <c r="J495" s="17" t="b">
        <v>0</v>
      </c>
    </row>
    <row r="496" hidden="1">
      <c r="A496" s="17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 t="str">
        <f>IFERROR(VLOOKUP(B496,'MASTER DATA'!$A$1:$E$212,4,FALSE),"")</f>
        <v/>
      </c>
      <c r="G496" s="17"/>
      <c r="H496" s="17"/>
      <c r="I496" s="17"/>
      <c r="J496" s="17" t="b">
        <v>0</v>
      </c>
    </row>
    <row r="497" hidden="1">
      <c r="A497" s="17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 t="str">
        <f>IFERROR(VLOOKUP(B497,'MASTER DATA'!$A$1:$E$212,4,FALSE),"")</f>
        <v/>
      </c>
      <c r="G497" s="17"/>
      <c r="H497" s="17"/>
      <c r="I497" s="17"/>
      <c r="J497" s="17" t="b">
        <v>0</v>
      </c>
    </row>
    <row r="498" hidden="1">
      <c r="A498" s="17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 t="str">
        <f>IFERROR(VLOOKUP(B498,'MASTER DATA'!$A$1:$E$212,4,FALSE),"")</f>
        <v/>
      </c>
      <c r="G498" s="17"/>
      <c r="H498" s="17"/>
      <c r="I498" s="17"/>
      <c r="J498" s="17" t="b">
        <v>0</v>
      </c>
    </row>
    <row r="499" hidden="1">
      <c r="A499" s="17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 t="str">
        <f>IFERROR(VLOOKUP(B499,'MASTER DATA'!$A$1:$E$212,4,FALSE),"")</f>
        <v/>
      </c>
      <c r="G499" s="17"/>
      <c r="H499" s="17"/>
      <c r="I499" s="17"/>
      <c r="J499" s="17" t="b">
        <v>0</v>
      </c>
    </row>
    <row r="500" hidden="1">
      <c r="A500" s="17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 t="str">
        <f>IFERROR(VLOOKUP(B500,'MASTER DATA'!$A$1:$E$212,4,FALSE),"")</f>
        <v/>
      </c>
      <c r="G500" s="17"/>
      <c r="H500" s="17"/>
      <c r="I500" s="17"/>
      <c r="J500" s="17" t="b">
        <v>0</v>
      </c>
    </row>
    <row r="501" hidden="1">
      <c r="A501" s="17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 t="str">
        <f>IFERROR(VLOOKUP(B501,'MASTER DATA'!$A$1:$E$212,4,FALSE),"")</f>
        <v/>
      </c>
      <c r="G501" s="17"/>
      <c r="H501" s="17"/>
      <c r="I501" s="17"/>
      <c r="J501" s="17" t="b">
        <v>0</v>
      </c>
    </row>
    <row r="502" hidden="1">
      <c r="A502" s="17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 t="str">
        <f>IFERROR(VLOOKUP(B502,'MASTER DATA'!$A$1:$E$212,4,FALSE),"")</f>
        <v/>
      </c>
      <c r="G502" s="17"/>
      <c r="H502" s="17"/>
      <c r="I502" s="17"/>
      <c r="J502" s="17" t="b">
        <v>0</v>
      </c>
    </row>
    <row r="503" hidden="1">
      <c r="A503" s="17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 t="str">
        <f>IFERROR(VLOOKUP(B503,'MASTER DATA'!$A$1:$E$212,4,FALSE),"")</f>
        <v/>
      </c>
      <c r="G503" s="17"/>
      <c r="H503" s="17"/>
      <c r="I503" s="17"/>
      <c r="J503" s="17" t="b">
        <v>0</v>
      </c>
    </row>
    <row r="504" hidden="1">
      <c r="A504" s="17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 t="str">
        <f>IFERROR(VLOOKUP(B504,'MASTER DATA'!$A$1:$E$212,4,FALSE),"")</f>
        <v/>
      </c>
      <c r="G504" s="17"/>
      <c r="H504" s="17"/>
      <c r="I504" s="17"/>
      <c r="J504" s="17" t="b">
        <v>0</v>
      </c>
    </row>
    <row r="505" hidden="1">
      <c r="A505" s="17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 t="str">
        <f>IFERROR(VLOOKUP(B505,'MASTER DATA'!$A$1:$E$212,4,FALSE),"")</f>
        <v/>
      </c>
      <c r="G505" s="17"/>
      <c r="H505" s="17"/>
      <c r="I505" s="17"/>
      <c r="J505" s="17" t="b">
        <v>0</v>
      </c>
    </row>
    <row r="506" hidden="1">
      <c r="A506" s="17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 t="str">
        <f>IFERROR(VLOOKUP(B506,'MASTER DATA'!$A$1:$E$212,4,FALSE),"")</f>
        <v/>
      </c>
      <c r="G506" s="17"/>
      <c r="H506" s="17"/>
      <c r="I506" s="17"/>
      <c r="J506" s="17" t="b">
        <v>0</v>
      </c>
    </row>
    <row r="507" hidden="1">
      <c r="A507" s="17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 t="str">
        <f>IFERROR(VLOOKUP(B507,'MASTER DATA'!$A$1:$E$212,4,FALSE),"")</f>
        <v/>
      </c>
      <c r="G507" s="17"/>
      <c r="H507" s="17"/>
      <c r="I507" s="17"/>
      <c r="J507" s="17" t="b">
        <v>0</v>
      </c>
    </row>
    <row r="508" hidden="1">
      <c r="A508" s="17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 t="str">
        <f>IFERROR(VLOOKUP(B508,'MASTER DATA'!$A$1:$E$212,4,FALSE),"")</f>
        <v/>
      </c>
      <c r="G508" s="17"/>
      <c r="H508" s="17"/>
      <c r="I508" s="17"/>
      <c r="J508" s="17" t="b">
        <v>0</v>
      </c>
    </row>
    <row r="509" hidden="1">
      <c r="A509" s="17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 t="str">
        <f>IFERROR(VLOOKUP(B509,'MASTER DATA'!$A$1:$E$212,4,FALSE),"")</f>
        <v/>
      </c>
      <c r="G509" s="17"/>
      <c r="H509" s="17"/>
      <c r="I509" s="17"/>
      <c r="J509" s="17" t="b">
        <v>0</v>
      </c>
    </row>
    <row r="510" hidden="1">
      <c r="A510" s="17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 t="str">
        <f>IFERROR(VLOOKUP(B510,'MASTER DATA'!$A$1:$E$212,4,FALSE),"")</f>
        <v/>
      </c>
      <c r="G510" s="17"/>
      <c r="H510" s="17"/>
      <c r="I510" s="17"/>
      <c r="J510" s="17" t="b">
        <v>0</v>
      </c>
    </row>
    <row r="511" hidden="1">
      <c r="A511" s="17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 t="str">
        <f>IFERROR(VLOOKUP(B511,'MASTER DATA'!$A$1:$E$212,4,FALSE),"")</f>
        <v/>
      </c>
      <c r="G511" s="17"/>
      <c r="H511" s="17"/>
      <c r="I511" s="17"/>
      <c r="J511" s="17" t="b">
        <v>0</v>
      </c>
    </row>
    <row r="512" hidden="1">
      <c r="A512" s="17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 t="str">
        <f>IFERROR(VLOOKUP(B512,'MASTER DATA'!$A$1:$E$212,4,FALSE),"")</f>
        <v/>
      </c>
      <c r="G512" s="17"/>
      <c r="H512" s="17"/>
      <c r="I512" s="17"/>
      <c r="J512" s="17" t="b">
        <v>0</v>
      </c>
    </row>
    <row r="513" hidden="1">
      <c r="A513" s="17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 t="str">
        <f>IFERROR(VLOOKUP(B513,'MASTER DATA'!$A$1:$E$212,4,FALSE),"")</f>
        <v/>
      </c>
      <c r="G513" s="17"/>
      <c r="H513" s="17"/>
      <c r="I513" s="17"/>
      <c r="J513" s="17" t="b">
        <v>0</v>
      </c>
    </row>
    <row r="514" hidden="1">
      <c r="A514" s="17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 t="str">
        <f>IFERROR(VLOOKUP(B514,'MASTER DATA'!$A$1:$E$212,4,FALSE),"")</f>
        <v/>
      </c>
      <c r="G514" s="17"/>
      <c r="H514" s="17"/>
      <c r="I514" s="17"/>
      <c r="J514" s="17" t="b">
        <v>0</v>
      </c>
    </row>
    <row r="515" hidden="1">
      <c r="A515" s="17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 t="str">
        <f>IFERROR(VLOOKUP(B515,'MASTER DATA'!$A$1:$E$212,4,FALSE),"")</f>
        <v/>
      </c>
      <c r="G515" s="17"/>
      <c r="H515" s="17"/>
      <c r="I515" s="17"/>
      <c r="J515" s="17" t="b">
        <v>0</v>
      </c>
    </row>
    <row r="516" hidden="1">
      <c r="A516" s="17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 t="str">
        <f>IFERROR(VLOOKUP(B516,'MASTER DATA'!$A$1:$E$212,4,FALSE),"")</f>
        <v/>
      </c>
      <c r="G516" s="17"/>
      <c r="H516" s="17"/>
      <c r="I516" s="17"/>
      <c r="J516" s="17" t="b">
        <v>0</v>
      </c>
    </row>
    <row r="517" hidden="1">
      <c r="A517" s="17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 t="str">
        <f>IFERROR(VLOOKUP(B517,'MASTER DATA'!$A$1:$E$212,4,FALSE),"")</f>
        <v/>
      </c>
      <c r="G517" s="17"/>
      <c r="H517" s="17"/>
      <c r="I517" s="17"/>
      <c r="J517" s="17" t="b">
        <v>0</v>
      </c>
    </row>
    <row r="518" hidden="1">
      <c r="A518" s="17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 t="str">
        <f>IFERROR(VLOOKUP(B518,'MASTER DATA'!$A$1:$E$212,4,FALSE),"")</f>
        <v/>
      </c>
      <c r="G518" s="17"/>
      <c r="H518" s="17"/>
      <c r="I518" s="17"/>
      <c r="J518" s="17" t="b">
        <v>0</v>
      </c>
    </row>
    <row r="519" hidden="1">
      <c r="A519" s="17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 t="str">
        <f>IFERROR(VLOOKUP(B519,'MASTER DATA'!$A$1:$E$212,4,FALSE),"")</f>
        <v/>
      </c>
      <c r="G519" s="17"/>
      <c r="H519" s="17"/>
      <c r="I519" s="17"/>
      <c r="J519" s="17" t="b">
        <v>0</v>
      </c>
    </row>
    <row r="520" hidden="1">
      <c r="A520" s="17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 t="str">
        <f>IFERROR(VLOOKUP(B520,'MASTER DATA'!$A$1:$E$212,4,FALSE),"")</f>
        <v/>
      </c>
      <c r="G520" s="17"/>
      <c r="H520" s="17"/>
      <c r="I520" s="17"/>
      <c r="J520" s="17" t="b">
        <v>0</v>
      </c>
    </row>
    <row r="521" hidden="1">
      <c r="A521" s="17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 t="str">
        <f>IFERROR(VLOOKUP(B521,'MASTER DATA'!$A$1:$E$212,4,FALSE),"")</f>
        <v/>
      </c>
      <c r="G521" s="17"/>
      <c r="H521" s="17"/>
      <c r="I521" s="17"/>
      <c r="J521" s="17" t="b">
        <v>0</v>
      </c>
    </row>
    <row r="522" hidden="1">
      <c r="A522" s="17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 t="str">
        <f>IFERROR(VLOOKUP(B522,'MASTER DATA'!$A$1:$E$212,4,FALSE),"")</f>
        <v/>
      </c>
      <c r="G522" s="17"/>
      <c r="H522" s="17"/>
      <c r="I522" s="17"/>
      <c r="J522" s="17" t="b">
        <v>0</v>
      </c>
    </row>
    <row r="523" hidden="1">
      <c r="A523" s="17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 t="str">
        <f>IFERROR(VLOOKUP(B523,'MASTER DATA'!$A$1:$E$212,4,FALSE),"")</f>
        <v/>
      </c>
      <c r="G523" s="17"/>
      <c r="H523" s="17"/>
      <c r="I523" s="17"/>
      <c r="J523" s="17" t="b">
        <v>0</v>
      </c>
    </row>
    <row r="524" hidden="1">
      <c r="A524" s="17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 t="str">
        <f>IFERROR(VLOOKUP(B524,'MASTER DATA'!$A$1:$E$212,4,FALSE),"")</f>
        <v/>
      </c>
      <c r="G524" s="17"/>
      <c r="H524" s="17"/>
      <c r="I524" s="17"/>
      <c r="J524" s="17" t="b">
        <v>0</v>
      </c>
    </row>
    <row r="525" hidden="1">
      <c r="A525" s="17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 t="str">
        <f>IFERROR(VLOOKUP(B525,'MASTER DATA'!$A$1:$E$212,4,FALSE),"")</f>
        <v/>
      </c>
      <c r="G525" s="17"/>
      <c r="H525" s="17"/>
      <c r="I525" s="17"/>
      <c r="J525" s="17" t="b">
        <v>0</v>
      </c>
    </row>
    <row r="526" hidden="1">
      <c r="A526" s="17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 t="str">
        <f>IFERROR(VLOOKUP(B526,'MASTER DATA'!$A$1:$E$212,4,FALSE),"")</f>
        <v/>
      </c>
      <c r="G526" s="17"/>
      <c r="H526" s="17"/>
      <c r="I526" s="17"/>
      <c r="J526" s="17" t="b">
        <v>0</v>
      </c>
    </row>
    <row r="527" hidden="1">
      <c r="A527" s="17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 t="str">
        <f>IFERROR(VLOOKUP(B527,'MASTER DATA'!$A$1:$E$212,4,FALSE),"")</f>
        <v/>
      </c>
      <c r="G527" s="17"/>
      <c r="H527" s="17"/>
      <c r="I527" s="17"/>
      <c r="J527" s="17" t="b">
        <v>0</v>
      </c>
    </row>
    <row r="528" hidden="1">
      <c r="A528" s="17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 t="str">
        <f>IFERROR(VLOOKUP(B528,'MASTER DATA'!$A$1:$E$212,4,FALSE),"")</f>
        <v/>
      </c>
      <c r="G528" s="17"/>
      <c r="H528" s="17"/>
      <c r="I528" s="17"/>
      <c r="J528" s="17" t="b">
        <v>0</v>
      </c>
    </row>
    <row r="529" hidden="1">
      <c r="A529" s="17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 t="str">
        <f>IFERROR(VLOOKUP(B529,'MASTER DATA'!$A$1:$E$212,4,FALSE),"")</f>
        <v/>
      </c>
      <c r="G529" s="17"/>
      <c r="H529" s="17"/>
      <c r="I529" s="17"/>
      <c r="J529" s="17" t="b">
        <v>0</v>
      </c>
    </row>
    <row r="530" hidden="1">
      <c r="A530" s="17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 t="str">
        <f>IFERROR(VLOOKUP(B530,'MASTER DATA'!$A$1:$E$212,4,FALSE),"")</f>
        <v/>
      </c>
      <c r="G530" s="17"/>
      <c r="H530" s="17"/>
      <c r="I530" s="17"/>
      <c r="J530" s="17" t="b">
        <v>0</v>
      </c>
    </row>
    <row r="531" hidden="1">
      <c r="A531" s="17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 t="str">
        <f>IFERROR(VLOOKUP(B531,'MASTER DATA'!$A$1:$E$212,4,FALSE),"")</f>
        <v/>
      </c>
      <c r="G531" s="17"/>
      <c r="H531" s="17"/>
      <c r="I531" s="17"/>
      <c r="J531" s="17" t="b">
        <v>0</v>
      </c>
    </row>
    <row r="532" hidden="1">
      <c r="A532" s="17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 t="str">
        <f>IFERROR(VLOOKUP(B532,'MASTER DATA'!$A$1:$E$212,4,FALSE),"")</f>
        <v/>
      </c>
      <c r="G532" s="17"/>
      <c r="H532" s="17"/>
      <c r="I532" s="17"/>
      <c r="J532" s="17" t="b">
        <v>0</v>
      </c>
    </row>
    <row r="533" hidden="1">
      <c r="A533" s="17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 t="str">
        <f>IFERROR(VLOOKUP(B533,'MASTER DATA'!$A$1:$E$212,4,FALSE),"")</f>
        <v/>
      </c>
      <c r="G533" s="17"/>
      <c r="H533" s="17"/>
      <c r="I533" s="17"/>
      <c r="J533" s="17" t="b">
        <v>0</v>
      </c>
    </row>
    <row r="534" hidden="1">
      <c r="A534" s="17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 t="str">
        <f>IFERROR(VLOOKUP(B534,'MASTER DATA'!$A$1:$E$212,4,FALSE),"")</f>
        <v/>
      </c>
      <c r="G534" s="17"/>
      <c r="H534" s="17"/>
      <c r="I534" s="17"/>
      <c r="J534" s="17" t="b">
        <v>0</v>
      </c>
    </row>
    <row r="535" hidden="1">
      <c r="A535" s="17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 t="str">
        <f>IFERROR(VLOOKUP(B535,'MASTER DATA'!$A$1:$E$212,4,FALSE),"")</f>
        <v/>
      </c>
      <c r="G535" s="17"/>
      <c r="H535" s="17"/>
      <c r="I535" s="17"/>
      <c r="J535" s="17" t="b">
        <v>0</v>
      </c>
    </row>
    <row r="536" hidden="1">
      <c r="A536" s="17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 t="str">
        <f>IFERROR(VLOOKUP(B536,'MASTER DATA'!$A$1:$E$212,4,FALSE),"")</f>
        <v/>
      </c>
      <c r="G536" s="17"/>
      <c r="H536" s="17"/>
      <c r="I536" s="17"/>
      <c r="J536" s="17" t="b">
        <v>0</v>
      </c>
    </row>
    <row r="537" hidden="1">
      <c r="A537" s="17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 t="str">
        <f>IFERROR(VLOOKUP(B537,'MASTER DATA'!$A$1:$E$212,4,FALSE),"")</f>
        <v/>
      </c>
      <c r="G537" s="17"/>
      <c r="H537" s="17"/>
      <c r="I537" s="17"/>
      <c r="J537" s="17" t="b">
        <v>0</v>
      </c>
    </row>
    <row r="538" hidden="1">
      <c r="A538" s="17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 t="str">
        <f>IFERROR(VLOOKUP(B538,'MASTER DATA'!$A$1:$E$212,4,FALSE),"")</f>
        <v/>
      </c>
      <c r="G538" s="17"/>
      <c r="H538" s="17"/>
      <c r="I538" s="17"/>
      <c r="J538" s="17" t="b">
        <v>0</v>
      </c>
    </row>
    <row r="539" hidden="1">
      <c r="A539" s="17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 t="str">
        <f>IFERROR(VLOOKUP(B539,'MASTER DATA'!$A$1:$E$212,4,FALSE),"")</f>
        <v/>
      </c>
      <c r="G539" s="17"/>
      <c r="H539" s="17"/>
      <c r="I539" s="17"/>
      <c r="J539" s="17" t="b">
        <v>0</v>
      </c>
    </row>
    <row r="540" hidden="1">
      <c r="A540" s="17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 t="str">
        <f>IFERROR(VLOOKUP(B540,'MASTER DATA'!$A$1:$E$212,4,FALSE),"")</f>
        <v/>
      </c>
      <c r="G540" s="17"/>
      <c r="H540" s="17"/>
      <c r="I540" s="17"/>
      <c r="J540" s="17" t="b">
        <v>0</v>
      </c>
    </row>
    <row r="541" hidden="1">
      <c r="A541" s="17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 t="str">
        <f>IFERROR(VLOOKUP(B541,'MASTER DATA'!$A$1:$E$212,4,FALSE),"")</f>
        <v/>
      </c>
      <c r="G541" s="17"/>
      <c r="H541" s="17"/>
      <c r="I541" s="17"/>
      <c r="J541" s="17" t="b">
        <v>0</v>
      </c>
    </row>
    <row r="542" hidden="1">
      <c r="A542" s="17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 t="str">
        <f>IFERROR(VLOOKUP(B542,'MASTER DATA'!$A$1:$E$212,4,FALSE),"")</f>
        <v/>
      </c>
      <c r="G542" s="17"/>
      <c r="H542" s="17"/>
      <c r="I542" s="17"/>
      <c r="J542" s="17" t="b">
        <v>0</v>
      </c>
    </row>
    <row r="543" hidden="1">
      <c r="A543" s="17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 t="str">
        <f>IFERROR(VLOOKUP(B543,'MASTER DATA'!$A$1:$E$212,4,FALSE),"")</f>
        <v/>
      </c>
      <c r="G543" s="17"/>
      <c r="H543" s="17"/>
      <c r="I543" s="17"/>
      <c r="J543" s="17" t="b">
        <v>0</v>
      </c>
    </row>
    <row r="544" hidden="1">
      <c r="A544" s="17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 t="str">
        <f>IFERROR(VLOOKUP(B544,'MASTER DATA'!$A$1:$E$212,4,FALSE),"")</f>
        <v/>
      </c>
      <c r="G544" s="17"/>
      <c r="H544" s="17"/>
      <c r="I544" s="17"/>
      <c r="J544" s="17" t="b">
        <v>0</v>
      </c>
    </row>
    <row r="545" hidden="1">
      <c r="A545" s="17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 t="str">
        <f>IFERROR(VLOOKUP(B545,'MASTER DATA'!$A$1:$E$212,4,FALSE),"")</f>
        <v/>
      </c>
      <c r="G545" s="17"/>
      <c r="H545" s="17"/>
      <c r="I545" s="17"/>
      <c r="J545" s="17" t="b">
        <v>0</v>
      </c>
    </row>
    <row r="546" hidden="1">
      <c r="A546" s="17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 t="str">
        <f>IFERROR(VLOOKUP(B546,'MASTER DATA'!$A$1:$E$212,4,FALSE),"")</f>
        <v/>
      </c>
      <c r="G546" s="17"/>
      <c r="H546" s="17"/>
      <c r="I546" s="17"/>
      <c r="J546" s="17" t="b">
        <v>0</v>
      </c>
    </row>
    <row r="547" hidden="1">
      <c r="A547" s="17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 t="str">
        <f>IFERROR(VLOOKUP(B547,'MASTER DATA'!$A$1:$E$212,4,FALSE),"")</f>
        <v/>
      </c>
      <c r="G547" s="17"/>
      <c r="H547" s="17"/>
      <c r="I547" s="17"/>
      <c r="J547" s="17" t="b">
        <v>0</v>
      </c>
    </row>
    <row r="548" hidden="1">
      <c r="A548" s="17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 t="str">
        <f>IFERROR(VLOOKUP(B548,'MASTER DATA'!$A$1:$E$212,4,FALSE),"")</f>
        <v/>
      </c>
      <c r="G548" s="17"/>
      <c r="H548" s="17"/>
      <c r="I548" s="17"/>
      <c r="J548" s="17" t="b">
        <v>0</v>
      </c>
    </row>
    <row r="549" hidden="1">
      <c r="A549" s="17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 t="str">
        <f>IFERROR(VLOOKUP(B549,'MASTER DATA'!$A$1:$E$212,4,FALSE),"")</f>
        <v/>
      </c>
      <c r="G549" s="17"/>
      <c r="H549" s="17"/>
      <c r="I549" s="17"/>
      <c r="J549" s="17" t="b">
        <v>0</v>
      </c>
    </row>
    <row r="550" hidden="1">
      <c r="A550" s="17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 t="str">
        <f>IFERROR(VLOOKUP(B550,'MASTER DATA'!$A$1:$E$212,4,FALSE),"")</f>
        <v/>
      </c>
      <c r="G550" s="17"/>
      <c r="H550" s="17"/>
      <c r="I550" s="17"/>
      <c r="J550" s="17" t="b">
        <v>0</v>
      </c>
    </row>
    <row r="551" hidden="1">
      <c r="A551" s="17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 t="str">
        <f>IFERROR(VLOOKUP(B551,'MASTER DATA'!$A$1:$E$212,4,FALSE),"")</f>
        <v/>
      </c>
      <c r="G551" s="17"/>
      <c r="H551" s="17"/>
      <c r="I551" s="17"/>
      <c r="J551" s="17" t="b">
        <v>0</v>
      </c>
    </row>
    <row r="552" hidden="1">
      <c r="A552" s="17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 t="str">
        <f>IFERROR(VLOOKUP(B552,'MASTER DATA'!$A$1:$E$212,4,FALSE),"")</f>
        <v/>
      </c>
      <c r="G552" s="17"/>
      <c r="H552" s="17"/>
      <c r="I552" s="17"/>
      <c r="J552" s="17" t="b">
        <v>0</v>
      </c>
    </row>
    <row r="553" hidden="1">
      <c r="A553" s="17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 t="str">
        <f>IFERROR(VLOOKUP(B553,'MASTER DATA'!$A$1:$E$212,4,FALSE),"")</f>
        <v/>
      </c>
      <c r="G553" s="17"/>
      <c r="H553" s="17"/>
      <c r="I553" s="17"/>
      <c r="J553" s="17" t="b">
        <v>0</v>
      </c>
    </row>
    <row r="554" hidden="1">
      <c r="A554" s="17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 t="str">
        <f>IFERROR(VLOOKUP(B554,'MASTER DATA'!$A$1:$E$212,4,FALSE),"")</f>
        <v/>
      </c>
      <c r="G554" s="17"/>
      <c r="H554" s="17"/>
      <c r="I554" s="17"/>
      <c r="J554" s="17" t="b">
        <v>0</v>
      </c>
    </row>
    <row r="555" hidden="1">
      <c r="A555" s="17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 t="str">
        <f>IFERROR(VLOOKUP(B555,'MASTER DATA'!$A$1:$E$212,4,FALSE),"")</f>
        <v/>
      </c>
      <c r="G555" s="17"/>
      <c r="H555" s="17"/>
      <c r="I555" s="17"/>
      <c r="J555" s="17" t="b">
        <v>0</v>
      </c>
    </row>
    <row r="556" hidden="1">
      <c r="A556" s="17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 t="str">
        <f>IFERROR(VLOOKUP(B556,'MASTER DATA'!$A$1:$E$212,4,FALSE),"")</f>
        <v/>
      </c>
      <c r="G556" s="17"/>
      <c r="H556" s="17"/>
      <c r="I556" s="17"/>
      <c r="J556" s="17" t="b">
        <v>0</v>
      </c>
    </row>
    <row r="557" hidden="1">
      <c r="A557" s="17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 t="str">
        <f>IFERROR(VLOOKUP(B557,'MASTER DATA'!$A$1:$E$212,4,FALSE),"")</f>
        <v/>
      </c>
      <c r="G557" s="17"/>
      <c r="H557" s="17"/>
      <c r="I557" s="17"/>
      <c r="J557" s="17" t="b">
        <v>0</v>
      </c>
    </row>
    <row r="558" hidden="1">
      <c r="A558" s="17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 t="str">
        <f>IFERROR(VLOOKUP(B558,'MASTER DATA'!$A$1:$E$212,4,FALSE),"")</f>
        <v/>
      </c>
      <c r="G558" s="17"/>
      <c r="H558" s="17"/>
      <c r="I558" s="17"/>
      <c r="J558" s="17" t="b">
        <v>0</v>
      </c>
    </row>
    <row r="559" hidden="1">
      <c r="A559" s="17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 t="str">
        <f>IFERROR(VLOOKUP(B559,'MASTER DATA'!$A$1:$E$212,4,FALSE),"")</f>
        <v/>
      </c>
      <c r="G559" s="17"/>
      <c r="H559" s="17"/>
      <c r="I559" s="17"/>
      <c r="J559" s="17" t="b">
        <v>0</v>
      </c>
    </row>
    <row r="560" hidden="1">
      <c r="A560" s="17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 t="str">
        <f>IFERROR(VLOOKUP(B560,'MASTER DATA'!$A$1:$E$212,4,FALSE),"")</f>
        <v/>
      </c>
      <c r="G560" s="17"/>
      <c r="H560" s="17"/>
      <c r="I560" s="17"/>
      <c r="J560" s="17" t="b">
        <v>0</v>
      </c>
    </row>
    <row r="561" hidden="1">
      <c r="A561" s="17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 t="str">
        <f>IFERROR(VLOOKUP(B561,'MASTER DATA'!$A$1:$E$212,4,FALSE),"")</f>
        <v/>
      </c>
      <c r="G561" s="17"/>
      <c r="H561" s="17"/>
      <c r="I561" s="17"/>
      <c r="J561" s="17" t="b">
        <v>0</v>
      </c>
    </row>
    <row r="562" hidden="1">
      <c r="A562" s="17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 t="str">
        <f>IFERROR(VLOOKUP(B562,'MASTER DATA'!$A$1:$E$212,4,FALSE),"")</f>
        <v/>
      </c>
      <c r="G562" s="17"/>
      <c r="H562" s="17"/>
      <c r="I562" s="17"/>
      <c r="J562" s="17" t="b">
        <v>0</v>
      </c>
    </row>
    <row r="563" hidden="1">
      <c r="A563" s="17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 t="str">
        <f>IFERROR(VLOOKUP(B563,'MASTER DATA'!$A$1:$E$212,4,FALSE),"")</f>
        <v/>
      </c>
      <c r="G563" s="17"/>
      <c r="H563" s="17"/>
      <c r="I563" s="17"/>
      <c r="J563" s="17" t="b">
        <v>0</v>
      </c>
    </row>
    <row r="564" hidden="1">
      <c r="A564" s="17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 t="str">
        <f>IFERROR(VLOOKUP(B564,'MASTER DATA'!$A$1:$E$212,4,FALSE),"")</f>
        <v/>
      </c>
      <c r="G564" s="17"/>
      <c r="H564" s="17"/>
      <c r="I564" s="17"/>
      <c r="J564" s="17" t="b">
        <v>0</v>
      </c>
    </row>
    <row r="565" hidden="1">
      <c r="A565" s="17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 t="str">
        <f>IFERROR(VLOOKUP(B565,'MASTER DATA'!$A$1:$E$212,4,FALSE),"")</f>
        <v/>
      </c>
      <c r="G565" s="17"/>
      <c r="H565" s="17"/>
      <c r="I565" s="17"/>
      <c r="J565" s="17" t="b">
        <v>0</v>
      </c>
    </row>
    <row r="566" hidden="1">
      <c r="A566" s="17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 t="str">
        <f>IFERROR(VLOOKUP(B566,'MASTER DATA'!$A$1:$E$212,4,FALSE),"")</f>
        <v/>
      </c>
      <c r="G566" s="17"/>
      <c r="H566" s="17"/>
      <c r="I566" s="17"/>
      <c r="J566" s="17" t="b">
        <v>0</v>
      </c>
    </row>
    <row r="567" hidden="1">
      <c r="A567" s="17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 t="str">
        <f>IFERROR(VLOOKUP(B567,'MASTER DATA'!$A$1:$E$212,4,FALSE),"")</f>
        <v/>
      </c>
      <c r="G567" s="17"/>
      <c r="H567" s="17"/>
      <c r="I567" s="17"/>
      <c r="J567" s="17" t="b">
        <v>0</v>
      </c>
    </row>
    <row r="568" hidden="1">
      <c r="A568" s="17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 t="str">
        <f>IFERROR(VLOOKUP(B568,'MASTER DATA'!$A$1:$E$212,4,FALSE),"")</f>
        <v/>
      </c>
      <c r="G568" s="17"/>
      <c r="H568" s="17"/>
      <c r="I568" s="17"/>
      <c r="J568" s="17" t="b">
        <v>0</v>
      </c>
    </row>
    <row r="569" hidden="1">
      <c r="A569" s="17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 t="str">
        <f>IFERROR(VLOOKUP(B569,'MASTER DATA'!$A$1:$E$212,4,FALSE),"")</f>
        <v/>
      </c>
      <c r="G569" s="17"/>
      <c r="H569" s="17"/>
      <c r="I569" s="17"/>
      <c r="J569" s="17" t="b">
        <v>0</v>
      </c>
    </row>
    <row r="570" hidden="1">
      <c r="A570" s="17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 t="str">
        <f>IFERROR(VLOOKUP(B570,'MASTER DATA'!$A$1:$E$212,4,FALSE),"")</f>
        <v/>
      </c>
      <c r="G570" s="17"/>
      <c r="H570" s="17"/>
      <c r="I570" s="17"/>
      <c r="J570" s="17" t="b">
        <v>0</v>
      </c>
    </row>
    <row r="571" hidden="1">
      <c r="A571" s="17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 t="str">
        <f>IFERROR(VLOOKUP(B571,'MASTER DATA'!$A$1:$E$212,4,FALSE),"")</f>
        <v/>
      </c>
      <c r="G571" s="17"/>
      <c r="H571" s="17"/>
      <c r="I571" s="17"/>
      <c r="J571" s="17" t="b">
        <v>0</v>
      </c>
    </row>
    <row r="572" hidden="1">
      <c r="A572" s="17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 t="str">
        <f>IFERROR(VLOOKUP(B572,'MASTER DATA'!$A$1:$E$212,4,FALSE),"")</f>
        <v/>
      </c>
      <c r="G572" s="17"/>
      <c r="H572" s="17"/>
      <c r="I572" s="17"/>
      <c r="J572" s="17" t="b">
        <v>0</v>
      </c>
    </row>
    <row r="573" hidden="1">
      <c r="A573" s="17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 t="str">
        <f>IFERROR(VLOOKUP(B573,'MASTER DATA'!$A$1:$E$212,4,FALSE),"")</f>
        <v/>
      </c>
      <c r="G573" s="17"/>
      <c r="H573" s="17"/>
      <c r="I573" s="17"/>
      <c r="J573" s="17" t="b">
        <v>0</v>
      </c>
    </row>
    <row r="574" hidden="1">
      <c r="A574" s="17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 t="str">
        <f>IFERROR(VLOOKUP(B574,'MASTER DATA'!$A$1:$E$212,4,FALSE),"")</f>
        <v/>
      </c>
      <c r="G574" s="17"/>
      <c r="H574" s="17"/>
      <c r="I574" s="17"/>
      <c r="J574" s="17" t="b">
        <v>0</v>
      </c>
    </row>
    <row r="575" hidden="1">
      <c r="A575" s="17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 t="str">
        <f>IFERROR(VLOOKUP(B575,'MASTER DATA'!$A$1:$E$212,4,FALSE),"")</f>
        <v/>
      </c>
      <c r="G575" s="17"/>
      <c r="H575" s="17"/>
      <c r="I575" s="17"/>
      <c r="J575" s="17" t="b">
        <v>0</v>
      </c>
    </row>
    <row r="576" hidden="1">
      <c r="A576" s="17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 t="str">
        <f>IFERROR(VLOOKUP(B576,'MASTER DATA'!$A$1:$E$212,4,FALSE),"")</f>
        <v/>
      </c>
      <c r="G576" s="17"/>
      <c r="H576" s="17"/>
      <c r="I576" s="17"/>
      <c r="J576" s="17" t="b">
        <v>0</v>
      </c>
    </row>
    <row r="577" hidden="1">
      <c r="A577" s="17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 t="str">
        <f>IFERROR(VLOOKUP(B577,'MASTER DATA'!$A$1:$E$212,4,FALSE),"")</f>
        <v/>
      </c>
      <c r="G577" s="17"/>
      <c r="H577" s="17"/>
      <c r="I577" s="17"/>
      <c r="J577" s="17" t="b">
        <v>0</v>
      </c>
    </row>
    <row r="578" hidden="1">
      <c r="A578" s="17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 t="str">
        <f>IFERROR(VLOOKUP(B578,'MASTER DATA'!$A$1:$E$212,4,FALSE),"")</f>
        <v/>
      </c>
      <c r="G578" s="17"/>
      <c r="H578" s="17"/>
      <c r="I578" s="17"/>
      <c r="J578" s="17" t="b">
        <v>0</v>
      </c>
    </row>
    <row r="579" hidden="1">
      <c r="A579" s="17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 t="str">
        <f>IFERROR(VLOOKUP(B579,'MASTER DATA'!$A$1:$E$212,4,FALSE),"")</f>
        <v/>
      </c>
      <c r="G579" s="17"/>
      <c r="H579" s="17"/>
      <c r="I579" s="17"/>
      <c r="J579" s="17" t="b">
        <v>0</v>
      </c>
    </row>
    <row r="580" hidden="1">
      <c r="A580" s="17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 t="str">
        <f>IFERROR(VLOOKUP(B580,'MASTER DATA'!$A$1:$E$212,4,FALSE),"")</f>
        <v/>
      </c>
      <c r="G580" s="17"/>
      <c r="H580" s="17"/>
      <c r="I580" s="17"/>
      <c r="J580" s="17" t="b">
        <v>0</v>
      </c>
    </row>
    <row r="581" hidden="1">
      <c r="A581" s="17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 t="str">
        <f>IFERROR(VLOOKUP(B581,'MASTER DATA'!$A$1:$E$212,4,FALSE),"")</f>
        <v/>
      </c>
      <c r="G581" s="17"/>
      <c r="H581" s="17"/>
      <c r="I581" s="17"/>
      <c r="J581" s="17" t="b">
        <v>0</v>
      </c>
    </row>
    <row r="582" hidden="1">
      <c r="A582" s="17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 t="str">
        <f>IFERROR(VLOOKUP(B582,'MASTER DATA'!$A$1:$E$212,4,FALSE),"")</f>
        <v/>
      </c>
      <c r="G582" s="17"/>
      <c r="H582" s="17"/>
      <c r="I582" s="17"/>
      <c r="J582" s="17" t="b">
        <v>0</v>
      </c>
    </row>
    <row r="583" hidden="1">
      <c r="A583" s="17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 t="str">
        <f>IFERROR(VLOOKUP(B583,'MASTER DATA'!$A$1:$E$212,4,FALSE),"")</f>
        <v/>
      </c>
      <c r="G583" s="17"/>
      <c r="H583" s="17"/>
      <c r="I583" s="17"/>
      <c r="J583" s="17" t="b">
        <v>0</v>
      </c>
    </row>
    <row r="584" hidden="1">
      <c r="A584" s="17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 t="str">
        <f>IFERROR(VLOOKUP(B584,'MASTER DATA'!$A$1:$E$212,4,FALSE),"")</f>
        <v/>
      </c>
      <c r="G584" s="17"/>
      <c r="H584" s="17"/>
      <c r="I584" s="17"/>
      <c r="J584" s="17" t="b">
        <v>0</v>
      </c>
    </row>
    <row r="585" hidden="1">
      <c r="A585" s="17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 t="str">
        <f>IFERROR(VLOOKUP(B585,'MASTER DATA'!$A$1:$E$212,4,FALSE),"")</f>
        <v/>
      </c>
      <c r="G585" s="17"/>
      <c r="H585" s="17"/>
      <c r="I585" s="17"/>
      <c r="J585" s="17" t="b">
        <v>0</v>
      </c>
    </row>
    <row r="586" hidden="1">
      <c r="A586" s="17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 t="str">
        <f>IFERROR(VLOOKUP(B586,'MASTER DATA'!$A$1:$E$212,4,FALSE),"")</f>
        <v/>
      </c>
      <c r="G586" s="17"/>
      <c r="H586" s="17"/>
      <c r="I586" s="17"/>
      <c r="J586" s="17" t="b">
        <v>0</v>
      </c>
    </row>
    <row r="587" hidden="1">
      <c r="A587" s="17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 t="str">
        <f>IFERROR(VLOOKUP(B587,'MASTER DATA'!$A$1:$E$212,4,FALSE),"")</f>
        <v/>
      </c>
      <c r="G587" s="17"/>
      <c r="H587" s="17"/>
      <c r="I587" s="17"/>
      <c r="J587" s="17" t="b">
        <v>0</v>
      </c>
    </row>
    <row r="588" hidden="1">
      <c r="A588" s="17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 t="str">
        <f>IFERROR(VLOOKUP(B588,'MASTER DATA'!$A$1:$E$212,4,FALSE),"")</f>
        <v/>
      </c>
      <c r="G588" s="17"/>
      <c r="H588" s="17"/>
      <c r="I588" s="17"/>
      <c r="J588" s="17" t="b">
        <v>0</v>
      </c>
    </row>
    <row r="589" hidden="1">
      <c r="A589" s="17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 t="str">
        <f>IFERROR(VLOOKUP(B589,'MASTER DATA'!$A$1:$E$212,4,FALSE),"")</f>
        <v/>
      </c>
      <c r="G589" s="17"/>
      <c r="H589" s="17"/>
      <c r="I589" s="17"/>
      <c r="J589" s="17" t="b">
        <v>0</v>
      </c>
    </row>
    <row r="590" hidden="1">
      <c r="A590" s="17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 t="str">
        <f>IFERROR(VLOOKUP(B590,'MASTER DATA'!$A$1:$E$212,4,FALSE),"")</f>
        <v/>
      </c>
      <c r="G590" s="17"/>
      <c r="H590" s="17"/>
      <c r="I590" s="17"/>
      <c r="J590" s="17" t="b">
        <v>0</v>
      </c>
    </row>
    <row r="591" hidden="1">
      <c r="A591" s="17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 t="str">
        <f>IFERROR(VLOOKUP(B591,'MASTER DATA'!$A$1:$E$212,4,FALSE),"")</f>
        <v/>
      </c>
      <c r="G591" s="17"/>
      <c r="H591" s="17"/>
      <c r="I591" s="17"/>
      <c r="J591" s="17" t="b">
        <v>0</v>
      </c>
    </row>
    <row r="592" hidden="1">
      <c r="A592" s="17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 t="str">
        <f>IFERROR(VLOOKUP(B592,'MASTER DATA'!$A$1:$E$212,4,FALSE),"")</f>
        <v/>
      </c>
      <c r="G592" s="17"/>
      <c r="H592" s="17"/>
      <c r="I592" s="17"/>
      <c r="J592" s="17" t="b">
        <v>0</v>
      </c>
    </row>
    <row r="593" hidden="1">
      <c r="A593" s="17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 t="str">
        <f>IFERROR(VLOOKUP(B593,'MASTER DATA'!$A$1:$E$212,4,FALSE),"")</f>
        <v/>
      </c>
      <c r="G593" s="17"/>
      <c r="H593" s="17"/>
      <c r="I593" s="17"/>
      <c r="J593" s="17" t="b">
        <v>0</v>
      </c>
    </row>
    <row r="594" hidden="1">
      <c r="A594" s="17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 t="str">
        <f>IFERROR(VLOOKUP(B594,'MASTER DATA'!$A$1:$E$212,4,FALSE),"")</f>
        <v/>
      </c>
      <c r="G594" s="17"/>
      <c r="H594" s="17"/>
      <c r="I594" s="17"/>
      <c r="J594" s="17" t="b">
        <v>0</v>
      </c>
    </row>
    <row r="595" hidden="1">
      <c r="A595" s="17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 t="str">
        <f>IFERROR(VLOOKUP(B595,'MASTER DATA'!$A$1:$E$212,4,FALSE),"")</f>
        <v/>
      </c>
      <c r="G595" s="17"/>
      <c r="H595" s="17"/>
      <c r="I595" s="17"/>
      <c r="J595" s="17" t="b">
        <v>0</v>
      </c>
    </row>
    <row r="596" hidden="1">
      <c r="A596" s="17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 t="str">
        <f>IFERROR(VLOOKUP(B596,'MASTER DATA'!$A$1:$E$212,4,FALSE),"")</f>
        <v/>
      </c>
      <c r="G596" s="17"/>
      <c r="H596" s="17"/>
      <c r="I596" s="17"/>
      <c r="J596" s="17" t="b">
        <v>0</v>
      </c>
    </row>
    <row r="597" hidden="1">
      <c r="A597" s="17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 t="str">
        <f>IFERROR(VLOOKUP(B597,'MASTER DATA'!$A$1:$E$212,4,FALSE),"")</f>
        <v/>
      </c>
      <c r="G597" s="17"/>
      <c r="H597" s="17"/>
      <c r="I597" s="17"/>
      <c r="J597" s="17" t="b">
        <v>0</v>
      </c>
    </row>
    <row r="598" hidden="1">
      <c r="A598" s="17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 t="str">
        <f>IFERROR(VLOOKUP(B598,'MASTER DATA'!$A$1:$E$212,4,FALSE),"")</f>
        <v/>
      </c>
      <c r="G598" s="17"/>
      <c r="H598" s="17"/>
      <c r="I598" s="17"/>
      <c r="J598" s="17" t="b">
        <v>0</v>
      </c>
    </row>
    <row r="599" hidden="1">
      <c r="A599" s="17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 t="str">
        <f>IFERROR(VLOOKUP(B599,'MASTER DATA'!$A$1:$E$212,4,FALSE),"")</f>
        <v/>
      </c>
      <c r="G599" s="17"/>
      <c r="H599" s="17"/>
      <c r="I599" s="17"/>
      <c r="J599" s="17" t="b">
        <v>0</v>
      </c>
    </row>
    <row r="600" hidden="1">
      <c r="A600" s="17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 t="str">
        <f>IFERROR(VLOOKUP(B600,'MASTER DATA'!$A$1:$E$212,4,FALSE),"")</f>
        <v/>
      </c>
      <c r="G600" s="17"/>
      <c r="H600" s="17"/>
      <c r="I600" s="17"/>
      <c r="J600" s="17" t="b">
        <v>0</v>
      </c>
    </row>
    <row r="601" hidden="1">
      <c r="A601" s="17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 t="str">
        <f>IFERROR(VLOOKUP(B601,'MASTER DATA'!$A$1:$E$212,4,FALSE),"")</f>
        <v/>
      </c>
      <c r="G601" s="17"/>
      <c r="H601" s="17"/>
      <c r="I601" s="17"/>
      <c r="J601" s="17" t="b">
        <v>0</v>
      </c>
    </row>
    <row r="602" hidden="1">
      <c r="A602" s="17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 t="str">
        <f>IFERROR(VLOOKUP(B602,'MASTER DATA'!$A$1:$E$212,4,FALSE),"")</f>
        <v/>
      </c>
      <c r="G602" s="17"/>
      <c r="H602" s="17"/>
      <c r="I602" s="17"/>
      <c r="J602" s="17" t="b">
        <v>0</v>
      </c>
    </row>
    <row r="603" hidden="1">
      <c r="A603" s="17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 t="str">
        <f>IFERROR(VLOOKUP(B603,'MASTER DATA'!$A$1:$E$212,4,FALSE),"")</f>
        <v/>
      </c>
      <c r="G603" s="17"/>
      <c r="H603" s="17"/>
      <c r="I603" s="17"/>
      <c r="J603" s="17" t="b">
        <v>0</v>
      </c>
    </row>
    <row r="604" hidden="1">
      <c r="A604" s="17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 t="str">
        <f>IFERROR(VLOOKUP(B604,'MASTER DATA'!$A$1:$E$212,4,FALSE),"")</f>
        <v/>
      </c>
      <c r="G604" s="17"/>
      <c r="H604" s="17"/>
      <c r="I604" s="17"/>
      <c r="J604" s="17" t="b">
        <v>0</v>
      </c>
    </row>
    <row r="605" hidden="1">
      <c r="A605" s="17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 t="str">
        <f>IFERROR(VLOOKUP(B605,'MASTER DATA'!$A$1:$E$212,4,FALSE),"")</f>
        <v/>
      </c>
      <c r="G605" s="17"/>
      <c r="H605" s="17"/>
      <c r="I605" s="17"/>
      <c r="J605" s="17" t="b">
        <v>0</v>
      </c>
    </row>
    <row r="606" hidden="1">
      <c r="A606" s="17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 t="str">
        <f>IFERROR(VLOOKUP(B606,'MASTER DATA'!$A$1:$E$212,4,FALSE),"")</f>
        <v/>
      </c>
      <c r="G606" s="17"/>
      <c r="H606" s="17"/>
      <c r="I606" s="17"/>
      <c r="J606" s="17" t="b">
        <v>0</v>
      </c>
    </row>
    <row r="607" hidden="1">
      <c r="A607" s="17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 t="str">
        <f>IFERROR(VLOOKUP(B607,'MASTER DATA'!$A$1:$E$212,4,FALSE),"")</f>
        <v/>
      </c>
      <c r="G607" s="17"/>
      <c r="H607" s="17"/>
      <c r="I607" s="17"/>
      <c r="J607" s="17" t="b">
        <v>0</v>
      </c>
    </row>
    <row r="608" hidden="1">
      <c r="A608" s="17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 t="str">
        <f>IFERROR(VLOOKUP(B608,'MASTER DATA'!$A$1:$E$212,4,FALSE),"")</f>
        <v/>
      </c>
      <c r="G608" s="17"/>
      <c r="H608" s="17"/>
      <c r="I608" s="17"/>
      <c r="J608" s="17" t="b">
        <v>0</v>
      </c>
    </row>
    <row r="609" hidden="1">
      <c r="A609" s="17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 t="str">
        <f>IFERROR(VLOOKUP(B609,'MASTER DATA'!$A$1:$E$212,4,FALSE),"")</f>
        <v/>
      </c>
      <c r="G609" s="17"/>
      <c r="H609" s="17"/>
      <c r="I609" s="17"/>
      <c r="J609" s="17" t="b">
        <v>0</v>
      </c>
    </row>
    <row r="610" hidden="1">
      <c r="A610" s="17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 t="str">
        <f>IFERROR(VLOOKUP(B610,'MASTER DATA'!$A$1:$E$212,4,FALSE),"")</f>
        <v/>
      </c>
      <c r="G610" s="17"/>
      <c r="H610" s="17"/>
      <c r="I610" s="17"/>
      <c r="J610" s="17" t="b">
        <v>0</v>
      </c>
    </row>
    <row r="611" hidden="1">
      <c r="A611" s="17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 t="str">
        <f>IFERROR(VLOOKUP(B611,'MASTER DATA'!$A$1:$E$212,4,FALSE),"")</f>
        <v/>
      </c>
      <c r="G611" s="17"/>
      <c r="H611" s="17"/>
      <c r="I611" s="17"/>
      <c r="J611" s="17" t="b">
        <v>0</v>
      </c>
    </row>
    <row r="612" hidden="1">
      <c r="A612" s="17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 t="str">
        <f>IFERROR(VLOOKUP(B612,'MASTER DATA'!$A$1:$E$212,4,FALSE),"")</f>
        <v/>
      </c>
      <c r="G612" s="17"/>
      <c r="H612" s="17"/>
      <c r="I612" s="17"/>
      <c r="J612" s="17" t="b">
        <v>0</v>
      </c>
    </row>
    <row r="613" hidden="1">
      <c r="A613" s="17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 t="str">
        <f>IFERROR(VLOOKUP(B613,'MASTER DATA'!$A$1:$E$212,4,FALSE),"")</f>
        <v/>
      </c>
      <c r="G613" s="17"/>
      <c r="H613" s="17"/>
      <c r="I613" s="17"/>
      <c r="J613" s="17" t="b">
        <v>0</v>
      </c>
    </row>
    <row r="614" hidden="1">
      <c r="A614" s="17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 t="str">
        <f>IFERROR(VLOOKUP(B614,'MASTER DATA'!$A$1:$E$212,4,FALSE),"")</f>
        <v/>
      </c>
      <c r="G614" s="17"/>
      <c r="H614" s="17"/>
      <c r="I614" s="17"/>
      <c r="J614" s="17" t="b">
        <v>0</v>
      </c>
    </row>
    <row r="615" hidden="1">
      <c r="A615" s="17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 t="str">
        <f>IFERROR(VLOOKUP(B615,'MASTER DATA'!$A$1:$E$212,4,FALSE),"")</f>
        <v/>
      </c>
      <c r="G615" s="17"/>
      <c r="H615" s="17"/>
      <c r="I615" s="17"/>
      <c r="J615" s="17" t="b">
        <v>0</v>
      </c>
    </row>
    <row r="616" hidden="1">
      <c r="A616" s="17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 t="str">
        <f>IFERROR(VLOOKUP(B616,'MASTER DATA'!$A$1:$E$212,4,FALSE),"")</f>
        <v/>
      </c>
      <c r="G616" s="17"/>
      <c r="H616" s="17"/>
      <c r="I616" s="17"/>
      <c r="J616" s="17" t="b">
        <v>0</v>
      </c>
    </row>
    <row r="617" hidden="1">
      <c r="A617" s="17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 t="str">
        <f>IFERROR(VLOOKUP(B617,'MASTER DATA'!$A$1:$E$212,4,FALSE),"")</f>
        <v/>
      </c>
      <c r="G617" s="17"/>
      <c r="H617" s="17"/>
      <c r="I617" s="17"/>
      <c r="J617" s="17" t="b">
        <v>0</v>
      </c>
    </row>
    <row r="618" hidden="1">
      <c r="A618" s="17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 t="str">
        <f>IFERROR(VLOOKUP(B618,'MASTER DATA'!$A$1:$E$212,4,FALSE),"")</f>
        <v/>
      </c>
      <c r="G618" s="17"/>
      <c r="H618" s="17"/>
      <c r="I618" s="17"/>
      <c r="J618" s="17" t="b">
        <v>0</v>
      </c>
    </row>
    <row r="619" hidden="1">
      <c r="A619" s="17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 t="str">
        <f>IFERROR(VLOOKUP(B619,'MASTER DATA'!$A$1:$E$212,4,FALSE),"")</f>
        <v/>
      </c>
      <c r="G619" s="17"/>
      <c r="H619" s="17"/>
      <c r="I619" s="17"/>
      <c r="J619" s="17" t="b">
        <v>0</v>
      </c>
    </row>
    <row r="620" hidden="1">
      <c r="A620" s="17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 t="str">
        <f>IFERROR(VLOOKUP(B620,'MASTER DATA'!$A$1:$E$212,4,FALSE),"")</f>
        <v/>
      </c>
      <c r="G620" s="17"/>
      <c r="H620" s="17"/>
      <c r="I620" s="17"/>
      <c r="J620" s="17" t="b">
        <v>0</v>
      </c>
    </row>
    <row r="621" hidden="1">
      <c r="A621" s="17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 t="str">
        <f>IFERROR(VLOOKUP(B621,'MASTER DATA'!$A$1:$E$212,4,FALSE),"")</f>
        <v/>
      </c>
      <c r="G621" s="17"/>
      <c r="H621" s="17"/>
      <c r="I621" s="17"/>
      <c r="J621" s="17" t="b">
        <v>0</v>
      </c>
    </row>
    <row r="622" hidden="1">
      <c r="A622" s="17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 t="str">
        <f>IFERROR(VLOOKUP(B622,'MASTER DATA'!$A$1:$E$212,4,FALSE),"")</f>
        <v/>
      </c>
      <c r="G622" s="17"/>
      <c r="H622" s="17"/>
      <c r="I622" s="17"/>
      <c r="J622" s="17" t="b">
        <v>0</v>
      </c>
    </row>
    <row r="623" hidden="1">
      <c r="A623" s="17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 t="str">
        <f>IFERROR(VLOOKUP(B623,'MASTER DATA'!$A$1:$E$212,4,FALSE),"")</f>
        <v/>
      </c>
      <c r="G623" s="17"/>
      <c r="H623" s="17"/>
      <c r="I623" s="17"/>
      <c r="J623" s="17" t="b">
        <v>0</v>
      </c>
    </row>
    <row r="624" hidden="1">
      <c r="A624" s="17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 t="str">
        <f>IFERROR(VLOOKUP(B624,'MASTER DATA'!$A$1:$E$212,4,FALSE),"")</f>
        <v/>
      </c>
      <c r="G624" s="17"/>
      <c r="H624" s="17"/>
      <c r="I624" s="17"/>
      <c r="J624" s="17" t="b">
        <v>0</v>
      </c>
    </row>
    <row r="625" hidden="1">
      <c r="A625" s="17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 t="str">
        <f>IFERROR(VLOOKUP(B625,'MASTER DATA'!$A$1:$E$212,4,FALSE),"")</f>
        <v/>
      </c>
      <c r="G625" s="17"/>
      <c r="H625" s="17"/>
      <c r="I625" s="17"/>
      <c r="J625" s="17" t="b">
        <v>0</v>
      </c>
    </row>
    <row r="626" hidden="1">
      <c r="A626" s="17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 t="str">
        <f>IFERROR(VLOOKUP(B626,'MASTER DATA'!$A$1:$E$212,4,FALSE),"")</f>
        <v/>
      </c>
      <c r="G626" s="17"/>
      <c r="H626" s="17"/>
      <c r="I626" s="17"/>
      <c r="J626" s="17" t="b">
        <v>0</v>
      </c>
    </row>
    <row r="627" hidden="1">
      <c r="A627" s="17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 t="str">
        <f>IFERROR(VLOOKUP(B627,'MASTER DATA'!$A$1:$E$212,4,FALSE),"")</f>
        <v/>
      </c>
      <c r="G627" s="17"/>
      <c r="H627" s="17"/>
      <c r="I627" s="17"/>
      <c r="J627" s="17" t="b">
        <v>0</v>
      </c>
    </row>
    <row r="628" hidden="1">
      <c r="A628" s="17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 t="str">
        <f>IFERROR(VLOOKUP(B628,'MASTER DATA'!$A$1:$E$212,4,FALSE),"")</f>
        <v/>
      </c>
      <c r="G628" s="17"/>
      <c r="H628" s="17"/>
      <c r="I628" s="17"/>
      <c r="J628" s="17" t="b">
        <v>0</v>
      </c>
    </row>
    <row r="629" hidden="1">
      <c r="A629" s="17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 t="str">
        <f>IFERROR(VLOOKUP(B629,'MASTER DATA'!$A$1:$E$212,4,FALSE),"")</f>
        <v/>
      </c>
      <c r="G629" s="17"/>
      <c r="H629" s="17"/>
      <c r="I629" s="17"/>
      <c r="J629" s="17" t="b">
        <v>0</v>
      </c>
    </row>
    <row r="630" hidden="1">
      <c r="A630" s="17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 t="str">
        <f>IFERROR(VLOOKUP(B630,'MASTER DATA'!$A$1:$E$212,4,FALSE),"")</f>
        <v/>
      </c>
      <c r="G630" s="17"/>
      <c r="H630" s="17"/>
      <c r="I630" s="17"/>
      <c r="J630" s="17" t="b">
        <v>0</v>
      </c>
    </row>
    <row r="631" hidden="1">
      <c r="A631" s="17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 t="str">
        <f>IFERROR(VLOOKUP(B631,'MASTER DATA'!$A$1:$E$212,4,FALSE),"")</f>
        <v/>
      </c>
      <c r="G631" s="17"/>
      <c r="H631" s="17"/>
      <c r="I631" s="17"/>
      <c r="J631" s="17" t="b">
        <v>0</v>
      </c>
    </row>
    <row r="632" hidden="1">
      <c r="A632" s="17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 t="str">
        <f>IFERROR(VLOOKUP(B632,'MASTER DATA'!$A$1:$E$212,4,FALSE),"")</f>
        <v/>
      </c>
      <c r="G632" s="17"/>
      <c r="H632" s="17"/>
      <c r="I632" s="17"/>
      <c r="J632" s="17" t="b">
        <v>0</v>
      </c>
    </row>
    <row r="633" hidden="1">
      <c r="A633" s="17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 t="str">
        <f>IFERROR(VLOOKUP(B633,'MASTER DATA'!$A$1:$E$212,4,FALSE),"")</f>
        <v/>
      </c>
      <c r="G633" s="17"/>
      <c r="H633" s="17"/>
      <c r="I633" s="17"/>
      <c r="J633" s="17" t="b">
        <v>0</v>
      </c>
    </row>
    <row r="634" hidden="1">
      <c r="A634" s="17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 t="str">
        <f>IFERROR(VLOOKUP(B634,'MASTER DATA'!$A$1:$E$212,4,FALSE),"")</f>
        <v/>
      </c>
      <c r="G634" s="17"/>
      <c r="H634" s="17"/>
      <c r="I634" s="17"/>
      <c r="J634" s="17" t="b">
        <v>0</v>
      </c>
    </row>
    <row r="635" hidden="1">
      <c r="A635" s="17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 t="str">
        <f>IFERROR(VLOOKUP(B635,'MASTER DATA'!$A$1:$E$212,4,FALSE),"")</f>
        <v/>
      </c>
      <c r="G635" s="17"/>
      <c r="H635" s="17"/>
      <c r="I635" s="17"/>
      <c r="J635" s="17" t="b">
        <v>0</v>
      </c>
    </row>
    <row r="636" hidden="1">
      <c r="A636" s="17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 t="str">
        <f>IFERROR(VLOOKUP(B636,'MASTER DATA'!$A$1:$E$212,4,FALSE),"")</f>
        <v/>
      </c>
      <c r="G636" s="17"/>
      <c r="H636" s="17"/>
      <c r="I636" s="17"/>
      <c r="J636" s="17" t="b">
        <v>0</v>
      </c>
    </row>
    <row r="637" hidden="1">
      <c r="A637" s="17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 t="str">
        <f>IFERROR(VLOOKUP(B637,'MASTER DATA'!$A$1:$E$212,4,FALSE),"")</f>
        <v/>
      </c>
      <c r="G637" s="17"/>
      <c r="H637" s="17"/>
      <c r="I637" s="17"/>
      <c r="J637" s="17" t="b">
        <v>0</v>
      </c>
    </row>
    <row r="638" hidden="1">
      <c r="A638" s="17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 t="str">
        <f>IFERROR(VLOOKUP(B638,'MASTER DATA'!$A$1:$E$212,4,FALSE),"")</f>
        <v/>
      </c>
      <c r="G638" s="17"/>
      <c r="H638" s="17"/>
      <c r="I638" s="17"/>
      <c r="J638" s="17" t="b">
        <v>0</v>
      </c>
    </row>
    <row r="639" hidden="1">
      <c r="A639" s="17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 t="str">
        <f>IFERROR(VLOOKUP(B639,'MASTER DATA'!$A$1:$E$212,4,FALSE),"")</f>
        <v/>
      </c>
      <c r="G639" s="17"/>
      <c r="H639" s="17"/>
      <c r="I639" s="17"/>
      <c r="J639" s="17" t="b">
        <v>0</v>
      </c>
    </row>
    <row r="640" hidden="1">
      <c r="A640" s="17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 t="str">
        <f>IFERROR(VLOOKUP(B640,'MASTER DATA'!$A$1:$E$212,4,FALSE),"")</f>
        <v/>
      </c>
      <c r="G640" s="17"/>
      <c r="H640" s="17"/>
      <c r="I640" s="17"/>
      <c r="J640" s="17" t="b">
        <v>0</v>
      </c>
    </row>
    <row r="641" hidden="1">
      <c r="A641" s="17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 t="str">
        <f>IFERROR(VLOOKUP(B641,'MASTER DATA'!$A$1:$E$212,4,FALSE),"")</f>
        <v/>
      </c>
      <c r="G641" s="17"/>
      <c r="H641" s="17"/>
      <c r="I641" s="17"/>
      <c r="J641" s="17" t="b">
        <v>0</v>
      </c>
    </row>
    <row r="642" hidden="1">
      <c r="A642" s="17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 t="str">
        <f>IFERROR(VLOOKUP(B642,'MASTER DATA'!$A$1:$E$212,4,FALSE),"")</f>
        <v/>
      </c>
      <c r="G642" s="17"/>
      <c r="H642" s="17"/>
      <c r="I642" s="17"/>
      <c r="J642" s="17" t="b">
        <v>0</v>
      </c>
    </row>
    <row r="643" hidden="1">
      <c r="A643" s="17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 t="str">
        <f>IFERROR(VLOOKUP(B643,'MASTER DATA'!$A$1:$E$212,4,FALSE),"")</f>
        <v/>
      </c>
      <c r="G643" s="17"/>
      <c r="H643" s="17"/>
      <c r="I643" s="17"/>
      <c r="J643" s="17" t="b">
        <v>0</v>
      </c>
    </row>
    <row r="644" hidden="1">
      <c r="A644" s="17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 t="str">
        <f>IFERROR(VLOOKUP(B644,'MASTER DATA'!$A$1:$E$212,4,FALSE),"")</f>
        <v/>
      </c>
      <c r="G644" s="17"/>
      <c r="H644" s="17"/>
      <c r="I644" s="17"/>
      <c r="J644" s="17" t="b">
        <v>0</v>
      </c>
    </row>
    <row r="645" hidden="1">
      <c r="A645" s="17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 t="str">
        <f>IFERROR(VLOOKUP(B645,'MASTER DATA'!$A$1:$E$212,4,FALSE),"")</f>
        <v/>
      </c>
      <c r="G645" s="17"/>
      <c r="H645" s="17"/>
      <c r="I645" s="17"/>
      <c r="J645" s="17" t="b">
        <v>0</v>
      </c>
    </row>
    <row r="646" hidden="1">
      <c r="A646" s="17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 t="str">
        <f>IFERROR(VLOOKUP(B646,'MASTER DATA'!$A$1:$E$212,4,FALSE),"")</f>
        <v/>
      </c>
      <c r="G646" s="17"/>
      <c r="H646" s="17"/>
      <c r="I646" s="17"/>
      <c r="J646" s="17" t="b">
        <v>0</v>
      </c>
    </row>
    <row r="647" hidden="1">
      <c r="A647" s="17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 t="str">
        <f>IFERROR(VLOOKUP(B647,'MASTER DATA'!$A$1:$E$212,4,FALSE),"")</f>
        <v/>
      </c>
      <c r="G647" s="17"/>
      <c r="H647" s="17"/>
      <c r="I647" s="17"/>
      <c r="J647" s="17" t="b">
        <v>0</v>
      </c>
    </row>
    <row r="648" hidden="1">
      <c r="A648" s="17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 t="str">
        <f>IFERROR(VLOOKUP(B648,'MASTER DATA'!$A$1:$E$212,4,FALSE),"")</f>
        <v/>
      </c>
      <c r="G648" s="17"/>
      <c r="H648" s="17"/>
      <c r="I648" s="17"/>
      <c r="J648" s="17" t="b">
        <v>0</v>
      </c>
    </row>
    <row r="649" hidden="1">
      <c r="A649" s="17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 t="str">
        <f>IFERROR(VLOOKUP(B649,'MASTER DATA'!$A$1:$E$212,4,FALSE),"")</f>
        <v/>
      </c>
      <c r="G649" s="17"/>
      <c r="H649" s="17"/>
      <c r="I649" s="17"/>
      <c r="J649" s="17" t="b">
        <v>0</v>
      </c>
    </row>
    <row r="650" hidden="1">
      <c r="A650" s="17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 t="str">
        <f>IFERROR(VLOOKUP(B650,'MASTER DATA'!$A$1:$E$212,4,FALSE),"")</f>
        <v/>
      </c>
      <c r="G650" s="17"/>
      <c r="H650" s="17"/>
      <c r="I650" s="17"/>
      <c r="J650" s="17" t="b">
        <v>0</v>
      </c>
    </row>
    <row r="651" hidden="1">
      <c r="A651" s="17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 t="str">
        <f>IFERROR(VLOOKUP(B651,'MASTER DATA'!$A$1:$E$212,4,FALSE),"")</f>
        <v/>
      </c>
      <c r="G651" s="17"/>
      <c r="H651" s="17"/>
      <c r="I651" s="17"/>
      <c r="J651" s="17" t="b">
        <v>0</v>
      </c>
    </row>
    <row r="652" hidden="1">
      <c r="A652" s="17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 t="str">
        <f>IFERROR(VLOOKUP(B652,'MASTER DATA'!$A$1:$E$212,4,FALSE),"")</f>
        <v/>
      </c>
      <c r="G652" s="17"/>
      <c r="H652" s="17"/>
      <c r="I652" s="17"/>
      <c r="J652" s="17" t="b">
        <v>0</v>
      </c>
    </row>
    <row r="653" hidden="1">
      <c r="A653" s="17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 t="str">
        <f>IFERROR(VLOOKUP(B653,'MASTER DATA'!$A$1:$E$212,4,FALSE),"")</f>
        <v/>
      </c>
      <c r="G653" s="17"/>
      <c r="H653" s="17"/>
      <c r="I653" s="17"/>
      <c r="J653" s="17" t="b">
        <v>0</v>
      </c>
    </row>
    <row r="654" hidden="1">
      <c r="A654" s="17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 t="str">
        <f>IFERROR(VLOOKUP(B654,'MASTER DATA'!$A$1:$E$212,4,FALSE),"")</f>
        <v/>
      </c>
      <c r="G654" s="17"/>
      <c r="H654" s="17"/>
      <c r="I654" s="17"/>
      <c r="J654" s="17" t="b">
        <v>0</v>
      </c>
    </row>
    <row r="655" hidden="1">
      <c r="A655" s="17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 t="str">
        <f>IFERROR(VLOOKUP(B655,'MASTER DATA'!$A$1:$E$212,4,FALSE),"")</f>
        <v/>
      </c>
      <c r="G655" s="17"/>
      <c r="H655" s="17"/>
      <c r="I655" s="17"/>
      <c r="J655" s="17" t="b">
        <v>0</v>
      </c>
    </row>
    <row r="656" hidden="1">
      <c r="A656" s="17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 t="str">
        <f>IFERROR(VLOOKUP(B656,'MASTER DATA'!$A$1:$E$212,4,FALSE),"")</f>
        <v/>
      </c>
      <c r="G656" s="17"/>
      <c r="H656" s="17"/>
      <c r="I656" s="17"/>
      <c r="J656" s="17" t="b">
        <v>0</v>
      </c>
    </row>
    <row r="657" hidden="1">
      <c r="A657" s="17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 t="str">
        <f>IFERROR(VLOOKUP(B657,'MASTER DATA'!$A$1:$E$212,4,FALSE),"")</f>
        <v/>
      </c>
      <c r="G657" s="17"/>
      <c r="H657" s="17"/>
      <c r="I657" s="17"/>
      <c r="J657" s="17" t="b">
        <v>0</v>
      </c>
    </row>
    <row r="658" hidden="1">
      <c r="A658" s="17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 t="str">
        <f>IFERROR(VLOOKUP(B658,'MASTER DATA'!$A$1:$E$212,4,FALSE),"")</f>
        <v/>
      </c>
      <c r="G658" s="17"/>
      <c r="H658" s="17"/>
      <c r="I658" s="17"/>
      <c r="J658" s="17" t="b">
        <v>0</v>
      </c>
    </row>
    <row r="659" hidden="1">
      <c r="A659" s="17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 t="str">
        <f>IFERROR(VLOOKUP(B659,'MASTER DATA'!$A$1:$E$212,4,FALSE),"")</f>
        <v/>
      </c>
      <c r="G659" s="17"/>
      <c r="H659" s="17"/>
      <c r="I659" s="17"/>
      <c r="J659" s="17" t="b">
        <v>0</v>
      </c>
    </row>
    <row r="660" hidden="1">
      <c r="A660" s="17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 t="str">
        <f>IFERROR(VLOOKUP(B660,'MASTER DATA'!$A$1:$E$212,4,FALSE),"")</f>
        <v/>
      </c>
      <c r="G660" s="17"/>
      <c r="H660" s="17"/>
      <c r="I660" s="17"/>
      <c r="J660" s="17" t="b">
        <v>0</v>
      </c>
    </row>
    <row r="661" hidden="1">
      <c r="A661" s="17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 t="str">
        <f>IFERROR(VLOOKUP(B661,'MASTER DATA'!$A$1:$E$212,4,FALSE),"")</f>
        <v/>
      </c>
      <c r="G661" s="17"/>
      <c r="H661" s="17"/>
      <c r="I661" s="17"/>
      <c r="J661" s="17" t="b">
        <v>0</v>
      </c>
    </row>
    <row r="662" hidden="1">
      <c r="A662" s="17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 t="str">
        <f>IFERROR(VLOOKUP(B662,'MASTER DATA'!$A$1:$E$212,4,FALSE),"")</f>
        <v/>
      </c>
      <c r="G662" s="17"/>
      <c r="H662" s="17"/>
      <c r="I662" s="17"/>
      <c r="J662" s="17" t="b">
        <v>0</v>
      </c>
    </row>
    <row r="663" hidden="1">
      <c r="A663" s="17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 t="str">
        <f>IFERROR(VLOOKUP(B663,'MASTER DATA'!$A$1:$E$212,4,FALSE),"")</f>
        <v/>
      </c>
      <c r="G663" s="17"/>
      <c r="H663" s="17"/>
      <c r="I663" s="17"/>
      <c r="J663" s="17" t="b">
        <v>0</v>
      </c>
    </row>
    <row r="664" hidden="1">
      <c r="A664" s="17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 t="str">
        <f>IFERROR(VLOOKUP(B664,'MASTER DATA'!$A$1:$E$212,4,FALSE),"")</f>
        <v/>
      </c>
      <c r="G664" s="17"/>
      <c r="H664" s="17"/>
      <c r="I664" s="17"/>
      <c r="J664" s="17" t="b">
        <v>0</v>
      </c>
    </row>
    <row r="665" hidden="1">
      <c r="A665" s="17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 t="str">
        <f>IFERROR(VLOOKUP(B665,'MASTER DATA'!$A$1:$E$212,4,FALSE),"")</f>
        <v/>
      </c>
      <c r="G665" s="17"/>
      <c r="H665" s="17"/>
      <c r="I665" s="17"/>
      <c r="J665" s="17" t="b">
        <v>0</v>
      </c>
    </row>
    <row r="666" hidden="1">
      <c r="A666" s="17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 t="str">
        <f>IFERROR(VLOOKUP(B666,'MASTER DATA'!$A$1:$E$212,4,FALSE),"")</f>
        <v/>
      </c>
      <c r="G666" s="17"/>
      <c r="H666" s="17"/>
      <c r="I666" s="17"/>
      <c r="J666" s="17" t="b">
        <v>0</v>
      </c>
    </row>
    <row r="667" hidden="1">
      <c r="A667" s="17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 t="str">
        <f>IFERROR(VLOOKUP(B667,'MASTER DATA'!$A$1:$E$212,4,FALSE),"")</f>
        <v/>
      </c>
      <c r="G667" s="17"/>
      <c r="H667" s="17"/>
      <c r="I667" s="17"/>
      <c r="J667" s="17" t="b">
        <v>0</v>
      </c>
    </row>
    <row r="668" hidden="1">
      <c r="A668" s="17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 t="str">
        <f>IFERROR(VLOOKUP(B668,'MASTER DATA'!$A$1:$E$212,4,FALSE),"")</f>
        <v/>
      </c>
      <c r="G668" s="17"/>
      <c r="H668" s="17"/>
      <c r="I668" s="17"/>
      <c r="J668" s="17" t="b">
        <v>0</v>
      </c>
    </row>
    <row r="669" hidden="1">
      <c r="A669" s="17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 t="str">
        <f>IFERROR(VLOOKUP(B669,'MASTER DATA'!$A$1:$E$212,4,FALSE),"")</f>
        <v/>
      </c>
      <c r="G669" s="17"/>
      <c r="H669" s="17"/>
      <c r="I669" s="17"/>
      <c r="J669" s="17" t="b">
        <v>0</v>
      </c>
    </row>
    <row r="670" hidden="1">
      <c r="A670" s="17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 t="str">
        <f>IFERROR(VLOOKUP(B670,'MASTER DATA'!$A$1:$E$212,4,FALSE),"")</f>
        <v/>
      </c>
      <c r="G670" s="17"/>
      <c r="H670" s="17"/>
      <c r="I670" s="17"/>
      <c r="J670" s="17" t="b">
        <v>0</v>
      </c>
    </row>
    <row r="671" hidden="1">
      <c r="A671" s="17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 t="str">
        <f>IFERROR(VLOOKUP(B671,'MASTER DATA'!$A$1:$E$212,4,FALSE),"")</f>
        <v/>
      </c>
      <c r="G671" s="17"/>
      <c r="H671" s="17"/>
      <c r="I671" s="17"/>
      <c r="J671" s="17" t="b">
        <v>0</v>
      </c>
    </row>
    <row r="672" hidden="1">
      <c r="A672" s="17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 t="str">
        <f>IFERROR(VLOOKUP(B672,'MASTER DATA'!$A$1:$E$212,4,FALSE),"")</f>
        <v/>
      </c>
      <c r="G672" s="17"/>
      <c r="H672" s="17"/>
      <c r="I672" s="17"/>
      <c r="J672" s="17" t="b">
        <v>0</v>
      </c>
    </row>
    <row r="673" hidden="1">
      <c r="A673" s="17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 t="str">
        <f>IFERROR(VLOOKUP(B673,'MASTER DATA'!$A$1:$E$212,4,FALSE),"")</f>
        <v/>
      </c>
      <c r="G673" s="17"/>
      <c r="H673" s="17"/>
      <c r="I673" s="17"/>
      <c r="J673" s="17" t="b">
        <v>0</v>
      </c>
    </row>
    <row r="674" hidden="1">
      <c r="A674" s="17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 t="str">
        <f>IFERROR(VLOOKUP(B674,'MASTER DATA'!$A$1:$E$212,4,FALSE),"")</f>
        <v/>
      </c>
      <c r="G674" s="17"/>
      <c r="H674" s="17"/>
      <c r="I674" s="17"/>
      <c r="J674" s="17" t="b">
        <v>0</v>
      </c>
    </row>
    <row r="675" hidden="1">
      <c r="A675" s="17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 t="str">
        <f>IFERROR(VLOOKUP(B675,'MASTER DATA'!$A$1:$E$212,4,FALSE),"")</f>
        <v/>
      </c>
      <c r="G675" s="17"/>
      <c r="H675" s="17"/>
      <c r="I675" s="17"/>
      <c r="J675" s="17" t="b">
        <v>0</v>
      </c>
    </row>
    <row r="676" hidden="1">
      <c r="A676" s="17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 t="str">
        <f>IFERROR(VLOOKUP(B676,'MASTER DATA'!$A$1:$E$212,4,FALSE),"")</f>
        <v/>
      </c>
      <c r="G676" s="17"/>
      <c r="H676" s="17"/>
      <c r="I676" s="17"/>
      <c r="J676" s="17" t="b">
        <v>0</v>
      </c>
    </row>
    <row r="677" hidden="1">
      <c r="A677" s="17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 t="str">
        <f>IFERROR(VLOOKUP(B677,'MASTER DATA'!$A$1:$E$212,4,FALSE),"")</f>
        <v/>
      </c>
      <c r="G677" s="17"/>
      <c r="H677" s="17"/>
      <c r="I677" s="17"/>
      <c r="J677" s="17" t="b">
        <v>0</v>
      </c>
    </row>
    <row r="678" hidden="1">
      <c r="A678" s="17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 t="str">
        <f>IFERROR(VLOOKUP(B678,'MASTER DATA'!$A$1:$E$212,4,FALSE),"")</f>
        <v/>
      </c>
      <c r="G678" s="17"/>
      <c r="H678" s="17"/>
      <c r="I678" s="17"/>
      <c r="J678" s="17" t="b">
        <v>0</v>
      </c>
    </row>
    <row r="679" hidden="1">
      <c r="A679" s="17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 t="str">
        <f>IFERROR(VLOOKUP(B679,'MASTER DATA'!$A$1:$E$212,4,FALSE),"")</f>
        <v/>
      </c>
      <c r="G679" s="17"/>
      <c r="H679" s="17"/>
      <c r="I679" s="17"/>
      <c r="J679" s="17" t="b">
        <v>0</v>
      </c>
    </row>
    <row r="680" hidden="1">
      <c r="A680" s="17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 t="str">
        <f>IFERROR(VLOOKUP(B680,'MASTER DATA'!$A$1:$E$212,4,FALSE),"")</f>
        <v/>
      </c>
      <c r="G680" s="17"/>
      <c r="H680" s="17"/>
      <c r="I680" s="17"/>
      <c r="J680" s="17" t="b">
        <v>0</v>
      </c>
    </row>
    <row r="681" hidden="1">
      <c r="A681" s="17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 t="str">
        <f>IFERROR(VLOOKUP(B681,'MASTER DATA'!$A$1:$E$212,4,FALSE),"")</f>
        <v/>
      </c>
      <c r="G681" s="17"/>
      <c r="H681" s="17"/>
      <c r="I681" s="17"/>
      <c r="J681" s="17" t="b">
        <v>0</v>
      </c>
    </row>
    <row r="682" hidden="1">
      <c r="A682" s="17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 t="str">
        <f>IFERROR(VLOOKUP(B682,'MASTER DATA'!$A$1:$E$212,4,FALSE),"")</f>
        <v/>
      </c>
      <c r="G682" s="17"/>
      <c r="H682" s="17"/>
      <c r="I682" s="17"/>
      <c r="J682" s="17" t="b">
        <v>0</v>
      </c>
    </row>
    <row r="683" hidden="1">
      <c r="A683" s="17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 t="str">
        <f>IFERROR(VLOOKUP(B683,'MASTER DATA'!$A$1:$E$212,4,FALSE),"")</f>
        <v/>
      </c>
      <c r="G683" s="17"/>
      <c r="H683" s="17"/>
      <c r="I683" s="17"/>
      <c r="J683" s="17" t="b">
        <v>0</v>
      </c>
    </row>
    <row r="684" hidden="1">
      <c r="A684" s="17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 t="str">
        <f>IFERROR(VLOOKUP(B684,'MASTER DATA'!$A$1:$E$212,4,FALSE),"")</f>
        <v/>
      </c>
      <c r="G684" s="17"/>
      <c r="H684" s="17"/>
      <c r="I684" s="17"/>
      <c r="J684" s="17" t="b">
        <v>0</v>
      </c>
    </row>
    <row r="685" hidden="1">
      <c r="A685" s="17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 t="str">
        <f>IFERROR(VLOOKUP(B685,'MASTER DATA'!$A$1:$E$212,4,FALSE),"")</f>
        <v/>
      </c>
      <c r="G685" s="17"/>
      <c r="H685" s="17"/>
      <c r="I685" s="17"/>
      <c r="J685" s="17" t="b">
        <v>0</v>
      </c>
    </row>
    <row r="686" hidden="1">
      <c r="A686" s="17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 t="str">
        <f>IFERROR(VLOOKUP(B686,'MASTER DATA'!$A$1:$E$212,4,FALSE),"")</f>
        <v/>
      </c>
      <c r="G686" s="17"/>
      <c r="H686" s="17"/>
      <c r="I686" s="17"/>
      <c r="J686" s="17" t="b">
        <v>0</v>
      </c>
    </row>
    <row r="687" hidden="1">
      <c r="A687" s="17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 t="str">
        <f>IFERROR(VLOOKUP(B687,'MASTER DATA'!$A$1:$E$212,4,FALSE),"")</f>
        <v/>
      </c>
      <c r="G687" s="17"/>
      <c r="H687" s="17"/>
      <c r="I687" s="17"/>
      <c r="J687" s="17" t="b">
        <v>0</v>
      </c>
    </row>
    <row r="688" hidden="1">
      <c r="A688" s="17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 t="str">
        <f>IFERROR(VLOOKUP(B688,'MASTER DATA'!$A$1:$E$212,4,FALSE),"")</f>
        <v/>
      </c>
      <c r="G688" s="17"/>
      <c r="H688" s="17"/>
      <c r="I688" s="17"/>
      <c r="J688" s="17" t="b">
        <v>0</v>
      </c>
    </row>
    <row r="689" hidden="1">
      <c r="A689" s="17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 t="str">
        <f>IFERROR(VLOOKUP(B689,'MASTER DATA'!$A$1:$E$212,4,FALSE),"")</f>
        <v/>
      </c>
      <c r="G689" s="17"/>
      <c r="H689" s="17"/>
      <c r="I689" s="17"/>
      <c r="J689" s="17" t="b">
        <v>0</v>
      </c>
    </row>
    <row r="690" hidden="1">
      <c r="A690" s="17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 t="str">
        <f>IFERROR(VLOOKUP(B690,'MASTER DATA'!$A$1:$E$212,4,FALSE),"")</f>
        <v/>
      </c>
      <c r="G690" s="17"/>
      <c r="H690" s="17"/>
      <c r="I690" s="17"/>
      <c r="J690" s="17" t="b">
        <v>0</v>
      </c>
    </row>
    <row r="691" hidden="1">
      <c r="A691" s="17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 t="str">
        <f>IFERROR(VLOOKUP(B691,'MASTER DATA'!$A$1:$E$212,4,FALSE),"")</f>
        <v/>
      </c>
      <c r="G691" s="17"/>
      <c r="H691" s="17"/>
      <c r="I691" s="17"/>
      <c r="J691" s="17" t="b">
        <v>0</v>
      </c>
    </row>
    <row r="692" hidden="1">
      <c r="A692" s="17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 t="str">
        <f>IFERROR(VLOOKUP(B692,'MASTER DATA'!$A$1:$E$212,4,FALSE),"")</f>
        <v/>
      </c>
      <c r="G692" s="17"/>
      <c r="H692" s="17"/>
      <c r="I692" s="17"/>
      <c r="J692" s="17" t="b">
        <v>0</v>
      </c>
    </row>
    <row r="693" hidden="1">
      <c r="A693" s="17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 t="str">
        <f>IFERROR(VLOOKUP(B693,'MASTER DATA'!$A$1:$E$212,4,FALSE),"")</f>
        <v/>
      </c>
      <c r="G693" s="17"/>
      <c r="H693" s="17"/>
      <c r="I693" s="17"/>
      <c r="J693" s="17" t="b">
        <v>0</v>
      </c>
    </row>
    <row r="694" hidden="1">
      <c r="A694" s="17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 t="str">
        <f>IFERROR(VLOOKUP(B694,'MASTER DATA'!$A$1:$E$212,4,FALSE),"")</f>
        <v/>
      </c>
      <c r="G694" s="17"/>
      <c r="H694" s="17"/>
      <c r="I694" s="17"/>
      <c r="J694" s="17" t="b">
        <v>0</v>
      </c>
    </row>
    <row r="695" hidden="1">
      <c r="A695" s="17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 t="str">
        <f>IFERROR(VLOOKUP(B695,'MASTER DATA'!$A$1:$E$212,4,FALSE),"")</f>
        <v/>
      </c>
      <c r="G695" s="17"/>
      <c r="H695" s="17"/>
      <c r="I695" s="17"/>
      <c r="J695" s="17" t="b">
        <v>0</v>
      </c>
    </row>
    <row r="696" hidden="1">
      <c r="A696" s="17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 t="str">
        <f>IFERROR(VLOOKUP(B696,'MASTER DATA'!$A$1:$E$212,4,FALSE),"")</f>
        <v/>
      </c>
      <c r="G696" s="17"/>
      <c r="H696" s="17"/>
      <c r="I696" s="17"/>
      <c r="J696" s="17" t="b">
        <v>0</v>
      </c>
    </row>
    <row r="697" hidden="1">
      <c r="A697" s="17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 t="str">
        <f>IFERROR(VLOOKUP(B697,'MASTER DATA'!$A$1:$E$212,4,FALSE),"")</f>
        <v/>
      </c>
      <c r="G697" s="17"/>
      <c r="H697" s="17"/>
      <c r="I697" s="17"/>
      <c r="J697" s="17" t="b">
        <v>0</v>
      </c>
    </row>
    <row r="698" hidden="1">
      <c r="A698" s="17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 t="str">
        <f>IFERROR(VLOOKUP(B698,'MASTER DATA'!$A$1:$E$212,4,FALSE),"")</f>
        <v/>
      </c>
      <c r="G698" s="17"/>
      <c r="H698" s="17"/>
      <c r="I698" s="17"/>
      <c r="J698" s="17" t="b">
        <v>0</v>
      </c>
    </row>
    <row r="699" hidden="1">
      <c r="A699" s="17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 t="str">
        <f>IFERROR(VLOOKUP(B699,'MASTER DATA'!$A$1:$E$212,4,FALSE),"")</f>
        <v/>
      </c>
      <c r="G699" s="17"/>
      <c r="H699" s="17"/>
      <c r="I699" s="17"/>
      <c r="J699" s="17" t="b">
        <v>0</v>
      </c>
    </row>
    <row r="700" hidden="1">
      <c r="A700" s="17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 t="str">
        <f>IFERROR(VLOOKUP(B700,'MASTER DATA'!$A$1:$E$212,4,FALSE),"")</f>
        <v/>
      </c>
      <c r="G700" s="17"/>
      <c r="H700" s="17"/>
      <c r="I700" s="17"/>
      <c r="J700" s="17" t="b">
        <v>0</v>
      </c>
    </row>
    <row r="701" hidden="1">
      <c r="A701" s="17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 t="str">
        <f>IFERROR(VLOOKUP(B701,'MASTER DATA'!$A$1:$E$212,4,FALSE),"")</f>
        <v/>
      </c>
      <c r="G701" s="17"/>
      <c r="H701" s="17"/>
      <c r="I701" s="17"/>
      <c r="J701" s="17" t="b">
        <v>0</v>
      </c>
    </row>
    <row r="702" hidden="1">
      <c r="A702" s="17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 t="str">
        <f>IFERROR(VLOOKUP(B702,'MASTER DATA'!$A$1:$E$212,4,FALSE),"")</f>
        <v/>
      </c>
      <c r="G702" s="17"/>
      <c r="H702" s="17"/>
      <c r="I702" s="17"/>
      <c r="J702" s="17" t="b">
        <v>0</v>
      </c>
    </row>
    <row r="703" hidden="1">
      <c r="A703" s="17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 t="str">
        <f>IFERROR(VLOOKUP(B703,'MASTER DATA'!$A$1:$E$212,4,FALSE),"")</f>
        <v/>
      </c>
      <c r="G703" s="17"/>
      <c r="H703" s="17"/>
      <c r="I703" s="17"/>
      <c r="J703" s="17" t="b">
        <v>0</v>
      </c>
    </row>
    <row r="704" hidden="1">
      <c r="A704" s="17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 t="str">
        <f>IFERROR(VLOOKUP(B704,'MASTER DATA'!$A$1:$E$212,4,FALSE),"")</f>
        <v/>
      </c>
      <c r="G704" s="17"/>
      <c r="H704" s="17"/>
      <c r="I704" s="17"/>
      <c r="J704" s="17" t="b">
        <v>0</v>
      </c>
    </row>
    <row r="705" hidden="1">
      <c r="A705" s="17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 t="str">
        <f>IFERROR(VLOOKUP(B705,'MASTER DATA'!$A$1:$E$212,4,FALSE),"")</f>
        <v/>
      </c>
      <c r="G705" s="17"/>
      <c r="H705" s="17"/>
      <c r="I705" s="17"/>
      <c r="J705" s="17" t="b">
        <v>0</v>
      </c>
    </row>
    <row r="706" hidden="1">
      <c r="A706" s="17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 t="str">
        <f>IFERROR(VLOOKUP(B706,'MASTER DATA'!$A$1:$E$212,4,FALSE),"")</f>
        <v/>
      </c>
      <c r="G706" s="17"/>
      <c r="H706" s="17"/>
      <c r="I706" s="17"/>
      <c r="J706" s="17" t="b">
        <v>0</v>
      </c>
    </row>
    <row r="707" hidden="1">
      <c r="A707" s="17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 t="str">
        <f>IFERROR(VLOOKUP(B707,'MASTER DATA'!$A$1:$E$212,4,FALSE),"")</f>
        <v/>
      </c>
      <c r="G707" s="17"/>
      <c r="H707" s="17"/>
      <c r="I707" s="17"/>
      <c r="J707" s="17" t="b">
        <v>0</v>
      </c>
    </row>
    <row r="708" hidden="1">
      <c r="A708" s="17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 t="str">
        <f>IFERROR(VLOOKUP(B708,'MASTER DATA'!$A$1:$E$212,4,FALSE),"")</f>
        <v/>
      </c>
      <c r="G708" s="17"/>
      <c r="H708" s="17"/>
      <c r="I708" s="17"/>
      <c r="J708" s="17" t="b">
        <v>0</v>
      </c>
    </row>
    <row r="709" hidden="1">
      <c r="A709" s="17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 t="str">
        <f>IFERROR(VLOOKUP(B709,'MASTER DATA'!$A$1:$E$212,4,FALSE),"")</f>
        <v/>
      </c>
      <c r="G709" s="17"/>
      <c r="H709" s="17"/>
      <c r="I709" s="17"/>
      <c r="J709" s="17" t="b">
        <v>0</v>
      </c>
    </row>
    <row r="710" hidden="1">
      <c r="A710" s="17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 t="str">
        <f>IFERROR(VLOOKUP(B710,'MASTER DATA'!$A$1:$E$212,4,FALSE),"")</f>
        <v/>
      </c>
      <c r="G710" s="17"/>
      <c r="H710" s="17"/>
      <c r="I710" s="17"/>
      <c r="J710" s="17" t="b">
        <v>0</v>
      </c>
    </row>
    <row r="711" hidden="1">
      <c r="A711" s="17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 t="str">
        <f>IFERROR(VLOOKUP(B711,'MASTER DATA'!$A$1:$E$212,4,FALSE),"")</f>
        <v/>
      </c>
      <c r="G711" s="17"/>
      <c r="H711" s="17"/>
      <c r="I711" s="17"/>
      <c r="J711" s="17" t="b">
        <v>0</v>
      </c>
    </row>
    <row r="712" hidden="1">
      <c r="A712" s="17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 t="str">
        <f>IFERROR(VLOOKUP(B712,'MASTER DATA'!$A$1:$E$212,4,FALSE),"")</f>
        <v/>
      </c>
      <c r="G712" s="17"/>
      <c r="H712" s="17"/>
      <c r="I712" s="17"/>
      <c r="J712" s="17" t="b">
        <v>0</v>
      </c>
    </row>
    <row r="713" hidden="1">
      <c r="A713" s="17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 t="str">
        <f>IFERROR(VLOOKUP(B713,'MASTER DATA'!$A$1:$E$212,4,FALSE),"")</f>
        <v/>
      </c>
      <c r="G713" s="17"/>
      <c r="H713" s="17"/>
      <c r="I713" s="17"/>
      <c r="J713" s="17" t="b">
        <v>0</v>
      </c>
    </row>
    <row r="714" hidden="1">
      <c r="A714" s="17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 t="str">
        <f>IFERROR(VLOOKUP(B714,'MASTER DATA'!$A$1:$E$212,4,FALSE),"")</f>
        <v/>
      </c>
      <c r="G714" s="17"/>
      <c r="H714" s="17"/>
      <c r="I714" s="17"/>
      <c r="J714" s="17" t="b">
        <v>0</v>
      </c>
    </row>
    <row r="715" hidden="1">
      <c r="A715" s="17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 t="str">
        <f>IFERROR(VLOOKUP(B715,'MASTER DATA'!$A$1:$E$212,4,FALSE),"")</f>
        <v/>
      </c>
      <c r="G715" s="17"/>
      <c r="H715" s="17"/>
      <c r="I715" s="17"/>
      <c r="J715" s="17" t="b">
        <v>0</v>
      </c>
    </row>
    <row r="716" hidden="1">
      <c r="A716" s="17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 t="str">
        <f>IFERROR(VLOOKUP(B716,'MASTER DATA'!$A$1:$E$212,4,FALSE),"")</f>
        <v/>
      </c>
      <c r="G716" s="17"/>
      <c r="H716" s="17"/>
      <c r="I716" s="17"/>
      <c r="J716" s="17" t="b">
        <v>0</v>
      </c>
    </row>
    <row r="717" hidden="1">
      <c r="A717" s="17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 t="str">
        <f>IFERROR(VLOOKUP(B717,'MASTER DATA'!$A$1:$E$212,4,FALSE),"")</f>
        <v/>
      </c>
      <c r="G717" s="17"/>
      <c r="H717" s="17"/>
      <c r="I717" s="17"/>
      <c r="J717" s="17" t="b">
        <v>0</v>
      </c>
    </row>
    <row r="718" hidden="1">
      <c r="A718" s="17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 t="str">
        <f>IFERROR(VLOOKUP(B718,'MASTER DATA'!$A$1:$E$212,4,FALSE),"")</f>
        <v/>
      </c>
      <c r="G718" s="17"/>
      <c r="H718" s="17"/>
      <c r="I718" s="17"/>
      <c r="J718" s="17" t="b">
        <v>0</v>
      </c>
    </row>
    <row r="719" hidden="1">
      <c r="A719" s="17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 t="str">
        <f>IFERROR(VLOOKUP(B719,'MASTER DATA'!$A$1:$E$212,4,FALSE),"")</f>
        <v/>
      </c>
      <c r="G719" s="17"/>
      <c r="H719" s="17"/>
      <c r="I719" s="17"/>
      <c r="J719" s="17" t="b">
        <v>0</v>
      </c>
    </row>
    <row r="720" hidden="1">
      <c r="A720" s="17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 t="str">
        <f>IFERROR(VLOOKUP(B720,'MASTER DATA'!$A$1:$E$212,4,FALSE),"")</f>
        <v/>
      </c>
      <c r="G720" s="17"/>
      <c r="H720" s="17"/>
      <c r="I720" s="17"/>
      <c r="J720" s="17" t="b">
        <v>0</v>
      </c>
    </row>
    <row r="721" hidden="1">
      <c r="A721" s="17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 t="str">
        <f>IFERROR(VLOOKUP(B721,'MASTER DATA'!$A$1:$E$212,4,FALSE),"")</f>
        <v/>
      </c>
      <c r="G721" s="17"/>
      <c r="H721" s="17"/>
      <c r="I721" s="17"/>
      <c r="J721" s="17" t="b">
        <v>0</v>
      </c>
    </row>
    <row r="722" hidden="1">
      <c r="A722" s="17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 t="str">
        <f>IFERROR(VLOOKUP(B722,'MASTER DATA'!$A$1:$E$212,4,FALSE),"")</f>
        <v/>
      </c>
      <c r="G722" s="17"/>
      <c r="H722" s="17"/>
      <c r="I722" s="17"/>
      <c r="J722" s="17" t="b">
        <v>0</v>
      </c>
    </row>
    <row r="723" hidden="1">
      <c r="A723" s="17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 t="str">
        <f>IFERROR(VLOOKUP(B723,'MASTER DATA'!$A$1:$E$212,4,FALSE),"")</f>
        <v/>
      </c>
      <c r="G723" s="17"/>
      <c r="H723" s="17"/>
      <c r="I723" s="17"/>
      <c r="J723" s="17" t="b">
        <v>0</v>
      </c>
    </row>
    <row r="724" hidden="1">
      <c r="A724" s="17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 t="str">
        <f>IFERROR(VLOOKUP(B724,'MASTER DATA'!$A$1:$E$212,4,FALSE),"")</f>
        <v/>
      </c>
      <c r="G724" s="17"/>
      <c r="H724" s="17"/>
      <c r="I724" s="17"/>
      <c r="J724" s="17" t="b">
        <v>0</v>
      </c>
    </row>
    <row r="725" hidden="1">
      <c r="A725" s="17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 t="str">
        <f>IFERROR(VLOOKUP(B725,'MASTER DATA'!$A$1:$E$212,4,FALSE),"")</f>
        <v/>
      </c>
      <c r="G725" s="17"/>
      <c r="H725" s="17"/>
      <c r="I725" s="17"/>
      <c r="J725" s="17" t="b">
        <v>0</v>
      </c>
    </row>
    <row r="726" hidden="1">
      <c r="A726" s="17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 t="str">
        <f>IFERROR(VLOOKUP(B726,'MASTER DATA'!$A$1:$E$212,4,FALSE),"")</f>
        <v/>
      </c>
      <c r="G726" s="17"/>
      <c r="H726" s="17"/>
      <c r="I726" s="17"/>
      <c r="J726" s="17" t="b">
        <v>0</v>
      </c>
    </row>
    <row r="727" hidden="1">
      <c r="A727" s="17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 t="str">
        <f>IFERROR(VLOOKUP(B727,'MASTER DATA'!$A$1:$E$212,4,FALSE),"")</f>
        <v/>
      </c>
      <c r="G727" s="17"/>
      <c r="H727" s="17"/>
      <c r="I727" s="17"/>
      <c r="J727" s="17" t="b">
        <v>0</v>
      </c>
    </row>
    <row r="728" hidden="1">
      <c r="A728" s="17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 t="str">
        <f>IFERROR(VLOOKUP(B728,'MASTER DATA'!$A$1:$E$212,4,FALSE),"")</f>
        <v/>
      </c>
      <c r="G728" s="17"/>
      <c r="H728" s="17"/>
      <c r="I728" s="17"/>
      <c r="J728" s="17" t="b">
        <v>0</v>
      </c>
    </row>
    <row r="729" hidden="1">
      <c r="A729" s="17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 t="str">
        <f>IFERROR(VLOOKUP(B729,'MASTER DATA'!$A$1:$E$212,4,FALSE),"")</f>
        <v/>
      </c>
      <c r="G729" s="17"/>
      <c r="H729" s="17"/>
      <c r="I729" s="17"/>
      <c r="J729" s="17" t="b">
        <v>0</v>
      </c>
    </row>
    <row r="730" hidden="1">
      <c r="A730" s="17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 t="str">
        <f>IFERROR(VLOOKUP(B730,'MASTER DATA'!$A$1:$E$212,4,FALSE),"")</f>
        <v/>
      </c>
      <c r="G730" s="17"/>
      <c r="H730" s="17"/>
      <c r="I730" s="17"/>
      <c r="J730" s="17" t="b">
        <v>0</v>
      </c>
    </row>
    <row r="731" hidden="1">
      <c r="A731" s="17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 t="str">
        <f>IFERROR(VLOOKUP(B731,'MASTER DATA'!$A$1:$E$212,4,FALSE),"")</f>
        <v/>
      </c>
      <c r="G731" s="17"/>
      <c r="H731" s="17"/>
      <c r="I731" s="17"/>
      <c r="J731" s="17" t="b">
        <v>0</v>
      </c>
    </row>
    <row r="732" hidden="1">
      <c r="A732" s="17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 t="str">
        <f>IFERROR(VLOOKUP(B732,'MASTER DATA'!$A$1:$E$212,4,FALSE),"")</f>
        <v/>
      </c>
      <c r="G732" s="17"/>
      <c r="H732" s="17"/>
      <c r="I732" s="17"/>
      <c r="J732" s="17" t="b">
        <v>0</v>
      </c>
    </row>
    <row r="733" hidden="1">
      <c r="A733" s="17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 t="str">
        <f>IFERROR(VLOOKUP(B733,'MASTER DATA'!$A$1:$E$212,4,FALSE),"")</f>
        <v/>
      </c>
      <c r="G733" s="17"/>
      <c r="H733" s="17"/>
      <c r="I733" s="17"/>
      <c r="J733" s="17" t="b">
        <v>0</v>
      </c>
    </row>
    <row r="734" hidden="1">
      <c r="A734" s="17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 t="str">
        <f>IFERROR(VLOOKUP(B734,'MASTER DATA'!$A$1:$E$212,4,FALSE),"")</f>
        <v/>
      </c>
      <c r="G734" s="17"/>
      <c r="H734" s="17"/>
      <c r="I734" s="17"/>
      <c r="J734" s="17" t="b">
        <v>0</v>
      </c>
    </row>
    <row r="735" hidden="1">
      <c r="A735" s="17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 t="str">
        <f>IFERROR(VLOOKUP(B735,'MASTER DATA'!$A$1:$E$212,4,FALSE),"")</f>
        <v/>
      </c>
      <c r="G735" s="17"/>
      <c r="H735" s="17"/>
      <c r="I735" s="17"/>
      <c r="J735" s="17" t="b">
        <v>0</v>
      </c>
    </row>
    <row r="736" hidden="1">
      <c r="A736" s="17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 t="str">
        <f>IFERROR(VLOOKUP(B736,'MASTER DATA'!$A$1:$E$212,4,FALSE),"")</f>
        <v/>
      </c>
      <c r="G736" s="17"/>
      <c r="H736" s="17"/>
      <c r="I736" s="17"/>
      <c r="J736" s="17" t="b">
        <v>0</v>
      </c>
    </row>
    <row r="737" hidden="1">
      <c r="A737" s="17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 t="str">
        <f>IFERROR(VLOOKUP(B737,'MASTER DATA'!$A$1:$E$212,4,FALSE),"")</f>
        <v/>
      </c>
      <c r="G737" s="17"/>
      <c r="H737" s="17"/>
      <c r="I737" s="17"/>
      <c r="J737" s="17" t="b">
        <v>0</v>
      </c>
    </row>
    <row r="738" hidden="1">
      <c r="A738" s="17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 t="str">
        <f>IFERROR(VLOOKUP(B738,'MASTER DATA'!$A$1:$E$212,4,FALSE),"")</f>
        <v/>
      </c>
      <c r="G738" s="17"/>
      <c r="H738" s="17"/>
      <c r="I738" s="17"/>
      <c r="J738" s="17" t="b">
        <v>0</v>
      </c>
    </row>
    <row r="739" hidden="1">
      <c r="A739" s="17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 t="str">
        <f>IFERROR(VLOOKUP(B739,'MASTER DATA'!$A$1:$E$212,4,FALSE),"")</f>
        <v/>
      </c>
      <c r="G739" s="17"/>
      <c r="H739" s="17"/>
      <c r="I739" s="17"/>
      <c r="J739" s="17" t="b">
        <v>0</v>
      </c>
    </row>
    <row r="740" hidden="1">
      <c r="A740" s="17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 t="str">
        <f>IFERROR(VLOOKUP(B740,'MASTER DATA'!$A$1:$E$212,4,FALSE),"")</f>
        <v/>
      </c>
      <c r="G740" s="17"/>
      <c r="H740" s="17"/>
      <c r="I740" s="17"/>
      <c r="J740" s="17" t="b">
        <v>0</v>
      </c>
    </row>
    <row r="741" hidden="1">
      <c r="A741" s="17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 t="str">
        <f>IFERROR(VLOOKUP(B741,'MASTER DATA'!$A$1:$E$212,4,FALSE),"")</f>
        <v/>
      </c>
      <c r="G741" s="17"/>
      <c r="H741" s="17"/>
      <c r="I741" s="17"/>
      <c r="J741" s="17" t="b">
        <v>0</v>
      </c>
    </row>
    <row r="742" hidden="1">
      <c r="A742" s="17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 t="str">
        <f>IFERROR(VLOOKUP(B742,'MASTER DATA'!$A$1:$E$212,4,FALSE),"")</f>
        <v/>
      </c>
      <c r="G742" s="17"/>
      <c r="H742" s="17"/>
      <c r="I742" s="17"/>
      <c r="J742" s="17" t="b">
        <v>0</v>
      </c>
    </row>
    <row r="743" hidden="1">
      <c r="A743" s="17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 t="str">
        <f>IFERROR(VLOOKUP(B743,'MASTER DATA'!$A$1:$E$212,4,FALSE),"")</f>
        <v/>
      </c>
      <c r="G743" s="17"/>
      <c r="H743" s="17"/>
      <c r="I743" s="17"/>
      <c r="J743" s="17" t="b">
        <v>0</v>
      </c>
    </row>
    <row r="744" hidden="1">
      <c r="A744" s="17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 t="str">
        <f>IFERROR(VLOOKUP(B744,'MASTER DATA'!$A$1:$E$212,4,FALSE),"")</f>
        <v/>
      </c>
      <c r="G744" s="17"/>
      <c r="H744" s="17"/>
      <c r="I744" s="17"/>
      <c r="J744" s="17" t="b">
        <v>0</v>
      </c>
    </row>
    <row r="745" hidden="1">
      <c r="A745" s="17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 t="str">
        <f>IFERROR(VLOOKUP(B745,'MASTER DATA'!$A$1:$E$212,4,FALSE),"")</f>
        <v/>
      </c>
      <c r="G745" s="17"/>
      <c r="H745" s="17"/>
      <c r="I745" s="17"/>
      <c r="J745" s="17" t="b">
        <v>0</v>
      </c>
    </row>
    <row r="746" hidden="1">
      <c r="A746" s="17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 t="str">
        <f>IFERROR(VLOOKUP(B746,'MASTER DATA'!$A$1:$E$212,4,FALSE),"")</f>
        <v/>
      </c>
      <c r="G746" s="17"/>
      <c r="H746" s="17"/>
      <c r="I746" s="17"/>
      <c r="J746" s="17" t="b">
        <v>0</v>
      </c>
    </row>
    <row r="747" hidden="1">
      <c r="A747" s="17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 t="str">
        <f>IFERROR(VLOOKUP(B747,'MASTER DATA'!$A$1:$E$212,4,FALSE),"")</f>
        <v/>
      </c>
      <c r="G747" s="17"/>
      <c r="H747" s="17"/>
      <c r="I747" s="17"/>
      <c r="J747" s="17" t="b">
        <v>0</v>
      </c>
    </row>
    <row r="748" hidden="1">
      <c r="A748" s="17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 t="str">
        <f>IFERROR(VLOOKUP(B748,'MASTER DATA'!$A$1:$E$212,4,FALSE),"")</f>
        <v/>
      </c>
      <c r="G748" s="17"/>
      <c r="H748" s="17"/>
      <c r="I748" s="17"/>
      <c r="J748" s="17" t="b">
        <v>0</v>
      </c>
    </row>
    <row r="749" hidden="1">
      <c r="A749" s="17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 t="str">
        <f>IFERROR(VLOOKUP(B749,'MASTER DATA'!$A$1:$E$212,4,FALSE),"")</f>
        <v/>
      </c>
      <c r="G749" s="17"/>
      <c r="H749" s="17"/>
      <c r="I749" s="17"/>
      <c r="J749" s="17" t="b">
        <v>0</v>
      </c>
    </row>
    <row r="750" hidden="1">
      <c r="A750" s="17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 t="str">
        <f>IFERROR(VLOOKUP(B750,'MASTER DATA'!$A$1:$E$212,4,FALSE),"")</f>
        <v/>
      </c>
      <c r="G750" s="17"/>
      <c r="H750" s="17"/>
      <c r="I750" s="17"/>
      <c r="J750" s="17" t="b">
        <v>0</v>
      </c>
    </row>
    <row r="751" hidden="1">
      <c r="A751" s="17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 t="str">
        <f>IFERROR(VLOOKUP(B751,'MASTER DATA'!$A$1:$E$212,4,FALSE),"")</f>
        <v/>
      </c>
      <c r="G751" s="17"/>
      <c r="H751" s="17"/>
      <c r="I751" s="17"/>
      <c r="J751" s="17" t="b">
        <v>0</v>
      </c>
    </row>
    <row r="752" hidden="1">
      <c r="A752" s="17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 t="str">
        <f>IFERROR(VLOOKUP(B752,'MASTER DATA'!$A$1:$E$212,4,FALSE),"")</f>
        <v/>
      </c>
      <c r="G752" s="17"/>
      <c r="H752" s="17"/>
      <c r="I752" s="17"/>
      <c r="J752" s="17" t="b">
        <v>0</v>
      </c>
    </row>
    <row r="753" hidden="1">
      <c r="A753" s="17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 t="str">
        <f>IFERROR(VLOOKUP(B753,'MASTER DATA'!$A$1:$E$212,4,FALSE),"")</f>
        <v/>
      </c>
      <c r="G753" s="17"/>
      <c r="H753" s="17"/>
      <c r="I753" s="17"/>
      <c r="J753" s="17" t="b">
        <v>0</v>
      </c>
    </row>
    <row r="754" hidden="1">
      <c r="A754" s="17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 t="str">
        <f>IFERROR(VLOOKUP(B754,'MASTER DATA'!$A$1:$E$212,4,FALSE),"")</f>
        <v/>
      </c>
      <c r="G754" s="17"/>
      <c r="H754" s="17"/>
      <c r="I754" s="17"/>
      <c r="J754" s="17" t="b">
        <v>0</v>
      </c>
    </row>
    <row r="755" hidden="1">
      <c r="A755" s="17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 t="str">
        <f>IFERROR(VLOOKUP(B755,'MASTER DATA'!$A$1:$E$212,4,FALSE),"")</f>
        <v/>
      </c>
      <c r="G755" s="17"/>
      <c r="H755" s="17"/>
      <c r="I755" s="17"/>
      <c r="J755" s="17" t="b">
        <v>0</v>
      </c>
    </row>
    <row r="756" hidden="1">
      <c r="A756" s="17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 t="str">
        <f>IFERROR(VLOOKUP(B756,'MASTER DATA'!$A$1:$E$212,4,FALSE),"")</f>
        <v/>
      </c>
      <c r="G756" s="17"/>
      <c r="H756" s="17"/>
      <c r="I756" s="17"/>
      <c r="J756" s="17" t="b">
        <v>0</v>
      </c>
    </row>
    <row r="757" hidden="1">
      <c r="A757" s="17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 t="str">
        <f>IFERROR(VLOOKUP(B757,'MASTER DATA'!$A$1:$E$212,4,FALSE),"")</f>
        <v/>
      </c>
      <c r="G757" s="17"/>
      <c r="H757" s="17"/>
      <c r="I757" s="17"/>
      <c r="J757" s="17" t="b">
        <v>0</v>
      </c>
    </row>
    <row r="758" hidden="1">
      <c r="A758" s="17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 t="str">
        <f>IFERROR(VLOOKUP(B758,'MASTER DATA'!$A$1:$E$212,4,FALSE),"")</f>
        <v/>
      </c>
      <c r="G758" s="17"/>
      <c r="H758" s="17"/>
      <c r="I758" s="17"/>
      <c r="J758" s="17" t="b">
        <v>0</v>
      </c>
    </row>
    <row r="759" hidden="1">
      <c r="A759" s="17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 t="str">
        <f>IFERROR(VLOOKUP(B759,'MASTER DATA'!$A$1:$E$212,4,FALSE),"")</f>
        <v/>
      </c>
      <c r="G759" s="17"/>
      <c r="H759" s="17"/>
      <c r="I759" s="17"/>
      <c r="J759" s="17" t="b">
        <v>0</v>
      </c>
    </row>
    <row r="760" hidden="1">
      <c r="A760" s="17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 t="str">
        <f>IFERROR(VLOOKUP(B760,'MASTER DATA'!$A$1:$E$212,4,FALSE),"")</f>
        <v/>
      </c>
      <c r="G760" s="17"/>
      <c r="H760" s="17"/>
      <c r="I760" s="17"/>
      <c r="J760" s="17" t="b">
        <v>0</v>
      </c>
    </row>
    <row r="761" hidden="1">
      <c r="A761" s="17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 t="str">
        <f>IFERROR(VLOOKUP(B761,'MASTER DATA'!$A$1:$E$212,4,FALSE),"")</f>
        <v/>
      </c>
      <c r="G761" s="17"/>
      <c r="H761" s="17"/>
      <c r="I761" s="17"/>
      <c r="J761" s="17" t="b">
        <v>0</v>
      </c>
    </row>
    <row r="762" hidden="1">
      <c r="A762" s="17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 t="str">
        <f>IFERROR(VLOOKUP(B762,'MASTER DATA'!$A$1:$E$212,4,FALSE),"")</f>
        <v/>
      </c>
      <c r="G762" s="17"/>
      <c r="H762" s="17"/>
      <c r="I762" s="17"/>
      <c r="J762" s="17" t="b">
        <v>0</v>
      </c>
    </row>
    <row r="763" hidden="1">
      <c r="A763" s="17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 t="str">
        <f>IFERROR(VLOOKUP(B763,'MASTER DATA'!$A$1:$E$212,4,FALSE),"")</f>
        <v/>
      </c>
      <c r="G763" s="17"/>
      <c r="H763" s="17"/>
      <c r="I763" s="17"/>
      <c r="J763" s="17" t="b">
        <v>0</v>
      </c>
    </row>
    <row r="764" hidden="1">
      <c r="A764" s="17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 t="str">
        <f>IFERROR(VLOOKUP(B764,'MASTER DATA'!$A$1:$E$212,4,FALSE),"")</f>
        <v/>
      </c>
      <c r="G764" s="17"/>
      <c r="H764" s="17"/>
      <c r="I764" s="17"/>
      <c r="J764" s="17" t="b">
        <v>0</v>
      </c>
    </row>
    <row r="765" hidden="1">
      <c r="A765" s="17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 t="str">
        <f>IFERROR(VLOOKUP(B765,'MASTER DATA'!$A$1:$E$212,4,FALSE),"")</f>
        <v/>
      </c>
      <c r="G765" s="17"/>
      <c r="H765" s="17"/>
      <c r="I765" s="17"/>
      <c r="J765" s="17" t="b">
        <v>0</v>
      </c>
    </row>
    <row r="766" hidden="1">
      <c r="A766" s="17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 t="str">
        <f>IFERROR(VLOOKUP(B766,'MASTER DATA'!$A$1:$E$212,4,FALSE),"")</f>
        <v/>
      </c>
      <c r="G766" s="17"/>
      <c r="H766" s="17"/>
      <c r="I766" s="17"/>
      <c r="J766" s="17" t="b">
        <v>0</v>
      </c>
    </row>
    <row r="767" hidden="1">
      <c r="A767" s="17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 t="str">
        <f>IFERROR(VLOOKUP(B767,'MASTER DATA'!$A$1:$E$212,4,FALSE),"")</f>
        <v/>
      </c>
      <c r="G767" s="17"/>
      <c r="H767" s="17"/>
      <c r="I767" s="17"/>
      <c r="J767" s="17" t="b">
        <v>0</v>
      </c>
    </row>
    <row r="768" hidden="1">
      <c r="A768" s="17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 t="str">
        <f>IFERROR(VLOOKUP(B768,'MASTER DATA'!$A$1:$E$212,4,FALSE),"")</f>
        <v/>
      </c>
      <c r="G768" s="17"/>
      <c r="H768" s="17"/>
      <c r="I768" s="17"/>
      <c r="J768" s="17" t="b">
        <v>0</v>
      </c>
    </row>
    <row r="769" hidden="1">
      <c r="A769" s="17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 t="str">
        <f>IFERROR(VLOOKUP(B769,'MASTER DATA'!$A$1:$E$212,4,FALSE),"")</f>
        <v/>
      </c>
      <c r="G769" s="17"/>
      <c r="H769" s="17"/>
      <c r="I769" s="17"/>
      <c r="J769" s="17" t="b">
        <v>0</v>
      </c>
    </row>
    <row r="770" hidden="1">
      <c r="A770" s="17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 t="str">
        <f>IFERROR(VLOOKUP(B770,'MASTER DATA'!$A$1:$E$212,4,FALSE),"")</f>
        <v/>
      </c>
      <c r="G770" s="17"/>
      <c r="H770" s="17"/>
      <c r="I770" s="17"/>
      <c r="J770" s="17" t="b">
        <v>0</v>
      </c>
    </row>
    <row r="771" hidden="1">
      <c r="A771" s="17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 t="str">
        <f>IFERROR(VLOOKUP(B771,'MASTER DATA'!$A$1:$E$212,4,FALSE),"")</f>
        <v/>
      </c>
      <c r="G771" s="17"/>
      <c r="H771" s="17"/>
      <c r="I771" s="17"/>
      <c r="J771" s="17" t="b">
        <v>0</v>
      </c>
    </row>
    <row r="772" hidden="1">
      <c r="A772" s="17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 t="str">
        <f>IFERROR(VLOOKUP(B772,'MASTER DATA'!$A$1:$E$212,4,FALSE),"")</f>
        <v/>
      </c>
      <c r="G772" s="17"/>
      <c r="H772" s="17"/>
      <c r="I772" s="17"/>
      <c r="J772" s="17" t="b">
        <v>0</v>
      </c>
    </row>
    <row r="773" hidden="1">
      <c r="A773" s="17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 t="str">
        <f>IFERROR(VLOOKUP(B773,'MASTER DATA'!$A$1:$E$212,4,FALSE),"")</f>
        <v/>
      </c>
      <c r="G773" s="17"/>
      <c r="H773" s="17"/>
      <c r="I773" s="17"/>
      <c r="J773" s="17" t="b">
        <v>0</v>
      </c>
    </row>
    <row r="774" hidden="1">
      <c r="A774" s="17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 t="str">
        <f>IFERROR(VLOOKUP(B774,'MASTER DATA'!$A$1:$E$212,4,FALSE),"")</f>
        <v/>
      </c>
      <c r="G774" s="17"/>
      <c r="H774" s="17"/>
      <c r="I774" s="17"/>
      <c r="J774" s="17" t="b">
        <v>0</v>
      </c>
    </row>
    <row r="775" hidden="1">
      <c r="A775" s="17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 t="str">
        <f>IFERROR(VLOOKUP(B775,'MASTER DATA'!$A$1:$E$212,4,FALSE),"")</f>
        <v/>
      </c>
      <c r="G775" s="17"/>
      <c r="H775" s="17"/>
      <c r="I775" s="17"/>
      <c r="J775" s="17" t="b">
        <v>0</v>
      </c>
    </row>
    <row r="776" hidden="1">
      <c r="A776" s="17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 t="str">
        <f>IFERROR(VLOOKUP(B776,'MASTER DATA'!$A$1:$E$212,4,FALSE),"")</f>
        <v/>
      </c>
      <c r="G776" s="17"/>
      <c r="H776" s="17"/>
      <c r="I776" s="17"/>
      <c r="J776" s="17" t="b">
        <v>0</v>
      </c>
    </row>
    <row r="777" hidden="1">
      <c r="A777" s="17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 t="str">
        <f>IFERROR(VLOOKUP(B777,'MASTER DATA'!$A$1:$E$212,4,FALSE),"")</f>
        <v/>
      </c>
      <c r="G777" s="17"/>
      <c r="H777" s="17"/>
      <c r="I777" s="17"/>
      <c r="J777" s="17" t="b">
        <v>0</v>
      </c>
    </row>
    <row r="778" hidden="1">
      <c r="A778" s="17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 t="str">
        <f>IFERROR(VLOOKUP(B778,'MASTER DATA'!$A$1:$E$212,4,FALSE),"")</f>
        <v/>
      </c>
      <c r="G778" s="17"/>
      <c r="H778" s="17"/>
      <c r="I778" s="17"/>
      <c r="J778" s="17" t="b">
        <v>0</v>
      </c>
    </row>
    <row r="779" hidden="1">
      <c r="A779" s="17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 t="str">
        <f>IFERROR(VLOOKUP(B779,'MASTER DATA'!$A$1:$E$212,4,FALSE),"")</f>
        <v/>
      </c>
      <c r="G779" s="17"/>
      <c r="H779" s="17"/>
      <c r="I779" s="17"/>
      <c r="J779" s="17" t="b">
        <v>0</v>
      </c>
    </row>
    <row r="780" hidden="1">
      <c r="A780" s="17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 t="str">
        <f>IFERROR(VLOOKUP(B780,'MASTER DATA'!$A$1:$E$212,4,FALSE),"")</f>
        <v/>
      </c>
      <c r="G780" s="17"/>
      <c r="H780" s="17"/>
      <c r="I780" s="17"/>
      <c r="J780" s="17" t="b">
        <v>0</v>
      </c>
    </row>
    <row r="781" hidden="1">
      <c r="A781" s="17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 t="str">
        <f>IFERROR(VLOOKUP(B781,'MASTER DATA'!$A$1:$E$212,4,FALSE),"")</f>
        <v/>
      </c>
      <c r="G781" s="17"/>
      <c r="H781" s="17"/>
      <c r="I781" s="17"/>
      <c r="J781" s="17" t="b">
        <v>0</v>
      </c>
    </row>
    <row r="782" hidden="1">
      <c r="A782" s="17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 t="str">
        <f>IFERROR(VLOOKUP(B782,'MASTER DATA'!$A$1:$E$212,4,FALSE),"")</f>
        <v/>
      </c>
      <c r="G782" s="17"/>
      <c r="H782" s="17"/>
      <c r="I782" s="17"/>
      <c r="J782" s="17" t="b">
        <v>0</v>
      </c>
    </row>
    <row r="783" hidden="1">
      <c r="A783" s="17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 t="str">
        <f>IFERROR(VLOOKUP(B783,'MASTER DATA'!$A$1:$E$212,4,FALSE),"")</f>
        <v/>
      </c>
      <c r="G783" s="17"/>
      <c r="H783" s="17"/>
      <c r="I783" s="17"/>
      <c r="J783" s="17" t="b">
        <v>0</v>
      </c>
    </row>
    <row r="784" hidden="1">
      <c r="A784" s="17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 t="str">
        <f>IFERROR(VLOOKUP(B784,'MASTER DATA'!$A$1:$E$212,4,FALSE),"")</f>
        <v/>
      </c>
      <c r="G784" s="17"/>
      <c r="H784" s="17"/>
      <c r="I784" s="17"/>
      <c r="J784" s="17" t="b">
        <v>0</v>
      </c>
    </row>
    <row r="785" hidden="1">
      <c r="A785" s="17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 t="str">
        <f>IFERROR(VLOOKUP(B785,'MASTER DATA'!$A$1:$E$212,4,FALSE),"")</f>
        <v/>
      </c>
      <c r="G785" s="17"/>
      <c r="H785" s="17"/>
      <c r="I785" s="17"/>
      <c r="J785" s="17" t="b">
        <v>0</v>
      </c>
    </row>
    <row r="786" hidden="1">
      <c r="A786" s="17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 t="str">
        <f>IFERROR(VLOOKUP(B786,'MASTER DATA'!$A$1:$E$212,4,FALSE),"")</f>
        <v/>
      </c>
      <c r="G786" s="17"/>
      <c r="H786" s="17"/>
      <c r="I786" s="17"/>
      <c r="J786" s="17" t="b">
        <v>0</v>
      </c>
    </row>
    <row r="787" hidden="1">
      <c r="A787" s="17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 t="str">
        <f>IFERROR(VLOOKUP(B787,'MASTER DATA'!$A$1:$E$212,4,FALSE),"")</f>
        <v/>
      </c>
      <c r="G787" s="17"/>
      <c r="H787" s="17"/>
      <c r="I787" s="17"/>
      <c r="J787" s="17" t="b">
        <v>0</v>
      </c>
    </row>
    <row r="788" hidden="1">
      <c r="A788" s="17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 t="str">
        <f>IFERROR(VLOOKUP(B788,'MASTER DATA'!$A$1:$E$212,4,FALSE),"")</f>
        <v/>
      </c>
      <c r="G788" s="17"/>
      <c r="H788" s="17"/>
      <c r="I788" s="17"/>
      <c r="J788" s="17" t="b">
        <v>0</v>
      </c>
    </row>
    <row r="789" hidden="1">
      <c r="A789" s="17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 t="str">
        <f>IFERROR(VLOOKUP(B789,'MASTER DATA'!$A$1:$E$212,4,FALSE),"")</f>
        <v/>
      </c>
      <c r="G789" s="17"/>
      <c r="H789" s="17"/>
      <c r="I789" s="17"/>
      <c r="J789" s="17" t="b">
        <v>0</v>
      </c>
    </row>
    <row r="790" hidden="1">
      <c r="A790" s="17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 t="str">
        <f>IFERROR(VLOOKUP(B790,'MASTER DATA'!$A$1:$E$212,4,FALSE),"")</f>
        <v/>
      </c>
      <c r="G790" s="17"/>
      <c r="H790" s="17"/>
      <c r="I790" s="17"/>
      <c r="J790" s="17" t="b">
        <v>0</v>
      </c>
    </row>
    <row r="791" hidden="1">
      <c r="A791" s="17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 t="str">
        <f>IFERROR(VLOOKUP(B791,'MASTER DATA'!$A$1:$E$212,4,FALSE),"")</f>
        <v/>
      </c>
      <c r="G791" s="17"/>
      <c r="H791" s="17"/>
      <c r="I791" s="17"/>
      <c r="J791" s="17" t="b">
        <v>0</v>
      </c>
    </row>
    <row r="792" hidden="1">
      <c r="A792" s="17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 t="str">
        <f>IFERROR(VLOOKUP(B792,'MASTER DATA'!$A$1:$E$212,4,FALSE),"")</f>
        <v/>
      </c>
      <c r="G792" s="17"/>
      <c r="H792" s="17"/>
      <c r="I792" s="17"/>
      <c r="J792" s="17" t="b">
        <v>0</v>
      </c>
    </row>
    <row r="793" hidden="1">
      <c r="A793" s="17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 t="str">
        <f>IFERROR(VLOOKUP(B793,'MASTER DATA'!$A$1:$E$212,4,FALSE),"")</f>
        <v/>
      </c>
      <c r="G793" s="17"/>
      <c r="H793" s="17"/>
      <c r="I793" s="17"/>
      <c r="J793" s="17" t="b">
        <v>0</v>
      </c>
    </row>
    <row r="794" hidden="1">
      <c r="A794" s="17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 t="str">
        <f>IFERROR(VLOOKUP(B794,'MASTER DATA'!$A$1:$E$212,4,FALSE),"")</f>
        <v/>
      </c>
      <c r="G794" s="17"/>
      <c r="H794" s="17"/>
      <c r="I794" s="17"/>
      <c r="J794" s="17" t="b">
        <v>0</v>
      </c>
    </row>
    <row r="795" hidden="1">
      <c r="A795" s="17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 t="str">
        <f>IFERROR(VLOOKUP(B795,'MASTER DATA'!$A$1:$E$212,4,FALSE),"")</f>
        <v/>
      </c>
      <c r="G795" s="17"/>
      <c r="H795" s="17"/>
      <c r="I795" s="17"/>
      <c r="J795" s="17" t="b">
        <v>0</v>
      </c>
    </row>
    <row r="796" hidden="1">
      <c r="A796" s="17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 t="str">
        <f>IFERROR(VLOOKUP(B796,'MASTER DATA'!$A$1:$E$212,4,FALSE),"")</f>
        <v/>
      </c>
      <c r="G796" s="17"/>
      <c r="H796" s="17"/>
      <c r="I796" s="17"/>
      <c r="J796" s="17" t="b">
        <v>0</v>
      </c>
    </row>
    <row r="797" hidden="1">
      <c r="A797" s="17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 t="str">
        <f>IFERROR(VLOOKUP(B797,'MASTER DATA'!$A$1:$E$212,4,FALSE),"")</f>
        <v/>
      </c>
      <c r="G797" s="17"/>
      <c r="H797" s="17"/>
      <c r="I797" s="17"/>
      <c r="J797" s="17" t="b">
        <v>0</v>
      </c>
    </row>
    <row r="798" hidden="1">
      <c r="A798" s="17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 t="str">
        <f>IFERROR(VLOOKUP(B798,'MASTER DATA'!$A$1:$E$212,4,FALSE),"")</f>
        <v/>
      </c>
      <c r="G798" s="17"/>
      <c r="H798" s="17"/>
      <c r="I798" s="17"/>
      <c r="J798" s="17" t="b">
        <v>0</v>
      </c>
    </row>
    <row r="799" hidden="1">
      <c r="A799" s="17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 t="str">
        <f>IFERROR(VLOOKUP(B799,'MASTER DATA'!$A$1:$E$212,4,FALSE),"")</f>
        <v/>
      </c>
      <c r="G799" s="17"/>
      <c r="H799" s="17"/>
      <c r="I799" s="17"/>
      <c r="J799" s="17" t="b">
        <v>0</v>
      </c>
    </row>
    <row r="800" hidden="1">
      <c r="A800" s="17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 t="str">
        <f>IFERROR(VLOOKUP(B800,'MASTER DATA'!$A$1:$E$212,4,FALSE),"")</f>
        <v/>
      </c>
      <c r="G800" s="17"/>
      <c r="H800" s="17"/>
      <c r="I800" s="17"/>
      <c r="J800" s="17" t="b">
        <v>0</v>
      </c>
    </row>
    <row r="801" hidden="1">
      <c r="A801" s="17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 t="str">
        <f>IFERROR(VLOOKUP(B801,'MASTER DATA'!$A$1:$E$212,4,FALSE),"")</f>
        <v/>
      </c>
      <c r="G801" s="17"/>
      <c r="H801" s="17"/>
      <c r="I801" s="17"/>
      <c r="J801" s="17" t="b">
        <v>0</v>
      </c>
    </row>
    <row r="802" hidden="1">
      <c r="A802" s="17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 t="str">
        <f>IFERROR(VLOOKUP(B802,'MASTER DATA'!$A$1:$E$212,4,FALSE),"")</f>
        <v/>
      </c>
      <c r="G802" s="17"/>
      <c r="H802" s="17"/>
      <c r="I802" s="17"/>
      <c r="J802" s="17" t="b">
        <v>0</v>
      </c>
    </row>
    <row r="803" hidden="1">
      <c r="A803" s="17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 t="str">
        <f>IFERROR(VLOOKUP(B803,'MASTER DATA'!$A$1:$E$212,4,FALSE),"")</f>
        <v/>
      </c>
      <c r="G803" s="17"/>
      <c r="H803" s="17"/>
      <c r="I803" s="17"/>
      <c r="J803" s="17" t="b">
        <v>0</v>
      </c>
    </row>
    <row r="804" hidden="1">
      <c r="A804" s="17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 t="str">
        <f>IFERROR(VLOOKUP(B804,'MASTER DATA'!$A$1:$E$212,4,FALSE),"")</f>
        <v/>
      </c>
      <c r="G804" s="17"/>
      <c r="H804" s="17"/>
      <c r="I804" s="17"/>
      <c r="J804" s="17" t="b">
        <v>0</v>
      </c>
    </row>
    <row r="805" hidden="1">
      <c r="A805" s="17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 t="str">
        <f>IFERROR(VLOOKUP(B805,'MASTER DATA'!$A$1:$E$212,4,FALSE),"")</f>
        <v/>
      </c>
      <c r="G805" s="17"/>
      <c r="H805" s="17"/>
      <c r="I805" s="17"/>
      <c r="J805" s="17" t="b">
        <v>0</v>
      </c>
    </row>
    <row r="806" hidden="1">
      <c r="A806" s="17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 t="str">
        <f>IFERROR(VLOOKUP(B806,'MASTER DATA'!$A$1:$E$212,4,FALSE),"")</f>
        <v/>
      </c>
      <c r="G806" s="17"/>
      <c r="H806" s="17"/>
      <c r="I806" s="17"/>
      <c r="J806" s="17" t="b">
        <v>0</v>
      </c>
    </row>
    <row r="807" hidden="1">
      <c r="A807" s="17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 t="str">
        <f>IFERROR(VLOOKUP(B807,'MASTER DATA'!$A$1:$E$212,4,FALSE),"")</f>
        <v/>
      </c>
      <c r="G807" s="17"/>
      <c r="H807" s="17"/>
      <c r="I807" s="17"/>
      <c r="J807" s="17" t="b">
        <v>0</v>
      </c>
    </row>
    <row r="808" hidden="1">
      <c r="A808" s="17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 t="str">
        <f>IFERROR(VLOOKUP(B808,'MASTER DATA'!$A$1:$E$212,4,FALSE),"")</f>
        <v/>
      </c>
      <c r="G808" s="17"/>
      <c r="H808" s="17"/>
      <c r="I808" s="17"/>
      <c r="J808" s="17" t="b">
        <v>0</v>
      </c>
    </row>
    <row r="809" hidden="1">
      <c r="A809" s="17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 t="str">
        <f>IFERROR(VLOOKUP(B809,'MASTER DATA'!$A$1:$E$212,4,FALSE),"")</f>
        <v/>
      </c>
      <c r="G809" s="17"/>
      <c r="H809" s="17"/>
      <c r="I809" s="17"/>
      <c r="J809" s="17" t="b">
        <v>0</v>
      </c>
    </row>
    <row r="810" hidden="1">
      <c r="A810" s="17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 t="str">
        <f>IFERROR(VLOOKUP(B810,'MASTER DATA'!$A$1:$E$212,4,FALSE),"")</f>
        <v/>
      </c>
      <c r="G810" s="17"/>
      <c r="H810" s="17"/>
      <c r="I810" s="17"/>
      <c r="J810" s="17" t="b">
        <v>0</v>
      </c>
    </row>
    <row r="811" hidden="1">
      <c r="A811" s="17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 t="str">
        <f>IFERROR(VLOOKUP(B811,'MASTER DATA'!$A$1:$E$212,4,FALSE),"")</f>
        <v/>
      </c>
      <c r="G811" s="17"/>
      <c r="H811" s="17"/>
      <c r="I811" s="17"/>
      <c r="J811" s="17" t="b">
        <v>0</v>
      </c>
    </row>
    <row r="812" hidden="1">
      <c r="A812" s="17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 t="str">
        <f>IFERROR(VLOOKUP(B812,'MASTER DATA'!$A$1:$E$212,4,FALSE),"")</f>
        <v/>
      </c>
      <c r="G812" s="17"/>
      <c r="H812" s="17"/>
      <c r="I812" s="17"/>
      <c r="J812" s="17" t="b">
        <v>0</v>
      </c>
    </row>
    <row r="813" hidden="1">
      <c r="A813" s="17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 t="str">
        <f>IFERROR(VLOOKUP(B813,'MASTER DATA'!$A$1:$E$212,4,FALSE),"")</f>
        <v/>
      </c>
      <c r="G813" s="17"/>
      <c r="H813" s="17"/>
      <c r="I813" s="17"/>
      <c r="J813" s="17" t="b">
        <v>0</v>
      </c>
    </row>
    <row r="814" hidden="1">
      <c r="A814" s="17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 t="str">
        <f>IFERROR(VLOOKUP(B814,'MASTER DATA'!$A$1:$E$212,4,FALSE),"")</f>
        <v/>
      </c>
      <c r="G814" s="17"/>
      <c r="H814" s="17"/>
      <c r="I814" s="17"/>
      <c r="J814" s="17" t="b">
        <v>0</v>
      </c>
    </row>
    <row r="815" hidden="1">
      <c r="A815" s="17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 t="str">
        <f>IFERROR(VLOOKUP(B815,'MASTER DATA'!$A$1:$E$212,4,FALSE),"")</f>
        <v/>
      </c>
      <c r="G815" s="17"/>
      <c r="H815" s="17"/>
      <c r="I815" s="17"/>
      <c r="J815" s="17" t="b">
        <v>0</v>
      </c>
    </row>
    <row r="816" hidden="1">
      <c r="A816" s="17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 t="str">
        <f>IFERROR(VLOOKUP(B816,'MASTER DATA'!$A$1:$E$212,4,FALSE),"")</f>
        <v/>
      </c>
      <c r="G816" s="17"/>
      <c r="H816" s="17"/>
      <c r="I816" s="17"/>
      <c r="J816" s="17" t="b">
        <v>0</v>
      </c>
    </row>
    <row r="817" hidden="1">
      <c r="A817" s="17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 t="str">
        <f>IFERROR(VLOOKUP(B817,'MASTER DATA'!$A$1:$E$212,4,FALSE),"")</f>
        <v/>
      </c>
      <c r="G817" s="17"/>
      <c r="H817" s="17"/>
      <c r="I817" s="17"/>
      <c r="J817" s="17" t="b">
        <v>0</v>
      </c>
    </row>
    <row r="818" hidden="1">
      <c r="A818" s="17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 t="str">
        <f>IFERROR(VLOOKUP(B818,'MASTER DATA'!$A$1:$E$212,4,FALSE),"")</f>
        <v/>
      </c>
      <c r="G818" s="17"/>
      <c r="H818" s="17"/>
      <c r="I818" s="17"/>
      <c r="J818" s="17" t="b">
        <v>0</v>
      </c>
    </row>
    <row r="819" hidden="1">
      <c r="A819" s="17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 t="str">
        <f>IFERROR(VLOOKUP(B819,'MASTER DATA'!$A$1:$E$212,4,FALSE),"")</f>
        <v/>
      </c>
      <c r="G819" s="17"/>
      <c r="H819" s="17"/>
      <c r="I819" s="17"/>
      <c r="J819" s="17" t="b">
        <v>0</v>
      </c>
    </row>
    <row r="820" hidden="1">
      <c r="A820" s="17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 t="str">
        <f>IFERROR(VLOOKUP(B820,'MASTER DATA'!$A$1:$E$212,4,FALSE),"")</f>
        <v/>
      </c>
      <c r="G820" s="17"/>
      <c r="H820" s="17"/>
      <c r="I820" s="17"/>
      <c r="J820" s="17" t="b">
        <v>0</v>
      </c>
    </row>
    <row r="821" hidden="1">
      <c r="A821" s="17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 t="str">
        <f>IFERROR(VLOOKUP(B821,'MASTER DATA'!$A$1:$E$212,4,FALSE),"")</f>
        <v/>
      </c>
      <c r="G821" s="17"/>
      <c r="H821" s="17"/>
      <c r="I821" s="17"/>
      <c r="J821" s="17" t="b">
        <v>0</v>
      </c>
    </row>
    <row r="822" hidden="1">
      <c r="A822" s="17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 t="str">
        <f>IFERROR(VLOOKUP(B822,'MASTER DATA'!$A$1:$E$212,4,FALSE),"")</f>
        <v/>
      </c>
      <c r="G822" s="17"/>
      <c r="H822" s="17"/>
      <c r="I822" s="17"/>
      <c r="J822" s="17" t="b">
        <v>0</v>
      </c>
    </row>
    <row r="823" hidden="1">
      <c r="A823" s="17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 t="str">
        <f>IFERROR(VLOOKUP(B823,'MASTER DATA'!$A$1:$E$212,4,FALSE),"")</f>
        <v/>
      </c>
      <c r="G823" s="17"/>
      <c r="H823" s="17"/>
      <c r="I823" s="17"/>
      <c r="J823" s="17" t="b">
        <v>0</v>
      </c>
    </row>
    <row r="824" hidden="1">
      <c r="A824" s="17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 t="str">
        <f>IFERROR(VLOOKUP(B824,'MASTER DATA'!$A$1:$E$212,4,FALSE),"")</f>
        <v/>
      </c>
      <c r="G824" s="17"/>
      <c r="H824" s="17"/>
      <c r="I824" s="17"/>
      <c r="J824" s="17" t="b">
        <v>0</v>
      </c>
    </row>
    <row r="825" hidden="1">
      <c r="A825" s="17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 t="str">
        <f>IFERROR(VLOOKUP(B825,'MASTER DATA'!$A$1:$E$212,4,FALSE),"")</f>
        <v/>
      </c>
      <c r="G825" s="17"/>
      <c r="H825" s="17"/>
      <c r="I825" s="17"/>
      <c r="J825" s="17" t="b">
        <v>0</v>
      </c>
    </row>
    <row r="826" hidden="1">
      <c r="A826" s="17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 t="str">
        <f>IFERROR(VLOOKUP(B826,'MASTER DATA'!$A$1:$E$212,4,FALSE),"")</f>
        <v/>
      </c>
      <c r="G826" s="17"/>
      <c r="H826" s="17"/>
      <c r="I826" s="17"/>
      <c r="J826" s="17" t="b">
        <v>0</v>
      </c>
    </row>
    <row r="827" hidden="1">
      <c r="A827" s="17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 t="str">
        <f>IFERROR(VLOOKUP(B827,'MASTER DATA'!$A$1:$E$212,4,FALSE),"")</f>
        <v/>
      </c>
      <c r="G827" s="17"/>
      <c r="H827" s="17"/>
      <c r="I827" s="17"/>
      <c r="J827" s="17" t="b">
        <v>0</v>
      </c>
    </row>
    <row r="828" hidden="1">
      <c r="A828" s="17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 t="str">
        <f>IFERROR(VLOOKUP(B828,'MASTER DATA'!$A$1:$E$212,4,FALSE),"")</f>
        <v/>
      </c>
      <c r="G828" s="17"/>
      <c r="H828" s="17"/>
      <c r="I828" s="17"/>
      <c r="J828" s="17" t="b">
        <v>0</v>
      </c>
    </row>
    <row r="829" hidden="1">
      <c r="A829" s="17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 t="str">
        <f>IFERROR(VLOOKUP(B829,'MASTER DATA'!$A$1:$E$212,4,FALSE),"")</f>
        <v/>
      </c>
      <c r="G829" s="17"/>
      <c r="H829" s="17"/>
      <c r="I829" s="17"/>
      <c r="J829" s="17" t="b">
        <v>0</v>
      </c>
    </row>
    <row r="830" hidden="1">
      <c r="A830" s="17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 t="str">
        <f>IFERROR(VLOOKUP(B830,'MASTER DATA'!$A$1:$E$212,4,FALSE),"")</f>
        <v/>
      </c>
      <c r="G830" s="17"/>
      <c r="H830" s="17"/>
      <c r="I830" s="17"/>
      <c r="J830" s="17" t="b">
        <v>0</v>
      </c>
    </row>
    <row r="831" hidden="1">
      <c r="A831" s="17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 t="str">
        <f>IFERROR(VLOOKUP(B831,'MASTER DATA'!$A$1:$E$212,4,FALSE),"")</f>
        <v/>
      </c>
      <c r="G831" s="17"/>
      <c r="H831" s="17"/>
      <c r="I831" s="17"/>
      <c r="J831" s="17" t="b">
        <v>0</v>
      </c>
    </row>
    <row r="832" hidden="1">
      <c r="A832" s="17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 t="str">
        <f>IFERROR(VLOOKUP(B832,'MASTER DATA'!$A$1:$E$212,4,FALSE),"")</f>
        <v/>
      </c>
      <c r="G832" s="17"/>
      <c r="H832" s="17"/>
      <c r="I832" s="17"/>
      <c r="J832" s="17" t="b">
        <v>0</v>
      </c>
    </row>
    <row r="833" hidden="1">
      <c r="A833" s="17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 t="str">
        <f>IFERROR(VLOOKUP(B833,'MASTER DATA'!$A$1:$E$212,4,FALSE),"")</f>
        <v/>
      </c>
      <c r="G833" s="17"/>
      <c r="H833" s="17"/>
      <c r="I833" s="17"/>
      <c r="J833" s="17" t="b">
        <v>0</v>
      </c>
    </row>
    <row r="834" hidden="1">
      <c r="A834" s="17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 t="str">
        <f>IFERROR(VLOOKUP(B834,'MASTER DATA'!$A$1:$E$212,4,FALSE),"")</f>
        <v/>
      </c>
      <c r="G834" s="17"/>
      <c r="H834" s="17"/>
      <c r="I834" s="17"/>
      <c r="J834" s="17" t="b">
        <v>0</v>
      </c>
    </row>
    <row r="835" hidden="1">
      <c r="A835" s="17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 t="str">
        <f>IFERROR(VLOOKUP(B835,'MASTER DATA'!$A$1:$E$212,4,FALSE),"")</f>
        <v/>
      </c>
      <c r="G835" s="17"/>
      <c r="H835" s="17"/>
      <c r="I835" s="17"/>
      <c r="J835" s="17" t="b">
        <v>0</v>
      </c>
    </row>
    <row r="836" hidden="1">
      <c r="A836" s="17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 t="str">
        <f>IFERROR(VLOOKUP(B836,'MASTER DATA'!$A$1:$E$212,4,FALSE),"")</f>
        <v/>
      </c>
      <c r="G836" s="17"/>
      <c r="H836" s="17"/>
      <c r="I836" s="17"/>
      <c r="J836" s="17" t="b">
        <v>0</v>
      </c>
    </row>
    <row r="837" hidden="1">
      <c r="A837" s="17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 t="str">
        <f>IFERROR(VLOOKUP(B837,'MASTER DATA'!$A$1:$E$212,4,FALSE),"")</f>
        <v/>
      </c>
      <c r="G837" s="17"/>
      <c r="H837" s="17"/>
      <c r="I837" s="17"/>
      <c r="J837" s="17" t="b">
        <v>0</v>
      </c>
    </row>
    <row r="838" hidden="1">
      <c r="A838" s="17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 t="str">
        <f>IFERROR(VLOOKUP(B838,'MASTER DATA'!$A$1:$E$212,4,FALSE),"")</f>
        <v/>
      </c>
      <c r="G838" s="17"/>
      <c r="H838" s="17"/>
      <c r="I838" s="17"/>
      <c r="J838" s="17" t="b">
        <v>0</v>
      </c>
    </row>
    <row r="839" hidden="1">
      <c r="A839" s="17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 t="str">
        <f>IFERROR(VLOOKUP(B839,'MASTER DATA'!$A$1:$E$212,4,FALSE),"")</f>
        <v/>
      </c>
      <c r="G839" s="17"/>
      <c r="H839" s="17"/>
      <c r="I839" s="17"/>
      <c r="J839" s="17" t="b">
        <v>0</v>
      </c>
    </row>
    <row r="840" hidden="1">
      <c r="A840" s="17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 t="str">
        <f>IFERROR(VLOOKUP(B840,'MASTER DATA'!$A$1:$E$212,4,FALSE),"")</f>
        <v/>
      </c>
      <c r="G840" s="17"/>
      <c r="H840" s="17"/>
      <c r="I840" s="17"/>
      <c r="J840" s="17" t="b">
        <v>0</v>
      </c>
    </row>
    <row r="841" hidden="1">
      <c r="A841" s="17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 t="str">
        <f>IFERROR(VLOOKUP(B841,'MASTER DATA'!$A$1:$E$212,4,FALSE),"")</f>
        <v/>
      </c>
      <c r="G841" s="17"/>
      <c r="H841" s="17"/>
      <c r="I841" s="17"/>
      <c r="J841" s="17" t="b">
        <v>0</v>
      </c>
    </row>
    <row r="842" hidden="1">
      <c r="A842" s="17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 t="str">
        <f>IFERROR(VLOOKUP(B842,'MASTER DATA'!$A$1:$E$212,4,FALSE),"")</f>
        <v/>
      </c>
      <c r="G842" s="17"/>
      <c r="H842" s="17"/>
      <c r="I842" s="17"/>
      <c r="J842" s="17" t="b">
        <v>0</v>
      </c>
    </row>
    <row r="843" hidden="1">
      <c r="A843" s="17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 t="str">
        <f>IFERROR(VLOOKUP(B843,'MASTER DATA'!$A$1:$E$212,4,FALSE),"")</f>
        <v/>
      </c>
      <c r="G843" s="17"/>
      <c r="H843" s="17"/>
      <c r="I843" s="17"/>
      <c r="J843" s="17" t="b">
        <v>0</v>
      </c>
    </row>
    <row r="844" hidden="1">
      <c r="A844" s="17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 t="str">
        <f>IFERROR(VLOOKUP(B844,'MASTER DATA'!$A$1:$E$212,4,FALSE),"")</f>
        <v/>
      </c>
      <c r="G844" s="17"/>
      <c r="H844" s="17"/>
      <c r="I844" s="17"/>
      <c r="J844" s="17" t="b">
        <v>0</v>
      </c>
    </row>
    <row r="845" hidden="1">
      <c r="A845" s="17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 t="str">
        <f>IFERROR(VLOOKUP(B845,'MASTER DATA'!$A$1:$E$212,4,FALSE),"")</f>
        <v/>
      </c>
      <c r="G845" s="17"/>
      <c r="H845" s="17"/>
      <c r="I845" s="17"/>
      <c r="J845" s="17" t="b">
        <v>0</v>
      </c>
    </row>
    <row r="846" hidden="1">
      <c r="A846" s="17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 t="str">
        <f>IFERROR(VLOOKUP(B846,'MASTER DATA'!$A$1:$E$212,4,FALSE),"")</f>
        <v/>
      </c>
      <c r="G846" s="17"/>
      <c r="H846" s="17"/>
      <c r="I846" s="17"/>
      <c r="J846" s="17" t="b">
        <v>0</v>
      </c>
    </row>
    <row r="847" hidden="1">
      <c r="A847" s="17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 t="str">
        <f>IFERROR(VLOOKUP(B847,'MASTER DATA'!$A$1:$E$212,4,FALSE),"")</f>
        <v/>
      </c>
      <c r="G847" s="17"/>
      <c r="H847" s="17"/>
      <c r="I847" s="17"/>
      <c r="J847" s="17" t="b">
        <v>0</v>
      </c>
    </row>
    <row r="848" hidden="1">
      <c r="A848" s="17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 t="str">
        <f>IFERROR(VLOOKUP(B848,'MASTER DATA'!$A$1:$E$212,4,FALSE),"")</f>
        <v/>
      </c>
      <c r="G848" s="17"/>
      <c r="H848" s="17"/>
      <c r="I848" s="17"/>
      <c r="J848" s="17" t="b">
        <v>0</v>
      </c>
    </row>
    <row r="849" hidden="1">
      <c r="A849" s="17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 t="str">
        <f>IFERROR(VLOOKUP(B849,'MASTER DATA'!$A$1:$E$212,4,FALSE),"")</f>
        <v/>
      </c>
      <c r="G849" s="17"/>
      <c r="H849" s="17"/>
      <c r="I849" s="17"/>
      <c r="J849" s="17" t="b">
        <v>0</v>
      </c>
    </row>
    <row r="850" hidden="1">
      <c r="A850" s="17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 t="str">
        <f>IFERROR(VLOOKUP(B850,'MASTER DATA'!$A$1:$E$212,4,FALSE),"")</f>
        <v/>
      </c>
      <c r="G850" s="17"/>
      <c r="H850" s="17"/>
      <c r="I850" s="17"/>
      <c r="J850" s="17" t="b">
        <v>0</v>
      </c>
    </row>
    <row r="851" hidden="1">
      <c r="A851" s="17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 t="str">
        <f>IFERROR(VLOOKUP(B851,'MASTER DATA'!$A$1:$E$212,4,FALSE),"")</f>
        <v/>
      </c>
      <c r="G851" s="17"/>
      <c r="H851" s="17"/>
      <c r="I851" s="17"/>
      <c r="J851" s="17" t="b">
        <v>0</v>
      </c>
    </row>
    <row r="852" hidden="1">
      <c r="A852" s="17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 t="str">
        <f>IFERROR(VLOOKUP(B852,'MASTER DATA'!$A$1:$E$212,4,FALSE),"")</f>
        <v/>
      </c>
      <c r="G852" s="17"/>
      <c r="H852" s="17"/>
      <c r="I852" s="17"/>
      <c r="J852" s="17" t="b">
        <v>0</v>
      </c>
    </row>
    <row r="853" hidden="1">
      <c r="A853" s="17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 t="str">
        <f>IFERROR(VLOOKUP(B853,'MASTER DATA'!$A$1:$E$212,4,FALSE),"")</f>
        <v/>
      </c>
      <c r="G853" s="17"/>
      <c r="H853" s="17"/>
      <c r="I853" s="17"/>
      <c r="J853" s="17" t="b">
        <v>0</v>
      </c>
    </row>
    <row r="854" hidden="1">
      <c r="A854" s="17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 t="str">
        <f>IFERROR(VLOOKUP(B854,'MASTER DATA'!$A$1:$E$212,4,FALSE),"")</f>
        <v/>
      </c>
      <c r="G854" s="17"/>
      <c r="H854" s="17"/>
      <c r="I854" s="17"/>
      <c r="J854" s="17" t="b">
        <v>0</v>
      </c>
    </row>
    <row r="855" hidden="1">
      <c r="A855" s="17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 t="str">
        <f>IFERROR(VLOOKUP(B855,'MASTER DATA'!$A$1:$E$212,4,FALSE),"")</f>
        <v/>
      </c>
      <c r="G855" s="17"/>
      <c r="H855" s="17"/>
      <c r="I855" s="17"/>
      <c r="J855" s="17" t="b">
        <v>0</v>
      </c>
    </row>
    <row r="856" hidden="1">
      <c r="A856" s="17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 t="str">
        <f>IFERROR(VLOOKUP(B856,'MASTER DATA'!$A$1:$E$212,4,FALSE),"")</f>
        <v/>
      </c>
      <c r="G856" s="17"/>
      <c r="H856" s="17"/>
      <c r="I856" s="17"/>
      <c r="J856" s="17" t="b">
        <v>0</v>
      </c>
    </row>
    <row r="857" hidden="1">
      <c r="A857" s="17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 t="str">
        <f>IFERROR(VLOOKUP(B857,'MASTER DATA'!$A$1:$E$212,4,FALSE),"")</f>
        <v/>
      </c>
      <c r="G857" s="17"/>
      <c r="H857" s="17"/>
      <c r="I857" s="17"/>
      <c r="J857" s="17" t="b">
        <v>0</v>
      </c>
    </row>
    <row r="858" hidden="1">
      <c r="A858" s="17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 t="str">
        <f>IFERROR(VLOOKUP(B858,'MASTER DATA'!$A$1:$E$212,4,FALSE),"")</f>
        <v/>
      </c>
      <c r="G858" s="17"/>
      <c r="H858" s="17"/>
      <c r="I858" s="17"/>
      <c r="J858" s="17" t="b">
        <v>0</v>
      </c>
    </row>
    <row r="859" hidden="1">
      <c r="A859" s="17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 t="str">
        <f>IFERROR(VLOOKUP(B859,'MASTER DATA'!$A$1:$E$212,4,FALSE),"")</f>
        <v/>
      </c>
      <c r="G859" s="17"/>
      <c r="H859" s="17"/>
      <c r="I859" s="17"/>
      <c r="J859" s="17" t="b">
        <v>0</v>
      </c>
    </row>
    <row r="860" hidden="1">
      <c r="A860" s="17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 t="str">
        <f>IFERROR(VLOOKUP(B860,'MASTER DATA'!$A$1:$E$212,4,FALSE),"")</f>
        <v/>
      </c>
      <c r="G860" s="17"/>
      <c r="H860" s="17"/>
      <c r="I860" s="17"/>
      <c r="J860" s="17" t="b">
        <v>0</v>
      </c>
    </row>
    <row r="861" hidden="1">
      <c r="A861" s="17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 t="str">
        <f>IFERROR(VLOOKUP(B861,'MASTER DATA'!$A$1:$E$212,4,FALSE),"")</f>
        <v/>
      </c>
      <c r="G861" s="17"/>
      <c r="H861" s="17"/>
      <c r="I861" s="17"/>
      <c r="J861" s="17" t="b">
        <v>0</v>
      </c>
    </row>
    <row r="862" hidden="1">
      <c r="A862" s="17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 t="str">
        <f>IFERROR(VLOOKUP(B862,'MASTER DATA'!$A$1:$E$212,4,FALSE),"")</f>
        <v/>
      </c>
      <c r="G862" s="17"/>
      <c r="H862" s="17"/>
      <c r="I862" s="17"/>
      <c r="J862" s="17" t="b">
        <v>0</v>
      </c>
    </row>
    <row r="863" hidden="1">
      <c r="A863" s="17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 t="str">
        <f>IFERROR(VLOOKUP(B863,'MASTER DATA'!$A$1:$E$212,4,FALSE),"")</f>
        <v/>
      </c>
      <c r="G863" s="17"/>
      <c r="H863" s="17"/>
      <c r="I863" s="17"/>
      <c r="J863" s="17" t="b">
        <v>0</v>
      </c>
    </row>
    <row r="864" hidden="1">
      <c r="A864" s="17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 t="str">
        <f>IFERROR(VLOOKUP(B864,'MASTER DATA'!$A$1:$E$212,4,FALSE),"")</f>
        <v/>
      </c>
      <c r="G864" s="17"/>
      <c r="H864" s="17"/>
      <c r="I864" s="17"/>
      <c r="J864" s="17" t="b">
        <v>0</v>
      </c>
    </row>
    <row r="865" hidden="1">
      <c r="A865" s="17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 t="str">
        <f>IFERROR(VLOOKUP(B865,'MASTER DATA'!$A$1:$E$212,4,FALSE),"")</f>
        <v/>
      </c>
      <c r="G865" s="17"/>
      <c r="H865" s="17"/>
      <c r="I865" s="17"/>
      <c r="J865" s="17" t="b">
        <v>0</v>
      </c>
    </row>
    <row r="866" hidden="1">
      <c r="A866" s="17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 t="str">
        <f>IFERROR(VLOOKUP(B866,'MASTER DATA'!$A$1:$E$212,4,FALSE),"")</f>
        <v/>
      </c>
      <c r="G866" s="17"/>
      <c r="H866" s="17"/>
      <c r="I866" s="17"/>
      <c r="J866" s="17" t="b">
        <v>0</v>
      </c>
    </row>
    <row r="867" hidden="1">
      <c r="A867" s="17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 t="str">
        <f>IFERROR(VLOOKUP(B867,'MASTER DATA'!$A$1:$E$212,4,FALSE),"")</f>
        <v/>
      </c>
      <c r="G867" s="17"/>
      <c r="H867" s="17"/>
      <c r="I867" s="17"/>
      <c r="J867" s="17" t="b">
        <v>0</v>
      </c>
    </row>
    <row r="868" hidden="1">
      <c r="A868" s="17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 t="str">
        <f>IFERROR(VLOOKUP(B868,'MASTER DATA'!$A$1:$E$212,4,FALSE),"")</f>
        <v/>
      </c>
      <c r="G868" s="17"/>
      <c r="H868" s="17"/>
      <c r="I868" s="17"/>
      <c r="J868" s="17" t="b">
        <v>0</v>
      </c>
    </row>
    <row r="869" hidden="1">
      <c r="A869" s="17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 t="str">
        <f>IFERROR(VLOOKUP(B869,'MASTER DATA'!$A$1:$E$212,4,FALSE),"")</f>
        <v/>
      </c>
      <c r="G869" s="17"/>
      <c r="H869" s="17"/>
      <c r="I869" s="17"/>
      <c r="J869" s="17" t="b">
        <v>0</v>
      </c>
    </row>
    <row r="870" hidden="1">
      <c r="A870" s="17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 t="str">
        <f>IFERROR(VLOOKUP(B870,'MASTER DATA'!$A$1:$E$212,4,FALSE),"")</f>
        <v/>
      </c>
      <c r="G870" s="17"/>
      <c r="H870" s="17"/>
      <c r="I870" s="17"/>
      <c r="J870" s="17" t="b">
        <v>0</v>
      </c>
    </row>
    <row r="871" hidden="1">
      <c r="A871" s="17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 t="str">
        <f>IFERROR(VLOOKUP(B871,'MASTER DATA'!$A$1:$E$212,4,FALSE),"")</f>
        <v/>
      </c>
      <c r="G871" s="17"/>
      <c r="H871" s="17"/>
      <c r="I871" s="17"/>
      <c r="J871" s="17" t="b">
        <v>0</v>
      </c>
    </row>
    <row r="872" hidden="1">
      <c r="A872" s="17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 t="str">
        <f>IFERROR(VLOOKUP(B872,'MASTER DATA'!$A$1:$E$212,4,FALSE),"")</f>
        <v/>
      </c>
      <c r="G872" s="17"/>
      <c r="H872" s="17"/>
      <c r="I872" s="17"/>
      <c r="J872" s="17" t="b">
        <v>0</v>
      </c>
    </row>
    <row r="873" hidden="1">
      <c r="A873" s="17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 t="str">
        <f>IFERROR(VLOOKUP(B873,'MASTER DATA'!$A$1:$E$212,4,FALSE),"")</f>
        <v/>
      </c>
      <c r="G873" s="17"/>
      <c r="H873" s="17"/>
      <c r="I873" s="17"/>
      <c r="J873" s="17" t="b">
        <v>0</v>
      </c>
    </row>
    <row r="874" hidden="1">
      <c r="A874" s="17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 t="str">
        <f>IFERROR(VLOOKUP(B874,'MASTER DATA'!$A$1:$E$212,4,FALSE),"")</f>
        <v/>
      </c>
      <c r="G874" s="17"/>
      <c r="H874" s="17"/>
      <c r="I874" s="17"/>
      <c r="J874" s="17" t="b">
        <v>0</v>
      </c>
    </row>
    <row r="875" hidden="1">
      <c r="A875" s="17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 t="str">
        <f>IFERROR(VLOOKUP(B875,'MASTER DATA'!$A$1:$E$212,4,FALSE),"")</f>
        <v/>
      </c>
      <c r="G875" s="17"/>
      <c r="H875" s="17"/>
      <c r="I875" s="17"/>
      <c r="J875" s="17" t="b">
        <v>0</v>
      </c>
    </row>
    <row r="876" hidden="1">
      <c r="A876" s="17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 t="str">
        <f>IFERROR(VLOOKUP(B876,'MASTER DATA'!$A$1:$E$212,4,FALSE),"")</f>
        <v/>
      </c>
      <c r="G876" s="17"/>
      <c r="H876" s="17"/>
      <c r="I876" s="17"/>
      <c r="J876" s="17" t="b">
        <v>0</v>
      </c>
    </row>
    <row r="877" hidden="1">
      <c r="A877" s="17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 t="str">
        <f>IFERROR(VLOOKUP(B877,'MASTER DATA'!$A$1:$E$212,4,FALSE),"")</f>
        <v/>
      </c>
      <c r="G877" s="17"/>
      <c r="H877" s="17"/>
      <c r="I877" s="17"/>
      <c r="J877" s="17" t="b">
        <v>0</v>
      </c>
    </row>
    <row r="878" hidden="1">
      <c r="A878" s="17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 t="str">
        <f>IFERROR(VLOOKUP(B878,'MASTER DATA'!$A$1:$E$212,4,FALSE),"")</f>
        <v/>
      </c>
      <c r="G878" s="17"/>
      <c r="H878" s="17"/>
      <c r="I878" s="17"/>
      <c r="J878" s="17" t="b">
        <v>0</v>
      </c>
    </row>
    <row r="879" hidden="1">
      <c r="A879" s="17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 t="str">
        <f>IFERROR(VLOOKUP(B879,'MASTER DATA'!$A$1:$E$212,4,FALSE),"")</f>
        <v/>
      </c>
      <c r="G879" s="17"/>
      <c r="H879" s="17"/>
      <c r="I879" s="17"/>
      <c r="J879" s="17" t="b">
        <v>0</v>
      </c>
    </row>
    <row r="880" hidden="1">
      <c r="A880" s="17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 t="str">
        <f>IFERROR(VLOOKUP(B880,'MASTER DATA'!$A$1:$E$212,4,FALSE),"")</f>
        <v/>
      </c>
      <c r="G880" s="17"/>
      <c r="H880" s="17"/>
      <c r="I880" s="17"/>
      <c r="J880" s="17" t="b">
        <v>0</v>
      </c>
    </row>
    <row r="881" hidden="1">
      <c r="A881" s="17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 t="str">
        <f>IFERROR(VLOOKUP(B881,'MASTER DATA'!$A$1:$E$212,4,FALSE),"")</f>
        <v/>
      </c>
      <c r="G881" s="17"/>
      <c r="H881" s="17"/>
      <c r="I881" s="17"/>
      <c r="J881" s="17" t="b">
        <v>0</v>
      </c>
    </row>
    <row r="882" hidden="1">
      <c r="A882" s="17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 t="str">
        <f>IFERROR(VLOOKUP(B882,'MASTER DATA'!$A$1:$E$212,4,FALSE),"")</f>
        <v/>
      </c>
      <c r="G882" s="17"/>
      <c r="H882" s="17"/>
      <c r="I882" s="17"/>
      <c r="J882" s="17" t="b">
        <v>0</v>
      </c>
    </row>
    <row r="883" hidden="1">
      <c r="A883" s="17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 t="str">
        <f>IFERROR(VLOOKUP(B883,'MASTER DATA'!$A$1:$E$212,4,FALSE),"")</f>
        <v/>
      </c>
      <c r="G883" s="17"/>
      <c r="H883" s="17"/>
      <c r="I883" s="17"/>
      <c r="J883" s="17" t="b">
        <v>0</v>
      </c>
    </row>
    <row r="884" hidden="1">
      <c r="A884" s="17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 t="str">
        <f>IFERROR(VLOOKUP(B884,'MASTER DATA'!$A$1:$E$212,4,FALSE),"")</f>
        <v/>
      </c>
      <c r="G884" s="17"/>
      <c r="H884" s="17"/>
      <c r="I884" s="17"/>
      <c r="J884" s="17" t="b">
        <v>0</v>
      </c>
    </row>
    <row r="885" hidden="1">
      <c r="A885" s="17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 t="str">
        <f>IFERROR(VLOOKUP(B885,'MASTER DATA'!$A$1:$E$212,4,FALSE),"")</f>
        <v/>
      </c>
      <c r="G885" s="17"/>
      <c r="H885" s="17"/>
      <c r="I885" s="17"/>
      <c r="J885" s="17" t="b">
        <v>0</v>
      </c>
    </row>
    <row r="886" hidden="1">
      <c r="A886" s="17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 t="str">
        <f>IFERROR(VLOOKUP(B886,'MASTER DATA'!$A$1:$E$212,4,FALSE),"")</f>
        <v/>
      </c>
      <c r="G886" s="17"/>
      <c r="H886" s="17"/>
      <c r="I886" s="17"/>
      <c r="J886" s="17" t="b">
        <v>0</v>
      </c>
    </row>
    <row r="887" hidden="1">
      <c r="A887" s="17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 t="str">
        <f>IFERROR(VLOOKUP(B887,'MASTER DATA'!$A$1:$E$212,4,FALSE),"")</f>
        <v/>
      </c>
      <c r="G887" s="17"/>
      <c r="H887" s="17"/>
      <c r="I887" s="17"/>
      <c r="J887" s="17" t="b">
        <v>0</v>
      </c>
    </row>
    <row r="888" hidden="1">
      <c r="A888" s="17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 t="str">
        <f>IFERROR(VLOOKUP(B888,'MASTER DATA'!$A$1:$E$212,4,FALSE),"")</f>
        <v/>
      </c>
      <c r="G888" s="17"/>
      <c r="H888" s="17"/>
      <c r="I888" s="17"/>
      <c r="J888" s="17" t="b">
        <v>0</v>
      </c>
    </row>
    <row r="889" hidden="1">
      <c r="A889" s="17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 t="str">
        <f>IFERROR(VLOOKUP(B889,'MASTER DATA'!$A$1:$E$212,4,FALSE),"")</f>
        <v/>
      </c>
      <c r="G889" s="17"/>
      <c r="H889" s="17"/>
      <c r="I889" s="17"/>
      <c r="J889" s="17" t="b">
        <v>0</v>
      </c>
    </row>
    <row r="890" hidden="1">
      <c r="A890" s="17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 t="str">
        <f>IFERROR(VLOOKUP(B890,'MASTER DATA'!$A$1:$E$212,4,FALSE),"")</f>
        <v/>
      </c>
      <c r="G890" s="17"/>
      <c r="H890" s="17"/>
      <c r="I890" s="17"/>
      <c r="J890" s="17" t="b">
        <v>0</v>
      </c>
    </row>
    <row r="891" hidden="1">
      <c r="A891" s="17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 t="str">
        <f>IFERROR(VLOOKUP(B891,'MASTER DATA'!$A$1:$E$212,4,FALSE),"")</f>
        <v/>
      </c>
      <c r="G891" s="17"/>
      <c r="H891" s="17"/>
      <c r="I891" s="17"/>
      <c r="J891" s="17" t="b">
        <v>0</v>
      </c>
    </row>
    <row r="892" hidden="1">
      <c r="A892" s="17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 t="str">
        <f>IFERROR(VLOOKUP(B892,'MASTER DATA'!$A$1:$E$212,4,FALSE),"")</f>
        <v/>
      </c>
      <c r="G892" s="17"/>
      <c r="H892" s="17"/>
      <c r="I892" s="17"/>
      <c r="J892" s="17" t="b">
        <v>0</v>
      </c>
    </row>
    <row r="893" hidden="1">
      <c r="A893" s="17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 t="str">
        <f>IFERROR(VLOOKUP(B893,'MASTER DATA'!$A$1:$E$212,4,FALSE),"")</f>
        <v/>
      </c>
      <c r="G893" s="17"/>
      <c r="H893" s="17"/>
      <c r="I893" s="17"/>
      <c r="J893" s="17" t="b">
        <v>0</v>
      </c>
    </row>
    <row r="894" hidden="1">
      <c r="A894" s="17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 t="str">
        <f>IFERROR(VLOOKUP(B894,'MASTER DATA'!$A$1:$E$212,4,FALSE),"")</f>
        <v/>
      </c>
      <c r="G894" s="17"/>
      <c r="H894" s="17"/>
      <c r="I894" s="17"/>
      <c r="J894" s="17" t="b">
        <v>0</v>
      </c>
    </row>
    <row r="895" hidden="1">
      <c r="A895" s="17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 t="str">
        <f>IFERROR(VLOOKUP(B895,'MASTER DATA'!$A$1:$E$212,4,FALSE),"")</f>
        <v/>
      </c>
      <c r="G895" s="17"/>
      <c r="H895" s="17"/>
      <c r="I895" s="17"/>
      <c r="J895" s="17" t="b">
        <v>0</v>
      </c>
    </row>
    <row r="896" hidden="1">
      <c r="A896" s="17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 t="str">
        <f>IFERROR(VLOOKUP(B896,'MASTER DATA'!$A$1:$E$212,4,FALSE),"")</f>
        <v/>
      </c>
      <c r="G896" s="17"/>
      <c r="H896" s="17"/>
      <c r="I896" s="17"/>
      <c r="J896" s="17" t="b">
        <v>0</v>
      </c>
    </row>
    <row r="897" hidden="1">
      <c r="A897" s="17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 t="str">
        <f>IFERROR(VLOOKUP(B897,'MASTER DATA'!$A$1:$E$212,4,FALSE),"")</f>
        <v/>
      </c>
      <c r="G897" s="17"/>
      <c r="H897" s="17"/>
      <c r="I897" s="17"/>
      <c r="J897" s="17" t="b">
        <v>0</v>
      </c>
    </row>
    <row r="898" hidden="1">
      <c r="A898" s="17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 t="str">
        <f>IFERROR(VLOOKUP(B898,'MASTER DATA'!$A$1:$E$212,4,FALSE),"")</f>
        <v/>
      </c>
      <c r="G898" s="17"/>
      <c r="H898" s="17"/>
      <c r="I898" s="17"/>
      <c r="J898" s="17" t="b">
        <v>0</v>
      </c>
    </row>
    <row r="899" hidden="1">
      <c r="A899" s="17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 t="str">
        <f>IFERROR(VLOOKUP(B899,'MASTER DATA'!$A$1:$E$212,4,FALSE),"")</f>
        <v/>
      </c>
      <c r="G899" s="17"/>
      <c r="H899" s="17"/>
      <c r="I899" s="17"/>
      <c r="J899" s="17" t="b">
        <v>0</v>
      </c>
    </row>
    <row r="900" hidden="1">
      <c r="A900" s="17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 t="str">
        <f>IFERROR(VLOOKUP(B900,'MASTER DATA'!$A$1:$E$212,4,FALSE),"")</f>
        <v/>
      </c>
      <c r="G900" s="17"/>
      <c r="H900" s="17"/>
      <c r="I900" s="17"/>
      <c r="J900" s="17" t="b">
        <v>0</v>
      </c>
    </row>
    <row r="901" hidden="1">
      <c r="A901" s="17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 t="str">
        <f>IFERROR(VLOOKUP(B901,'MASTER DATA'!$A$1:$E$212,4,FALSE),"")</f>
        <v/>
      </c>
      <c r="G901" s="17"/>
      <c r="H901" s="17"/>
      <c r="I901" s="17"/>
      <c r="J901" s="17" t="b">
        <v>0</v>
      </c>
    </row>
    <row r="902" hidden="1">
      <c r="A902" s="17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 t="str">
        <f>IFERROR(VLOOKUP(B902,'MASTER DATA'!$A$1:$E$212,4,FALSE),"")</f>
        <v/>
      </c>
      <c r="G902" s="17"/>
      <c r="H902" s="17"/>
      <c r="I902" s="17"/>
      <c r="J902" s="17" t="b">
        <v>0</v>
      </c>
    </row>
    <row r="903" hidden="1">
      <c r="A903" s="17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 t="str">
        <f>IFERROR(VLOOKUP(B903,'MASTER DATA'!$A$1:$E$212,4,FALSE),"")</f>
        <v/>
      </c>
      <c r="G903" s="17"/>
      <c r="H903" s="17"/>
      <c r="I903" s="17"/>
      <c r="J903" s="17" t="b">
        <v>0</v>
      </c>
    </row>
    <row r="904" hidden="1">
      <c r="A904" s="17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 t="str">
        <f>IFERROR(VLOOKUP(B904,'MASTER DATA'!$A$1:$E$212,4,FALSE),"")</f>
        <v/>
      </c>
      <c r="G904" s="17"/>
      <c r="H904" s="17"/>
      <c r="I904" s="17"/>
      <c r="J904" s="17" t="b">
        <v>0</v>
      </c>
    </row>
    <row r="905" hidden="1">
      <c r="A905" s="17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 t="str">
        <f>IFERROR(VLOOKUP(B905,'MASTER DATA'!$A$1:$E$212,4,FALSE),"")</f>
        <v/>
      </c>
      <c r="G905" s="17"/>
      <c r="H905" s="17"/>
      <c r="I905" s="17"/>
      <c r="J905" s="17" t="b">
        <v>0</v>
      </c>
    </row>
    <row r="906" hidden="1">
      <c r="A906" s="17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 t="str">
        <f>IFERROR(VLOOKUP(B906,'MASTER DATA'!$A$1:$E$212,4,FALSE),"")</f>
        <v/>
      </c>
      <c r="G906" s="17"/>
      <c r="H906" s="17"/>
      <c r="I906" s="17"/>
      <c r="J906" s="17" t="b">
        <v>0</v>
      </c>
    </row>
    <row r="907" hidden="1">
      <c r="A907" s="17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 t="str">
        <f>IFERROR(VLOOKUP(B907,'MASTER DATA'!$A$1:$E$212,4,FALSE),"")</f>
        <v/>
      </c>
      <c r="G907" s="17"/>
      <c r="H907" s="17"/>
      <c r="I907" s="17"/>
      <c r="J907" s="17" t="b">
        <v>0</v>
      </c>
    </row>
    <row r="908" hidden="1">
      <c r="A908" s="17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 t="str">
        <f>IFERROR(VLOOKUP(B908,'MASTER DATA'!$A$1:$E$212,4,FALSE),"")</f>
        <v/>
      </c>
      <c r="G908" s="17"/>
      <c r="H908" s="17"/>
      <c r="I908" s="17"/>
      <c r="J908" s="17" t="b">
        <v>0</v>
      </c>
    </row>
    <row r="909" hidden="1">
      <c r="A909" s="17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 t="str">
        <f>IFERROR(VLOOKUP(B909,'MASTER DATA'!$A$1:$E$212,4,FALSE),"")</f>
        <v/>
      </c>
      <c r="G909" s="17"/>
      <c r="H909" s="17"/>
      <c r="I909" s="17"/>
      <c r="J909" s="17" t="b">
        <v>0</v>
      </c>
    </row>
    <row r="910" hidden="1">
      <c r="A910" s="17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 t="str">
        <f>IFERROR(VLOOKUP(B910,'MASTER DATA'!$A$1:$E$212,4,FALSE),"")</f>
        <v/>
      </c>
      <c r="G910" s="17"/>
      <c r="H910" s="17"/>
      <c r="I910" s="17"/>
      <c r="J910" s="17" t="b">
        <v>0</v>
      </c>
    </row>
    <row r="911" hidden="1">
      <c r="A911" s="17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 t="str">
        <f>IFERROR(VLOOKUP(B911,'MASTER DATA'!$A$1:$E$212,4,FALSE),"")</f>
        <v/>
      </c>
      <c r="G911" s="17"/>
      <c r="H911" s="17"/>
      <c r="I911" s="17"/>
      <c r="J911" s="17" t="b">
        <v>0</v>
      </c>
    </row>
    <row r="912" hidden="1">
      <c r="A912" s="17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 t="str">
        <f>IFERROR(VLOOKUP(B912,'MASTER DATA'!$A$1:$E$212,4,FALSE),"")</f>
        <v/>
      </c>
      <c r="G912" s="17"/>
      <c r="H912" s="17"/>
      <c r="I912" s="17"/>
      <c r="J912" s="17" t="b">
        <v>0</v>
      </c>
    </row>
    <row r="913" hidden="1">
      <c r="A913" s="17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 t="str">
        <f>IFERROR(VLOOKUP(B913,'MASTER DATA'!$A$1:$E$212,4,FALSE),"")</f>
        <v/>
      </c>
      <c r="G913" s="17"/>
      <c r="H913" s="17"/>
      <c r="I913" s="17"/>
      <c r="J913" s="17" t="b">
        <v>0</v>
      </c>
    </row>
    <row r="914" hidden="1">
      <c r="A914" s="17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 t="str">
        <f>IFERROR(VLOOKUP(B914,'MASTER DATA'!$A$1:$E$212,4,FALSE),"")</f>
        <v/>
      </c>
      <c r="G914" s="17"/>
      <c r="H914" s="17"/>
      <c r="I914" s="17"/>
      <c r="J914" s="17" t="b">
        <v>0</v>
      </c>
    </row>
    <row r="915" hidden="1">
      <c r="A915" s="17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 t="str">
        <f>IFERROR(VLOOKUP(B915,'MASTER DATA'!$A$1:$E$212,4,FALSE),"")</f>
        <v/>
      </c>
      <c r="G915" s="17"/>
      <c r="H915" s="17"/>
      <c r="I915" s="17"/>
      <c r="J915" s="17" t="b">
        <v>0</v>
      </c>
    </row>
    <row r="916" hidden="1">
      <c r="A916" s="17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 t="str">
        <f>IFERROR(VLOOKUP(B916,'MASTER DATA'!$A$1:$E$212,4,FALSE),"")</f>
        <v/>
      </c>
      <c r="G916" s="17"/>
      <c r="H916" s="17"/>
      <c r="I916" s="17"/>
      <c r="J916" s="17" t="b">
        <v>0</v>
      </c>
    </row>
    <row r="917" hidden="1">
      <c r="A917" s="17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 t="str">
        <f>IFERROR(VLOOKUP(B917,'MASTER DATA'!$A$1:$E$212,4,FALSE),"")</f>
        <v/>
      </c>
      <c r="G917" s="17"/>
      <c r="H917" s="17"/>
      <c r="I917" s="17"/>
      <c r="J917" s="17" t="b">
        <v>0</v>
      </c>
    </row>
    <row r="918" hidden="1">
      <c r="A918" s="17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 t="str">
        <f>IFERROR(VLOOKUP(B918,'MASTER DATA'!$A$1:$E$212,4,FALSE),"")</f>
        <v/>
      </c>
      <c r="G918" s="17"/>
      <c r="H918" s="17"/>
      <c r="I918" s="17"/>
      <c r="J918" s="17" t="b">
        <v>0</v>
      </c>
    </row>
    <row r="919" hidden="1">
      <c r="A919" s="17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 t="str">
        <f>IFERROR(VLOOKUP(B919,'MASTER DATA'!$A$1:$E$212,4,FALSE),"")</f>
        <v/>
      </c>
      <c r="G919" s="17"/>
      <c r="H919" s="17"/>
      <c r="I919" s="17"/>
      <c r="J919" s="17" t="b">
        <v>0</v>
      </c>
    </row>
    <row r="920" hidden="1">
      <c r="A920" s="17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 t="str">
        <f>IFERROR(VLOOKUP(B920,'MASTER DATA'!$A$1:$E$212,4,FALSE),"")</f>
        <v/>
      </c>
      <c r="G920" s="17"/>
      <c r="H920" s="17"/>
      <c r="I920" s="17"/>
      <c r="J920" s="17" t="b">
        <v>0</v>
      </c>
    </row>
    <row r="921" hidden="1">
      <c r="A921" s="17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 t="str">
        <f>IFERROR(VLOOKUP(B921,'MASTER DATA'!$A$1:$E$212,4,FALSE),"")</f>
        <v/>
      </c>
      <c r="G921" s="17"/>
      <c r="H921" s="17"/>
      <c r="I921" s="17"/>
      <c r="J921" s="17" t="b">
        <v>0</v>
      </c>
    </row>
    <row r="922" hidden="1">
      <c r="A922" s="17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 t="str">
        <f>IFERROR(VLOOKUP(B922,'MASTER DATA'!$A$1:$E$212,4,FALSE),"")</f>
        <v/>
      </c>
      <c r="G922" s="17"/>
      <c r="H922" s="17"/>
      <c r="I922" s="17"/>
      <c r="J922" s="17" t="b">
        <v>0</v>
      </c>
    </row>
    <row r="923" hidden="1">
      <c r="A923" s="17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 t="str">
        <f>IFERROR(VLOOKUP(B923,'MASTER DATA'!$A$1:$E$212,4,FALSE),"")</f>
        <v/>
      </c>
      <c r="G923" s="17"/>
      <c r="H923" s="17"/>
      <c r="I923" s="17"/>
      <c r="J923" s="17" t="b">
        <v>0</v>
      </c>
    </row>
    <row r="924" hidden="1">
      <c r="A924" s="17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 t="str">
        <f>IFERROR(VLOOKUP(B924,'MASTER DATA'!$A$1:$E$212,4,FALSE),"")</f>
        <v/>
      </c>
      <c r="G924" s="17"/>
      <c r="H924" s="17"/>
      <c r="I924" s="17"/>
      <c r="J924" s="17" t="b">
        <v>0</v>
      </c>
    </row>
    <row r="925" hidden="1">
      <c r="A925" s="17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 t="str">
        <f>IFERROR(VLOOKUP(B925,'MASTER DATA'!$A$1:$E$212,4,FALSE),"")</f>
        <v/>
      </c>
      <c r="G925" s="17"/>
      <c r="H925" s="17"/>
      <c r="I925" s="17"/>
      <c r="J925" s="17" t="b">
        <v>0</v>
      </c>
    </row>
    <row r="926" hidden="1">
      <c r="A926" s="17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 t="str">
        <f>IFERROR(VLOOKUP(B926,'MASTER DATA'!$A$1:$E$212,4,FALSE),"")</f>
        <v/>
      </c>
      <c r="G926" s="17"/>
      <c r="H926" s="17"/>
      <c r="I926" s="17"/>
      <c r="J926" s="17" t="b">
        <v>0</v>
      </c>
    </row>
    <row r="927" hidden="1">
      <c r="A927" s="17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 t="str">
        <f>IFERROR(VLOOKUP(B927,'MASTER DATA'!$A$1:$E$212,4,FALSE),"")</f>
        <v/>
      </c>
      <c r="G927" s="17"/>
      <c r="H927" s="17"/>
      <c r="I927" s="17"/>
      <c r="J927" s="17" t="b">
        <v>0</v>
      </c>
    </row>
    <row r="928" hidden="1">
      <c r="A928" s="17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 t="str">
        <f>IFERROR(VLOOKUP(B928,'MASTER DATA'!$A$1:$E$212,4,FALSE),"")</f>
        <v/>
      </c>
      <c r="G928" s="17"/>
      <c r="H928" s="17"/>
      <c r="I928" s="17"/>
      <c r="J928" s="17" t="b">
        <v>0</v>
      </c>
    </row>
    <row r="929" hidden="1">
      <c r="A929" s="17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 t="str">
        <f>IFERROR(VLOOKUP(B929,'MASTER DATA'!$A$1:$E$212,4,FALSE),"")</f>
        <v/>
      </c>
      <c r="G929" s="17"/>
      <c r="H929" s="17"/>
      <c r="I929" s="17"/>
      <c r="J929" s="17" t="b">
        <v>0</v>
      </c>
    </row>
    <row r="930" hidden="1">
      <c r="A930" s="17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 t="str">
        <f>IFERROR(VLOOKUP(B930,'MASTER DATA'!$A$1:$E$212,4,FALSE),"")</f>
        <v/>
      </c>
      <c r="G930" s="17"/>
      <c r="H930" s="17"/>
      <c r="I930" s="17"/>
      <c r="J930" s="17" t="b">
        <v>0</v>
      </c>
    </row>
    <row r="931" hidden="1">
      <c r="A931" s="17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 t="str">
        <f>IFERROR(VLOOKUP(B931,'MASTER DATA'!$A$1:$E$212,4,FALSE),"")</f>
        <v/>
      </c>
      <c r="G931" s="17"/>
      <c r="H931" s="17"/>
      <c r="I931" s="17"/>
      <c r="J931" s="17" t="b">
        <v>0</v>
      </c>
    </row>
    <row r="932" hidden="1">
      <c r="A932" s="17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 t="str">
        <f>IFERROR(VLOOKUP(B932,'MASTER DATA'!$A$1:$E$212,4,FALSE),"")</f>
        <v/>
      </c>
      <c r="G932" s="17"/>
      <c r="H932" s="17"/>
      <c r="I932" s="17"/>
      <c r="J932" s="17" t="b">
        <v>0</v>
      </c>
    </row>
    <row r="933" hidden="1">
      <c r="A933" s="17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 t="str">
        <f>IFERROR(VLOOKUP(B933,'MASTER DATA'!$A$1:$E$212,4,FALSE),"")</f>
        <v/>
      </c>
      <c r="G933" s="17"/>
      <c r="H933" s="17"/>
      <c r="I933" s="17"/>
      <c r="J933" s="17" t="b">
        <v>0</v>
      </c>
    </row>
    <row r="934" hidden="1">
      <c r="A934" s="17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 t="str">
        <f>IFERROR(VLOOKUP(B934,'MASTER DATA'!$A$1:$E$212,4,FALSE),"")</f>
        <v/>
      </c>
      <c r="G934" s="17"/>
      <c r="H934" s="17"/>
      <c r="I934" s="17"/>
      <c r="J934" s="17" t="b">
        <v>0</v>
      </c>
    </row>
    <row r="935" hidden="1">
      <c r="A935" s="17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 t="str">
        <f>IFERROR(VLOOKUP(B935,'MASTER DATA'!$A$1:$E$212,4,FALSE),"")</f>
        <v/>
      </c>
      <c r="G935" s="17"/>
      <c r="H935" s="17"/>
      <c r="I935" s="17"/>
      <c r="J935" s="17" t="b">
        <v>0</v>
      </c>
    </row>
    <row r="936" hidden="1">
      <c r="A936" s="17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 t="str">
        <f>IFERROR(VLOOKUP(B936,'MASTER DATA'!$A$1:$E$212,4,FALSE),"")</f>
        <v/>
      </c>
      <c r="G936" s="17"/>
      <c r="H936" s="17"/>
      <c r="I936" s="17"/>
      <c r="J936" s="17" t="b">
        <v>0</v>
      </c>
    </row>
    <row r="937" hidden="1">
      <c r="A937" s="17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 t="str">
        <f>IFERROR(VLOOKUP(B937,'MASTER DATA'!$A$1:$E$212,4,FALSE),"")</f>
        <v/>
      </c>
      <c r="G937" s="17"/>
      <c r="H937" s="17"/>
      <c r="I937" s="17"/>
      <c r="J937" s="17" t="b">
        <v>0</v>
      </c>
    </row>
    <row r="938" hidden="1">
      <c r="A938" s="17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 t="str">
        <f>IFERROR(VLOOKUP(B938,'MASTER DATA'!$A$1:$E$212,4,FALSE),"")</f>
        <v/>
      </c>
      <c r="G938" s="17"/>
      <c r="H938" s="17"/>
      <c r="I938" s="17"/>
      <c r="J938" s="17" t="b">
        <v>0</v>
      </c>
    </row>
    <row r="939" hidden="1">
      <c r="A939" s="17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 t="str">
        <f>IFERROR(VLOOKUP(B939,'MASTER DATA'!$A$1:$E$212,4,FALSE),"")</f>
        <v/>
      </c>
      <c r="G939" s="17"/>
      <c r="H939" s="17"/>
      <c r="I939" s="17"/>
      <c r="J939" s="17" t="b">
        <v>0</v>
      </c>
    </row>
    <row r="940" hidden="1">
      <c r="A940" s="17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 t="str">
        <f>IFERROR(VLOOKUP(B940,'MASTER DATA'!$A$1:$E$212,4,FALSE),"")</f>
        <v/>
      </c>
      <c r="G940" s="17"/>
      <c r="H940" s="17"/>
      <c r="I940" s="17"/>
      <c r="J940" s="17" t="b">
        <v>0</v>
      </c>
    </row>
    <row r="941" hidden="1">
      <c r="A941" s="17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 t="str">
        <f>IFERROR(VLOOKUP(B941,'MASTER DATA'!$A$1:$E$212,4,FALSE),"")</f>
        <v/>
      </c>
      <c r="G941" s="17"/>
      <c r="H941" s="17"/>
      <c r="I941" s="17"/>
      <c r="J941" s="17" t="b">
        <v>0</v>
      </c>
    </row>
    <row r="942" hidden="1">
      <c r="A942" s="17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 t="str">
        <f>IFERROR(VLOOKUP(B942,'MASTER DATA'!$A$1:$E$212,4,FALSE),"")</f>
        <v/>
      </c>
      <c r="G942" s="17"/>
      <c r="H942" s="17"/>
      <c r="I942" s="17"/>
      <c r="J942" s="17" t="b">
        <v>0</v>
      </c>
    </row>
    <row r="943" hidden="1">
      <c r="A943" s="17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 t="str">
        <f>IFERROR(VLOOKUP(B943,'MASTER DATA'!$A$1:$E$212,4,FALSE),"")</f>
        <v/>
      </c>
      <c r="G943" s="17"/>
      <c r="H943" s="17"/>
      <c r="I943" s="17"/>
      <c r="J943" s="17" t="b">
        <v>0</v>
      </c>
    </row>
    <row r="944" hidden="1">
      <c r="A944" s="17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 t="str">
        <f>IFERROR(VLOOKUP(B944,'MASTER DATA'!$A$1:$E$212,4,FALSE),"")</f>
        <v/>
      </c>
      <c r="G944" s="17"/>
      <c r="H944" s="17"/>
      <c r="I944" s="17"/>
      <c r="J944" s="17" t="b">
        <v>0</v>
      </c>
    </row>
    <row r="945" hidden="1">
      <c r="A945" s="17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 t="str">
        <f>IFERROR(VLOOKUP(B945,'MASTER DATA'!$A$1:$E$212,4,FALSE),"")</f>
        <v/>
      </c>
      <c r="G945" s="17"/>
      <c r="H945" s="17"/>
      <c r="I945" s="17"/>
      <c r="J945" s="17" t="b">
        <v>0</v>
      </c>
    </row>
    <row r="946" hidden="1">
      <c r="A946" s="17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 t="str">
        <f>IFERROR(VLOOKUP(B946,'MASTER DATA'!$A$1:$E$212,4,FALSE),"")</f>
        <v/>
      </c>
      <c r="G946" s="17"/>
      <c r="H946" s="17"/>
      <c r="I946" s="17"/>
      <c r="J946" s="17" t="b">
        <v>0</v>
      </c>
    </row>
    <row r="947" hidden="1">
      <c r="A947" s="17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 t="str">
        <f>IFERROR(VLOOKUP(B947,'MASTER DATA'!$A$1:$E$212,4,FALSE),"")</f>
        <v/>
      </c>
      <c r="G947" s="17"/>
      <c r="H947" s="17"/>
      <c r="I947" s="17"/>
      <c r="J947" s="17" t="b">
        <v>0</v>
      </c>
    </row>
    <row r="948" hidden="1">
      <c r="A948" s="17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 t="str">
        <f>IFERROR(VLOOKUP(B948,'MASTER DATA'!$A$1:$E$212,4,FALSE),"")</f>
        <v/>
      </c>
      <c r="G948" s="17"/>
      <c r="H948" s="17"/>
      <c r="I948" s="17"/>
      <c r="J948" s="17" t="b">
        <v>0</v>
      </c>
    </row>
    <row r="949" hidden="1">
      <c r="A949" s="17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 t="str">
        <f>IFERROR(VLOOKUP(B949,'MASTER DATA'!$A$1:$E$212,4,FALSE),"")</f>
        <v/>
      </c>
      <c r="G949" s="17"/>
      <c r="H949" s="17"/>
      <c r="I949" s="17"/>
      <c r="J949" s="17" t="b">
        <v>0</v>
      </c>
    </row>
    <row r="950" hidden="1">
      <c r="A950" s="17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 t="str">
        <f>IFERROR(VLOOKUP(B950,'MASTER DATA'!$A$1:$E$212,4,FALSE),"")</f>
        <v/>
      </c>
      <c r="G950" s="17"/>
      <c r="H950" s="17"/>
      <c r="I950" s="17"/>
      <c r="J950" s="17" t="b">
        <v>0</v>
      </c>
    </row>
    <row r="951" hidden="1">
      <c r="A951" s="17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 t="str">
        <f>IFERROR(VLOOKUP(B951,'MASTER DATA'!$A$1:$E$212,4,FALSE),"")</f>
        <v/>
      </c>
      <c r="G951" s="17"/>
      <c r="H951" s="17"/>
      <c r="I951" s="17"/>
      <c r="J951" s="17" t="b">
        <v>0</v>
      </c>
    </row>
    <row r="952" hidden="1">
      <c r="A952" s="17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 t="str">
        <f>IFERROR(VLOOKUP(B952,'MASTER DATA'!$A$1:$E$212,4,FALSE),"")</f>
        <v/>
      </c>
      <c r="G952" s="17"/>
      <c r="H952" s="17"/>
      <c r="I952" s="17"/>
      <c r="J952" s="17" t="b">
        <v>0</v>
      </c>
    </row>
    <row r="953" hidden="1">
      <c r="A953" s="17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 t="str">
        <f>IFERROR(VLOOKUP(B953,'MASTER DATA'!$A$1:$E$212,4,FALSE),"")</f>
        <v/>
      </c>
      <c r="G953" s="17"/>
      <c r="H953" s="17"/>
      <c r="I953" s="17"/>
      <c r="J953" s="17" t="b">
        <v>0</v>
      </c>
    </row>
    <row r="954" hidden="1">
      <c r="A954" s="17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 t="str">
        <f>IFERROR(VLOOKUP(B954,'MASTER DATA'!$A$1:$E$212,4,FALSE),"")</f>
        <v/>
      </c>
      <c r="G954" s="17"/>
      <c r="H954" s="17"/>
      <c r="I954" s="17"/>
      <c r="J954" s="17" t="b">
        <v>0</v>
      </c>
    </row>
    <row r="955" hidden="1">
      <c r="A955" s="17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 t="str">
        <f>IFERROR(VLOOKUP(B955,'MASTER DATA'!$A$1:$E$212,4,FALSE),"")</f>
        <v/>
      </c>
      <c r="G955" s="17"/>
      <c r="H955" s="17"/>
      <c r="I955" s="17"/>
      <c r="J955" s="17" t="b">
        <v>0</v>
      </c>
    </row>
    <row r="956" hidden="1">
      <c r="A956" s="17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 t="str">
        <f>IFERROR(VLOOKUP(B956,'MASTER DATA'!$A$1:$E$212,4,FALSE),"")</f>
        <v/>
      </c>
      <c r="G956" s="17"/>
      <c r="H956" s="17"/>
      <c r="I956" s="17"/>
      <c r="J956" s="17" t="b">
        <v>0</v>
      </c>
    </row>
    <row r="957" hidden="1">
      <c r="A957" s="17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 t="str">
        <f>IFERROR(VLOOKUP(B957,'MASTER DATA'!$A$1:$E$212,4,FALSE),"")</f>
        <v/>
      </c>
      <c r="G957" s="17"/>
      <c r="H957" s="17"/>
      <c r="I957" s="17"/>
      <c r="J957" s="17" t="b">
        <v>0</v>
      </c>
    </row>
    <row r="958" hidden="1">
      <c r="A958" s="17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 t="str">
        <f>IFERROR(VLOOKUP(B958,'MASTER DATA'!$A$1:$E$212,4,FALSE),"")</f>
        <v/>
      </c>
      <c r="G958" s="17"/>
      <c r="H958" s="17"/>
      <c r="I958" s="17"/>
      <c r="J958" s="17" t="b">
        <v>0</v>
      </c>
    </row>
    <row r="959" hidden="1">
      <c r="A959" s="17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 t="str">
        <f>IFERROR(VLOOKUP(B959,'MASTER DATA'!$A$1:$E$212,4,FALSE),"")</f>
        <v/>
      </c>
      <c r="G959" s="17"/>
      <c r="H959" s="17"/>
      <c r="I959" s="17"/>
      <c r="J959" s="17" t="b">
        <v>0</v>
      </c>
    </row>
    <row r="960" hidden="1">
      <c r="A960" s="17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 t="str">
        <f>IFERROR(VLOOKUP(B960,'MASTER DATA'!$A$1:$E$212,4,FALSE),"")</f>
        <v/>
      </c>
      <c r="G960" s="17"/>
      <c r="H960" s="17"/>
      <c r="I960" s="17"/>
      <c r="J960" s="17" t="b">
        <v>0</v>
      </c>
    </row>
    <row r="961" hidden="1">
      <c r="A961" s="17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 t="str">
        <f>IFERROR(VLOOKUP(B961,'MASTER DATA'!$A$1:$E$212,4,FALSE),"")</f>
        <v/>
      </c>
      <c r="G961" s="17"/>
      <c r="H961" s="17"/>
      <c r="I961" s="17"/>
      <c r="J961" s="17" t="b">
        <v>0</v>
      </c>
    </row>
    <row r="962" hidden="1">
      <c r="A962" s="17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 t="str">
        <f>IFERROR(VLOOKUP(B962,'MASTER DATA'!$A$1:$E$212,4,FALSE),"")</f>
        <v/>
      </c>
      <c r="G962" s="17"/>
      <c r="H962" s="17"/>
      <c r="I962" s="17"/>
      <c r="J962" s="17" t="b">
        <v>0</v>
      </c>
    </row>
    <row r="963" hidden="1">
      <c r="A963" s="17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 t="str">
        <f>IFERROR(VLOOKUP(B963,'MASTER DATA'!$A$1:$E$212,4,FALSE),"")</f>
        <v/>
      </c>
      <c r="G963" s="17"/>
      <c r="H963" s="17"/>
      <c r="I963" s="17"/>
      <c r="J963" s="17" t="b">
        <v>0</v>
      </c>
    </row>
    <row r="964" hidden="1">
      <c r="A964" s="17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 t="str">
        <f>IFERROR(VLOOKUP(B964,'MASTER DATA'!$A$1:$E$212,4,FALSE),"")</f>
        <v/>
      </c>
      <c r="G964" s="17"/>
      <c r="H964" s="17"/>
      <c r="I964" s="17"/>
      <c r="J964" s="17" t="b">
        <v>0</v>
      </c>
    </row>
    <row r="965" hidden="1">
      <c r="A965" s="17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 t="str">
        <f>IFERROR(VLOOKUP(B965,'MASTER DATA'!$A$1:$E$212,4,FALSE),"")</f>
        <v/>
      </c>
      <c r="G965" s="17"/>
      <c r="H965" s="17"/>
      <c r="I965" s="17"/>
      <c r="J965" s="17" t="b">
        <v>0</v>
      </c>
    </row>
    <row r="966" hidden="1">
      <c r="A966" s="17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 t="str">
        <f>IFERROR(VLOOKUP(B966,'MASTER DATA'!$A$1:$E$212,4,FALSE),"")</f>
        <v/>
      </c>
      <c r="G966" s="17"/>
      <c r="H966" s="17"/>
      <c r="I966" s="17"/>
      <c r="J966" s="17" t="b">
        <v>0</v>
      </c>
    </row>
    <row r="967" hidden="1">
      <c r="A967" s="17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 t="str">
        <f>IFERROR(VLOOKUP(B967,'MASTER DATA'!$A$1:$E$212,4,FALSE),"")</f>
        <v/>
      </c>
      <c r="G967" s="17"/>
      <c r="H967" s="17"/>
      <c r="I967" s="17"/>
      <c r="J967" s="17" t="b">
        <v>0</v>
      </c>
    </row>
    <row r="968" hidden="1">
      <c r="A968" s="17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 t="str">
        <f>IFERROR(VLOOKUP(B968,'MASTER DATA'!$A$1:$E$212,4,FALSE),"")</f>
        <v/>
      </c>
      <c r="G968" s="17"/>
      <c r="H968" s="17"/>
      <c r="I968" s="17"/>
      <c r="J968" s="17" t="b">
        <v>0</v>
      </c>
    </row>
    <row r="969" hidden="1">
      <c r="A969" s="17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 t="str">
        <f>IFERROR(VLOOKUP(B969,'MASTER DATA'!$A$1:$E$212,4,FALSE),"")</f>
        <v/>
      </c>
      <c r="G969" s="17"/>
      <c r="H969" s="17"/>
      <c r="I969" s="17"/>
      <c r="J969" s="17" t="b">
        <v>0</v>
      </c>
    </row>
    <row r="970" hidden="1">
      <c r="A970" s="17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 t="str">
        <f>IFERROR(VLOOKUP(B970,'MASTER DATA'!$A$1:$E$212,4,FALSE),"")</f>
        <v/>
      </c>
      <c r="G970" s="17"/>
      <c r="H970" s="17"/>
      <c r="I970" s="17"/>
      <c r="J970" s="17" t="b">
        <v>0</v>
      </c>
    </row>
    <row r="971" hidden="1">
      <c r="A971" s="17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 t="str">
        <f>IFERROR(VLOOKUP(B971,'MASTER DATA'!$A$1:$E$212,4,FALSE),"")</f>
        <v/>
      </c>
      <c r="G971" s="17"/>
      <c r="H971" s="17"/>
      <c r="I971" s="17"/>
      <c r="J971" s="17" t="b">
        <v>0</v>
      </c>
    </row>
    <row r="972" hidden="1">
      <c r="A972" s="17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 t="str">
        <f>IFERROR(VLOOKUP(B972,'MASTER DATA'!$A$1:$E$212,4,FALSE),"")</f>
        <v/>
      </c>
      <c r="G972" s="17"/>
      <c r="H972" s="17"/>
      <c r="I972" s="17"/>
      <c r="J972" s="17" t="b">
        <v>0</v>
      </c>
    </row>
    <row r="973" hidden="1">
      <c r="A973" s="17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 t="str">
        <f>IFERROR(VLOOKUP(B973,'MASTER DATA'!$A$1:$E$212,4,FALSE),"")</f>
        <v/>
      </c>
      <c r="G973" s="17"/>
      <c r="H973" s="17"/>
      <c r="I973" s="17"/>
      <c r="J973" s="17" t="b">
        <v>0</v>
      </c>
    </row>
    <row r="974" hidden="1">
      <c r="A974" s="17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 t="str">
        <f>IFERROR(VLOOKUP(B974,'MASTER DATA'!$A$1:$E$212,4,FALSE),"")</f>
        <v/>
      </c>
      <c r="G974" s="17"/>
      <c r="H974" s="17"/>
      <c r="I974" s="17"/>
      <c r="J974" s="17" t="b">
        <v>0</v>
      </c>
    </row>
    <row r="975" hidden="1">
      <c r="A975" s="17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 t="str">
        <f>IFERROR(VLOOKUP(B975,'MASTER DATA'!$A$1:$E$212,4,FALSE),"")</f>
        <v/>
      </c>
      <c r="G975" s="17"/>
      <c r="H975" s="17"/>
      <c r="I975" s="17"/>
      <c r="J975" s="17" t="b">
        <v>0</v>
      </c>
    </row>
    <row r="976" hidden="1">
      <c r="A976" s="17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 t="str">
        <f>IFERROR(VLOOKUP(B976,'MASTER DATA'!$A$1:$E$212,4,FALSE),"")</f>
        <v/>
      </c>
      <c r="G976" s="17"/>
      <c r="H976" s="17"/>
      <c r="I976" s="17"/>
      <c r="J976" s="17" t="b">
        <v>0</v>
      </c>
    </row>
    <row r="977" hidden="1">
      <c r="A977" s="17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 t="str">
        <f>IFERROR(VLOOKUP(B977,'MASTER DATA'!$A$1:$E$212,4,FALSE),"")</f>
        <v/>
      </c>
      <c r="G977" s="17"/>
      <c r="H977" s="17"/>
      <c r="I977" s="17"/>
      <c r="J977" s="17" t="b">
        <v>0</v>
      </c>
    </row>
    <row r="978" hidden="1">
      <c r="A978" s="17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 t="str">
        <f>IFERROR(VLOOKUP(B978,'MASTER DATA'!$A$1:$E$212,4,FALSE),"")</f>
        <v/>
      </c>
      <c r="G978" s="17"/>
      <c r="H978" s="17"/>
      <c r="I978" s="17"/>
      <c r="J978" s="17" t="b">
        <v>0</v>
      </c>
    </row>
    <row r="979" hidden="1">
      <c r="A979" s="17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 t="str">
        <f>IFERROR(VLOOKUP(B979,'MASTER DATA'!$A$1:$E$212,4,FALSE),"")</f>
        <v/>
      </c>
      <c r="G979" s="17"/>
      <c r="H979" s="17"/>
      <c r="I979" s="17"/>
      <c r="J979" s="17" t="b">
        <v>0</v>
      </c>
    </row>
    <row r="980" hidden="1">
      <c r="A980" s="17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 t="str">
        <f>IFERROR(VLOOKUP(B980,'MASTER DATA'!$A$1:$E$212,4,FALSE),"")</f>
        <v/>
      </c>
      <c r="G980" s="17"/>
      <c r="H980" s="17"/>
      <c r="I980" s="17"/>
      <c r="J980" s="17" t="b">
        <v>0</v>
      </c>
    </row>
    <row r="981" hidden="1">
      <c r="A981" s="17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 t="str">
        <f>IFERROR(VLOOKUP(B981,'MASTER DATA'!$A$1:$E$212,4,FALSE),"")</f>
        <v/>
      </c>
      <c r="G981" s="17"/>
      <c r="H981" s="17"/>
      <c r="I981" s="17"/>
      <c r="J981" s="17" t="b">
        <v>0</v>
      </c>
    </row>
    <row r="982" hidden="1">
      <c r="A982" s="17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 t="str">
        <f>IFERROR(VLOOKUP(B982,'MASTER DATA'!$A$1:$E$212,4,FALSE),"")</f>
        <v/>
      </c>
      <c r="G982" s="17"/>
      <c r="H982" s="17"/>
      <c r="I982" s="17"/>
      <c r="J982" s="17" t="b">
        <v>0</v>
      </c>
    </row>
    <row r="983" hidden="1">
      <c r="A983" s="17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 t="str">
        <f>IFERROR(VLOOKUP(B983,'MASTER DATA'!$A$1:$E$212,4,FALSE),"")</f>
        <v/>
      </c>
      <c r="G983" s="17"/>
      <c r="H983" s="17"/>
      <c r="I983" s="17"/>
      <c r="J983" s="17" t="b">
        <v>0</v>
      </c>
    </row>
    <row r="984" hidden="1">
      <c r="A984" s="17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 t="str">
        <f>IFERROR(VLOOKUP(B984,'MASTER DATA'!$A$1:$E$212,4,FALSE),"")</f>
        <v/>
      </c>
      <c r="G984" s="17"/>
      <c r="H984" s="17"/>
      <c r="I984" s="17"/>
      <c r="J984" s="17" t="b">
        <v>0</v>
      </c>
    </row>
    <row r="985" hidden="1">
      <c r="A985" s="17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 t="str">
        <f>IFERROR(VLOOKUP(B985,'MASTER DATA'!$A$1:$E$212,4,FALSE),"")</f>
        <v/>
      </c>
      <c r="G985" s="17"/>
      <c r="H985" s="17"/>
      <c r="I985" s="17"/>
      <c r="J985" s="17" t="b">
        <v>0</v>
      </c>
    </row>
    <row r="986" hidden="1">
      <c r="A986" s="17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 t="str">
        <f>IFERROR(VLOOKUP(B986,'MASTER DATA'!$A$1:$E$212,4,FALSE),"")</f>
        <v/>
      </c>
      <c r="G986" s="17"/>
      <c r="H986" s="17"/>
      <c r="I986" s="17"/>
      <c r="J986" s="17" t="b">
        <v>0</v>
      </c>
    </row>
    <row r="987" hidden="1">
      <c r="A987" s="17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 t="str">
        <f>IFERROR(VLOOKUP(B987,'MASTER DATA'!$A$1:$E$212,4,FALSE),"")</f>
        <v/>
      </c>
      <c r="G987" s="17"/>
      <c r="H987" s="17"/>
      <c r="I987" s="17"/>
      <c r="J987" s="17" t="b">
        <v>0</v>
      </c>
    </row>
    <row r="988" hidden="1">
      <c r="A988" s="17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 t="str">
        <f>IFERROR(VLOOKUP(B988,'MASTER DATA'!$A$1:$E$212,4,FALSE),"")</f>
        <v/>
      </c>
      <c r="G988" s="17"/>
      <c r="H988" s="17"/>
      <c r="I988" s="17"/>
      <c r="J988" s="17" t="b">
        <v>0</v>
      </c>
    </row>
    <row r="989" hidden="1">
      <c r="A989" s="17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 t="str">
        <f>IFERROR(VLOOKUP(B989,'MASTER DATA'!$A$1:$E$212,4,FALSE),"")</f>
        <v/>
      </c>
      <c r="G989" s="17"/>
      <c r="H989" s="17"/>
      <c r="I989" s="17"/>
      <c r="J989" s="17" t="b">
        <v>0</v>
      </c>
    </row>
    <row r="990" hidden="1">
      <c r="A990" s="17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 t="str">
        <f>IFERROR(VLOOKUP(B990,'MASTER DATA'!$A$1:$E$212,4,FALSE),"")</f>
        <v/>
      </c>
      <c r="G990" s="17"/>
      <c r="H990" s="17"/>
      <c r="I990" s="17"/>
      <c r="J990" s="17" t="b">
        <v>0</v>
      </c>
    </row>
    <row r="991" hidden="1">
      <c r="A991" s="17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 t="str">
        <f>IFERROR(VLOOKUP(B991,'MASTER DATA'!$A$1:$E$212,4,FALSE),"")</f>
        <v/>
      </c>
      <c r="G991" s="17"/>
      <c r="H991" s="17"/>
      <c r="I991" s="17"/>
      <c r="J991" s="17" t="b">
        <v>0</v>
      </c>
    </row>
    <row r="992" hidden="1">
      <c r="A992" s="17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 t="str">
        <f>IFERROR(VLOOKUP(B992,'MASTER DATA'!$A$1:$E$212,4,FALSE),"")</f>
        <v/>
      </c>
      <c r="G992" s="17"/>
      <c r="H992" s="17"/>
      <c r="I992" s="17"/>
      <c r="J992" s="17" t="b">
        <v>0</v>
      </c>
    </row>
    <row r="993" hidden="1">
      <c r="A993" s="17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 t="str">
        <f>IFERROR(VLOOKUP(B993,'MASTER DATA'!$A$1:$E$212,4,FALSE),"")</f>
        <v/>
      </c>
      <c r="G993" s="17"/>
      <c r="H993" s="17"/>
      <c r="I993" s="17"/>
      <c r="J993" s="17" t="b">
        <v>0</v>
      </c>
    </row>
    <row r="994" hidden="1">
      <c r="A994" s="17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 t="str">
        <f>IFERROR(VLOOKUP(B994,'MASTER DATA'!$A$1:$E$212,4,FALSE),"")</f>
        <v/>
      </c>
      <c r="G994" s="17"/>
      <c r="H994" s="17"/>
      <c r="I994" s="17"/>
      <c r="J994" s="17" t="b">
        <v>0</v>
      </c>
    </row>
    <row r="995" hidden="1">
      <c r="A995" s="17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 t="str">
        <f>IFERROR(VLOOKUP(B995,'MASTER DATA'!$A$1:$E$212,4,FALSE),"")</f>
        <v/>
      </c>
      <c r="G995" s="17"/>
      <c r="H995" s="17"/>
      <c r="I995" s="17"/>
      <c r="J995" s="17" t="b">
        <v>0</v>
      </c>
    </row>
    <row r="996" hidden="1">
      <c r="A996" s="17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 t="str">
        <f>IFERROR(VLOOKUP(B996,'MASTER DATA'!$A$1:$E$212,4,FALSE),"")</f>
        <v/>
      </c>
      <c r="G996" s="17"/>
      <c r="H996" s="17"/>
      <c r="I996" s="17"/>
      <c r="J996" s="17" t="b">
        <v>0</v>
      </c>
    </row>
    <row r="997" hidden="1">
      <c r="A997" s="17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 t="str">
        <f>IFERROR(VLOOKUP(B997,'MASTER DATA'!$A$1:$E$212,4,FALSE),"")</f>
        <v/>
      </c>
      <c r="G997" s="17"/>
      <c r="H997" s="17"/>
      <c r="I997" s="17"/>
      <c r="J997" s="17" t="b">
        <v>0</v>
      </c>
    </row>
    <row r="998" hidden="1">
      <c r="A998" s="17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 t="str">
        <f>IFERROR(VLOOKUP(B998,'MASTER DATA'!$A$1:$E$212,4,FALSE),"")</f>
        <v/>
      </c>
      <c r="G998" s="17"/>
      <c r="H998" s="17"/>
      <c r="I998" s="17"/>
      <c r="J998" s="17" t="b">
        <v>0</v>
      </c>
    </row>
    <row r="999" hidden="1">
      <c r="A999" s="17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 t="str">
        <f>IFERROR(VLOOKUP(B999,'MASTER DATA'!$A$1:$E$212,4,FALSE),"")</f>
        <v/>
      </c>
      <c r="G999" s="17"/>
      <c r="H999" s="17"/>
      <c r="I999" s="17"/>
      <c r="J999" s="17" t="b">
        <v>0</v>
      </c>
    </row>
    <row r="1000" hidden="1">
      <c r="A1000" s="17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 t="str">
        <f>IFERROR(VLOOKUP(B1000,'MASTER DATA'!$A$1:$E$212,4,FALSE),"")</f>
        <v/>
      </c>
      <c r="G1000" s="17"/>
      <c r="H1000" s="17"/>
      <c r="I1000" s="17"/>
      <c r="J1000" s="17" t="b">
        <v>0</v>
      </c>
    </row>
    <row r="1001">
      <c r="B1001" s="13"/>
      <c r="I1001" s="13"/>
      <c r="J1001" s="13" t="b">
        <v>0</v>
      </c>
    </row>
    <row r="1002">
      <c r="B1002" s="13"/>
      <c r="I1002" s="13"/>
      <c r="J1002" s="13" t="b">
        <v>0</v>
      </c>
    </row>
    <row r="1003">
      <c r="B1003" s="13"/>
      <c r="I1003" s="13"/>
      <c r="J1003" s="13" t="b">
        <v>0</v>
      </c>
    </row>
    <row r="1004">
      <c r="B1004" s="13"/>
      <c r="I1004" s="13"/>
      <c r="J1004" s="13" t="b">
        <v>0</v>
      </c>
    </row>
    <row r="1005">
      <c r="B1005" s="13"/>
      <c r="I1005" s="13"/>
      <c r="J1005" s="13" t="b">
        <v>0</v>
      </c>
    </row>
    <row r="1006">
      <c r="B1006" s="13"/>
      <c r="I1006" s="13"/>
      <c r="J1006" s="13" t="b">
        <v>0</v>
      </c>
    </row>
    <row r="1007">
      <c r="B1007" s="13"/>
      <c r="I1007" s="13"/>
      <c r="J1007" s="13" t="b">
        <v>0</v>
      </c>
    </row>
    <row r="1008">
      <c r="B1008" s="13"/>
      <c r="I1008" s="13"/>
      <c r="J1008" s="13" t="b">
        <v>0</v>
      </c>
    </row>
    <row r="1009">
      <c r="B1009" s="13"/>
      <c r="I1009" s="13"/>
      <c r="J1009" s="13" t="b">
        <v>0</v>
      </c>
    </row>
    <row r="1010">
      <c r="B1010" s="13"/>
      <c r="I1010" s="13"/>
      <c r="J1010" s="13" t="b">
        <v>0</v>
      </c>
    </row>
    <row r="1011">
      <c r="B1011" s="13"/>
      <c r="I1011" s="13"/>
      <c r="J1011" s="13" t="b">
        <v>0</v>
      </c>
    </row>
    <row r="1012">
      <c r="B1012" s="13"/>
      <c r="I1012" s="13"/>
      <c r="J1012" s="13" t="b">
        <v>0</v>
      </c>
    </row>
    <row r="1013">
      <c r="B1013" s="13"/>
      <c r="I1013" s="13"/>
      <c r="J1013" s="13" t="b">
        <v>0</v>
      </c>
    </row>
    <row r="1014">
      <c r="B1014" s="13"/>
      <c r="I1014" s="13"/>
      <c r="J1014" s="13" t="b">
        <v>0</v>
      </c>
    </row>
    <row r="1015">
      <c r="B1015" s="13"/>
      <c r="I1015" s="13"/>
      <c r="J1015" s="13" t="b">
        <v>0</v>
      </c>
    </row>
    <row r="1016">
      <c r="B1016" s="13"/>
      <c r="I1016" s="13"/>
      <c r="J1016" s="13" t="b">
        <v>0</v>
      </c>
    </row>
    <row r="1017">
      <c r="B1017" s="13"/>
      <c r="I1017" s="13"/>
      <c r="J1017" s="13" t="b">
        <v>0</v>
      </c>
    </row>
    <row r="1018">
      <c r="B1018" s="13"/>
      <c r="I1018" s="13"/>
      <c r="J1018" s="13" t="b">
        <v>0</v>
      </c>
    </row>
    <row r="1019">
      <c r="B1019" s="13"/>
      <c r="I1019" s="13"/>
      <c r="J1019" s="13" t="b">
        <v>0</v>
      </c>
    </row>
    <row r="1020">
      <c r="B1020" s="13"/>
      <c r="I1020" s="13"/>
      <c r="J1020" s="13" t="b">
        <v>0</v>
      </c>
    </row>
    <row r="1021">
      <c r="B1021" s="13"/>
      <c r="I1021" s="13"/>
      <c r="J1021" s="13" t="b">
        <v>0</v>
      </c>
    </row>
    <row r="1022">
      <c r="B1022" s="13"/>
      <c r="I1022" s="13"/>
      <c r="J1022" s="13" t="b">
        <v>0</v>
      </c>
    </row>
    <row r="1023">
      <c r="B1023" s="13"/>
      <c r="I1023" s="13"/>
      <c r="J1023" s="13" t="b">
        <v>0</v>
      </c>
    </row>
    <row r="1024">
      <c r="B1024" s="13"/>
      <c r="I1024" s="13"/>
      <c r="J1024" s="13" t="b">
        <v>0</v>
      </c>
    </row>
    <row r="1025">
      <c r="B1025" s="13"/>
      <c r="I1025" s="13"/>
      <c r="J1025" s="13" t="b">
        <v>0</v>
      </c>
    </row>
    <row r="1026">
      <c r="B1026" s="13"/>
      <c r="I1026" s="13"/>
      <c r="J1026" s="13" t="b">
        <v>0</v>
      </c>
    </row>
    <row r="1027">
      <c r="B1027" s="13"/>
      <c r="I1027" s="13"/>
      <c r="J1027" s="13" t="b">
        <v>0</v>
      </c>
    </row>
    <row r="1028">
      <c r="B1028" s="13"/>
      <c r="I1028" s="13"/>
      <c r="J1028" s="13" t="b">
        <v>0</v>
      </c>
    </row>
    <row r="1029">
      <c r="B1029" s="13"/>
      <c r="I1029" s="13"/>
      <c r="J1029" s="13" t="b">
        <v>0</v>
      </c>
    </row>
    <row r="1030">
      <c r="B1030" s="13"/>
      <c r="I1030" s="13"/>
      <c r="J1030" s="13" t="b">
        <v>0</v>
      </c>
    </row>
    <row r="1031">
      <c r="B1031" s="13"/>
      <c r="I1031" s="13"/>
      <c r="J1031" s="13" t="b">
        <v>0</v>
      </c>
    </row>
    <row r="1032">
      <c r="B1032" s="13"/>
      <c r="I1032" s="13"/>
      <c r="J1032" s="13" t="b">
        <v>0</v>
      </c>
    </row>
    <row r="1033">
      <c r="B1033" s="13"/>
      <c r="I1033" s="13"/>
      <c r="J1033" s="13" t="b">
        <v>0</v>
      </c>
    </row>
    <row r="1034">
      <c r="B1034" s="13"/>
      <c r="I1034" s="13"/>
      <c r="J1034" s="13" t="b">
        <v>0</v>
      </c>
    </row>
    <row r="1035">
      <c r="B1035" s="13"/>
      <c r="I1035" s="13"/>
      <c r="J1035" s="13" t="b">
        <v>0</v>
      </c>
    </row>
    <row r="1036">
      <c r="B1036" s="13"/>
      <c r="I1036" s="13"/>
      <c r="J1036" s="13" t="b">
        <v>0</v>
      </c>
    </row>
    <row r="1037">
      <c r="B1037" s="13"/>
      <c r="I1037" s="13"/>
      <c r="J1037" s="13" t="b">
        <v>0</v>
      </c>
    </row>
    <row r="1038">
      <c r="B1038" s="13"/>
      <c r="I1038" s="13"/>
      <c r="J1038" s="13" t="b">
        <v>0</v>
      </c>
    </row>
    <row r="1039">
      <c r="B1039" s="13"/>
      <c r="I1039" s="13"/>
      <c r="J1039" s="13" t="b">
        <v>0</v>
      </c>
    </row>
    <row r="1040">
      <c r="B1040" s="13"/>
      <c r="I1040" s="13"/>
      <c r="J1040" s="13" t="b">
        <v>0</v>
      </c>
    </row>
    <row r="1041">
      <c r="B1041" s="13"/>
      <c r="I1041" s="13"/>
      <c r="J1041" s="13" t="b">
        <v>0</v>
      </c>
    </row>
    <row r="1042">
      <c r="B1042" s="13"/>
      <c r="I1042" s="13"/>
      <c r="J1042" s="13" t="b">
        <v>0</v>
      </c>
    </row>
    <row r="1043">
      <c r="B1043" s="13"/>
      <c r="I1043" s="13"/>
      <c r="J1043" s="13" t="b">
        <v>0</v>
      </c>
    </row>
    <row r="1044">
      <c r="B1044" s="13"/>
      <c r="I1044" s="13"/>
      <c r="J1044" s="13" t="b">
        <v>0</v>
      </c>
    </row>
    <row r="1045">
      <c r="B1045" s="13"/>
      <c r="I1045" s="13"/>
      <c r="J1045" s="13" t="b">
        <v>0</v>
      </c>
    </row>
    <row r="1046">
      <c r="B1046" s="13"/>
      <c r="I1046" s="13"/>
      <c r="J1046" s="13" t="b">
        <v>0</v>
      </c>
    </row>
    <row r="1047">
      <c r="B1047" s="13"/>
      <c r="I1047" s="13"/>
      <c r="J1047" s="13" t="b">
        <v>0</v>
      </c>
    </row>
    <row r="1048">
      <c r="B1048" s="13"/>
      <c r="I1048" s="13"/>
      <c r="J1048" s="13" t="b">
        <v>0</v>
      </c>
    </row>
    <row r="1049">
      <c r="B1049" s="13"/>
      <c r="I1049" s="13"/>
      <c r="J1049" s="13" t="b">
        <v>0</v>
      </c>
    </row>
    <row r="1050">
      <c r="B1050" s="13"/>
      <c r="I1050" s="13"/>
      <c r="J1050" s="13" t="b">
        <v>0</v>
      </c>
    </row>
    <row r="1051">
      <c r="B1051" s="13"/>
      <c r="I1051" s="13"/>
      <c r="J1051" s="13" t="b">
        <v>0</v>
      </c>
    </row>
    <row r="1052">
      <c r="B1052" s="13"/>
      <c r="I1052" s="13"/>
      <c r="J1052" s="13" t="b">
        <v>0</v>
      </c>
    </row>
    <row r="1053">
      <c r="B1053" s="13"/>
      <c r="I1053" s="13"/>
      <c r="J1053" s="13" t="b">
        <v>0</v>
      </c>
    </row>
    <row r="1054">
      <c r="B1054" s="13"/>
      <c r="I1054" s="13"/>
      <c r="J1054" s="13" t="b">
        <v>0</v>
      </c>
    </row>
    <row r="1055">
      <c r="B1055" s="13"/>
      <c r="I1055" s="13"/>
      <c r="J1055" s="13" t="b">
        <v>0</v>
      </c>
    </row>
    <row r="1056">
      <c r="B1056" s="13"/>
      <c r="I1056" s="13"/>
      <c r="J1056" s="13" t="b">
        <v>0</v>
      </c>
    </row>
    <row r="1057">
      <c r="B1057" s="13"/>
      <c r="I1057" s="13"/>
      <c r="J1057" s="13" t="b">
        <v>0</v>
      </c>
    </row>
    <row r="1058">
      <c r="B1058" s="13"/>
      <c r="I1058" s="13"/>
      <c r="J1058" s="13" t="b">
        <v>0</v>
      </c>
    </row>
    <row r="1059">
      <c r="B1059" s="13"/>
      <c r="I1059" s="13"/>
      <c r="J1059" s="13" t="b">
        <v>0</v>
      </c>
    </row>
    <row r="1060">
      <c r="B1060" s="13"/>
      <c r="I1060" s="13"/>
      <c r="J1060" s="13" t="b">
        <v>0</v>
      </c>
    </row>
    <row r="1061">
      <c r="B1061" s="13"/>
      <c r="I1061" s="13"/>
      <c r="J1061" s="13" t="b">
        <v>0</v>
      </c>
    </row>
    <row r="1062">
      <c r="B1062" s="13"/>
      <c r="I1062" s="13"/>
      <c r="J1062" s="13" t="b">
        <v>0</v>
      </c>
    </row>
    <row r="1063">
      <c r="B1063" s="13"/>
      <c r="I1063" s="13"/>
      <c r="J1063" s="13" t="b">
        <v>0</v>
      </c>
    </row>
    <row r="1064">
      <c r="B1064" s="13"/>
      <c r="I1064" s="13"/>
      <c r="J1064" s="13" t="b">
        <v>0</v>
      </c>
    </row>
    <row r="1065">
      <c r="B1065" s="13"/>
      <c r="I1065" s="13"/>
      <c r="J1065" s="13" t="b">
        <v>0</v>
      </c>
    </row>
    <row r="1066">
      <c r="B1066" s="13"/>
      <c r="I1066" s="13"/>
      <c r="J1066" s="13" t="b">
        <v>0</v>
      </c>
    </row>
    <row r="1067">
      <c r="B1067" s="13"/>
      <c r="I1067" s="13"/>
      <c r="J1067" s="13" t="b">
        <v>0</v>
      </c>
    </row>
    <row r="1068">
      <c r="B1068" s="13"/>
      <c r="I1068" s="13"/>
      <c r="J1068" s="13" t="b">
        <v>0</v>
      </c>
    </row>
    <row r="1069">
      <c r="B1069" s="13"/>
      <c r="I1069" s="13"/>
      <c r="J1069" s="13" t="b">
        <v>0</v>
      </c>
    </row>
    <row r="1070">
      <c r="B1070" s="13"/>
      <c r="I1070" s="13"/>
      <c r="J1070" s="13" t="b">
        <v>0</v>
      </c>
    </row>
    <row r="1071">
      <c r="B1071" s="13"/>
      <c r="I1071" s="13"/>
      <c r="J1071" s="13" t="b">
        <v>0</v>
      </c>
    </row>
    <row r="1072">
      <c r="B1072" s="13"/>
      <c r="I1072" s="13"/>
      <c r="J1072" s="13" t="b">
        <v>0</v>
      </c>
    </row>
    <row r="1073">
      <c r="B1073" s="13"/>
      <c r="I1073" s="13"/>
      <c r="J1073" s="13" t="b">
        <v>0</v>
      </c>
    </row>
    <row r="1074">
      <c r="B1074" s="13"/>
      <c r="I1074" s="13"/>
      <c r="J1074" s="13" t="b">
        <v>0</v>
      </c>
    </row>
    <row r="1075">
      <c r="B1075" s="13"/>
      <c r="I1075" s="13"/>
      <c r="J1075" s="13" t="b">
        <v>0</v>
      </c>
    </row>
    <row r="1076">
      <c r="B1076" s="13"/>
      <c r="I1076" s="13"/>
      <c r="J1076" s="13" t="b">
        <v>0</v>
      </c>
    </row>
    <row r="1077">
      <c r="B1077" s="13"/>
      <c r="I1077" s="13"/>
      <c r="J1077" s="13" t="b">
        <v>0</v>
      </c>
    </row>
    <row r="1078">
      <c r="B1078" s="13"/>
      <c r="I1078" s="13"/>
      <c r="J1078" s="13" t="b">
        <v>0</v>
      </c>
    </row>
    <row r="1079">
      <c r="B1079" s="13"/>
      <c r="I1079" s="13"/>
      <c r="J1079" s="13" t="b">
        <v>0</v>
      </c>
    </row>
    <row r="1080">
      <c r="B1080" s="13"/>
      <c r="I1080" s="13"/>
      <c r="J1080" s="13" t="b">
        <v>0</v>
      </c>
    </row>
    <row r="1081">
      <c r="B1081" s="13"/>
      <c r="I1081" s="13"/>
      <c r="J1081" s="13" t="b">
        <v>0</v>
      </c>
    </row>
    <row r="1082">
      <c r="B1082" s="13"/>
      <c r="I1082" s="13"/>
      <c r="J1082" s="13" t="b">
        <v>0</v>
      </c>
    </row>
    <row r="1083">
      <c r="B1083" s="13"/>
      <c r="I1083" s="13"/>
      <c r="J1083" s="13" t="b">
        <v>0</v>
      </c>
    </row>
    <row r="1084">
      <c r="B1084" s="13"/>
      <c r="I1084" s="13"/>
      <c r="J1084" s="13" t="b">
        <v>0</v>
      </c>
    </row>
    <row r="1085">
      <c r="B1085" s="13"/>
      <c r="I1085" s="13"/>
      <c r="J1085" s="13" t="b">
        <v>0</v>
      </c>
    </row>
    <row r="1086">
      <c r="B1086" s="13"/>
      <c r="I1086" s="13"/>
      <c r="J1086" s="13" t="b">
        <v>0</v>
      </c>
    </row>
    <row r="1087">
      <c r="B1087" s="13"/>
      <c r="I1087" s="13"/>
      <c r="J1087" s="13" t="b">
        <v>0</v>
      </c>
    </row>
    <row r="1088">
      <c r="B1088" s="13"/>
      <c r="I1088" s="13"/>
      <c r="J1088" s="13" t="b">
        <v>0</v>
      </c>
    </row>
    <row r="1089">
      <c r="B1089" s="13"/>
      <c r="I1089" s="13"/>
      <c r="J1089" s="13" t="b">
        <v>0</v>
      </c>
    </row>
    <row r="1090">
      <c r="B1090" s="13"/>
      <c r="I1090" s="13"/>
      <c r="J1090" s="13" t="b">
        <v>0</v>
      </c>
    </row>
    <row r="1091">
      <c r="B1091" s="13"/>
      <c r="I1091" s="13"/>
      <c r="J1091" s="13" t="b">
        <v>0</v>
      </c>
    </row>
    <row r="1092">
      <c r="B1092" s="13"/>
      <c r="I1092" s="13"/>
      <c r="J1092" s="13" t="b">
        <v>0</v>
      </c>
    </row>
    <row r="1093">
      <c r="B1093" s="13"/>
      <c r="I1093" s="13"/>
      <c r="J1093" s="13" t="b">
        <v>0</v>
      </c>
    </row>
    <row r="1094">
      <c r="B1094" s="13"/>
      <c r="I1094" s="13"/>
      <c r="J1094" s="13" t="b">
        <v>0</v>
      </c>
    </row>
    <row r="1095">
      <c r="B1095" s="13"/>
      <c r="I1095" s="13"/>
      <c r="J1095" s="13" t="b">
        <v>0</v>
      </c>
    </row>
    <row r="1096">
      <c r="B1096" s="13"/>
      <c r="I1096" s="13"/>
      <c r="J1096" s="13" t="b">
        <v>0</v>
      </c>
    </row>
    <row r="1097">
      <c r="B1097" s="13"/>
      <c r="I1097" s="13"/>
      <c r="J1097" s="13" t="b">
        <v>0</v>
      </c>
    </row>
    <row r="1098">
      <c r="B1098" s="13"/>
      <c r="I1098" s="13"/>
      <c r="J1098" s="13" t="b">
        <v>0</v>
      </c>
    </row>
    <row r="1099">
      <c r="B1099" s="13"/>
      <c r="I1099" s="13"/>
      <c r="J1099" s="13" t="b">
        <v>0</v>
      </c>
    </row>
    <row r="1100">
      <c r="B1100" s="13"/>
      <c r="I1100" s="13"/>
      <c r="J1100" s="13" t="b">
        <v>0</v>
      </c>
    </row>
    <row r="1101">
      <c r="B1101" s="13"/>
      <c r="I1101" s="13"/>
      <c r="J1101" s="13" t="b">
        <v>0</v>
      </c>
    </row>
    <row r="1102">
      <c r="B1102" s="13"/>
      <c r="I1102" s="13"/>
      <c r="J1102" s="13" t="b">
        <v>0</v>
      </c>
    </row>
    <row r="1103">
      <c r="B1103" s="13"/>
      <c r="I1103" s="13"/>
      <c r="J1103" s="13" t="b">
        <v>0</v>
      </c>
    </row>
    <row r="1104">
      <c r="B1104" s="13"/>
      <c r="I1104" s="13"/>
      <c r="J1104" s="13" t="b">
        <v>0</v>
      </c>
    </row>
    <row r="1105">
      <c r="B1105" s="13"/>
      <c r="I1105" s="13"/>
      <c r="J1105" s="13" t="b">
        <v>0</v>
      </c>
    </row>
    <row r="1106">
      <c r="B1106" s="13"/>
      <c r="I1106" s="13"/>
      <c r="J1106" s="13" t="b">
        <v>0</v>
      </c>
    </row>
    <row r="1107">
      <c r="B1107" s="13"/>
      <c r="I1107" s="13"/>
      <c r="J1107" s="13" t="b">
        <v>0</v>
      </c>
    </row>
    <row r="1108">
      <c r="B1108" s="13"/>
      <c r="I1108" s="13"/>
      <c r="J1108" s="13" t="b">
        <v>0</v>
      </c>
    </row>
    <row r="1109">
      <c r="B1109" s="13"/>
      <c r="I1109" s="13"/>
      <c r="J1109" s="13" t="b">
        <v>0</v>
      </c>
    </row>
    <row r="1110">
      <c r="B1110" s="13"/>
      <c r="I1110" s="13"/>
      <c r="J1110" s="13" t="b">
        <v>0</v>
      </c>
    </row>
    <row r="1111">
      <c r="B1111" s="13"/>
      <c r="I1111" s="13"/>
      <c r="J1111" s="13" t="b">
        <v>0</v>
      </c>
    </row>
    <row r="1112">
      <c r="B1112" s="13"/>
      <c r="I1112" s="13"/>
      <c r="J1112" s="13" t="b">
        <v>0</v>
      </c>
    </row>
    <row r="1113">
      <c r="B1113" s="13"/>
      <c r="I1113" s="13"/>
      <c r="J1113" s="13" t="b">
        <v>0</v>
      </c>
    </row>
    <row r="1114">
      <c r="B1114" s="13"/>
      <c r="I1114" s="13"/>
      <c r="J1114" s="13" t="b">
        <v>0</v>
      </c>
    </row>
    <row r="1115">
      <c r="B1115" s="13"/>
      <c r="I1115" s="13"/>
      <c r="J1115" s="13" t="b">
        <v>0</v>
      </c>
    </row>
    <row r="1116">
      <c r="B1116" s="13"/>
      <c r="I1116" s="13"/>
      <c r="J1116" s="13" t="b">
        <v>0</v>
      </c>
    </row>
    <row r="1117">
      <c r="B1117" s="13"/>
      <c r="I1117" s="13"/>
      <c r="J1117" s="13" t="b">
        <v>0</v>
      </c>
    </row>
    <row r="1118">
      <c r="B1118" s="13"/>
      <c r="I1118" s="13"/>
      <c r="J1118" s="13" t="b">
        <v>0</v>
      </c>
    </row>
    <row r="1119">
      <c r="B1119" s="13"/>
      <c r="I1119" s="13"/>
      <c r="J1119" s="13" t="b">
        <v>0</v>
      </c>
    </row>
    <row r="1120">
      <c r="B1120" s="13"/>
      <c r="I1120" s="13"/>
      <c r="J1120" s="13" t="b">
        <v>0</v>
      </c>
    </row>
    <row r="1121">
      <c r="B1121" s="13"/>
      <c r="I1121" s="13"/>
      <c r="J1121" s="13" t="b">
        <v>0</v>
      </c>
    </row>
    <row r="1122">
      <c r="B1122" s="13"/>
      <c r="I1122" s="13"/>
      <c r="J1122" s="13" t="b">
        <v>0</v>
      </c>
    </row>
    <row r="1123">
      <c r="B1123" s="13"/>
      <c r="I1123" s="13"/>
      <c r="J1123" s="13" t="b">
        <v>0</v>
      </c>
    </row>
    <row r="1124">
      <c r="B1124" s="13"/>
      <c r="I1124" s="13"/>
      <c r="J1124" s="13" t="b">
        <v>0</v>
      </c>
    </row>
    <row r="1125">
      <c r="B1125" s="13"/>
      <c r="I1125" s="13"/>
      <c r="J1125" s="13" t="b">
        <v>0</v>
      </c>
    </row>
    <row r="1126">
      <c r="B1126" s="13"/>
      <c r="I1126" s="13"/>
      <c r="J1126" s="13" t="b">
        <v>0</v>
      </c>
    </row>
    <row r="1127">
      <c r="B1127" s="13"/>
      <c r="I1127" s="13"/>
      <c r="J1127" s="13" t="b">
        <v>0</v>
      </c>
    </row>
    <row r="1128">
      <c r="B1128" s="13"/>
      <c r="I1128" s="13"/>
      <c r="J1128" s="13" t="b">
        <v>0</v>
      </c>
    </row>
    <row r="1129">
      <c r="B1129" s="13"/>
      <c r="I1129" s="13"/>
      <c r="J1129" s="13" t="b">
        <v>0</v>
      </c>
    </row>
    <row r="1130">
      <c r="B1130" s="13"/>
      <c r="I1130" s="13"/>
      <c r="J1130" s="13" t="b">
        <v>0</v>
      </c>
    </row>
    <row r="1131">
      <c r="B1131" s="13"/>
      <c r="I1131" s="13"/>
      <c r="J1131" s="13" t="b">
        <v>0</v>
      </c>
    </row>
    <row r="1132">
      <c r="B1132" s="13"/>
      <c r="I1132" s="13"/>
      <c r="J1132" s="13" t="b">
        <v>0</v>
      </c>
    </row>
    <row r="1133">
      <c r="B1133" s="13"/>
      <c r="I1133" s="13"/>
      <c r="J1133" s="13" t="b">
        <v>0</v>
      </c>
    </row>
    <row r="1134">
      <c r="B1134" s="13"/>
      <c r="I1134" s="13"/>
      <c r="J1134" s="13" t="b">
        <v>0</v>
      </c>
    </row>
    <row r="1135">
      <c r="B1135" s="13"/>
      <c r="I1135" s="13"/>
      <c r="J1135" s="13" t="b">
        <v>0</v>
      </c>
    </row>
    <row r="1136">
      <c r="B1136" s="13"/>
      <c r="I1136" s="13"/>
      <c r="J1136" s="13" t="b">
        <v>0</v>
      </c>
    </row>
    <row r="1137">
      <c r="B1137" s="13"/>
      <c r="I1137" s="13"/>
      <c r="J1137" s="13" t="b">
        <v>0</v>
      </c>
    </row>
    <row r="1138">
      <c r="B1138" s="13"/>
      <c r="I1138" s="13"/>
      <c r="J1138" s="13" t="b">
        <v>0</v>
      </c>
    </row>
    <row r="1139">
      <c r="B1139" s="13"/>
      <c r="I1139" s="13"/>
      <c r="J1139" s="13" t="b">
        <v>0</v>
      </c>
    </row>
    <row r="1140">
      <c r="B1140" s="13"/>
      <c r="I1140" s="13"/>
      <c r="J1140" s="13" t="b">
        <v>0</v>
      </c>
    </row>
    <row r="1141">
      <c r="B1141" s="13"/>
      <c r="I1141" s="13"/>
      <c r="J1141" s="13" t="b">
        <v>0</v>
      </c>
    </row>
    <row r="1142">
      <c r="B1142" s="13"/>
      <c r="I1142" s="13"/>
      <c r="J1142" s="13" t="b">
        <v>0</v>
      </c>
    </row>
    <row r="1143">
      <c r="B1143" s="13"/>
      <c r="I1143" s="13"/>
      <c r="J1143" s="13" t="b">
        <v>0</v>
      </c>
    </row>
    <row r="1144">
      <c r="B1144" s="13"/>
      <c r="I1144" s="13"/>
      <c r="J1144" s="13" t="b">
        <v>0</v>
      </c>
    </row>
    <row r="1145">
      <c r="B1145" s="13"/>
      <c r="I1145" s="13"/>
      <c r="J1145" s="13" t="b">
        <v>0</v>
      </c>
    </row>
    <row r="1146">
      <c r="B1146" s="13"/>
      <c r="I1146" s="13"/>
      <c r="J1146" s="13" t="b">
        <v>0</v>
      </c>
    </row>
    <row r="1147">
      <c r="B1147" s="13"/>
      <c r="I1147" s="13"/>
      <c r="J1147" s="13" t="b">
        <v>0</v>
      </c>
    </row>
    <row r="1148">
      <c r="B1148" s="13"/>
      <c r="I1148" s="13"/>
      <c r="J1148" s="13" t="b">
        <v>0</v>
      </c>
    </row>
    <row r="1149">
      <c r="B1149" s="13"/>
      <c r="I1149" s="13"/>
      <c r="J1149" s="13" t="b">
        <v>0</v>
      </c>
    </row>
    <row r="1150">
      <c r="B1150" s="13"/>
      <c r="I1150" s="13"/>
      <c r="J1150" s="13" t="b">
        <v>0</v>
      </c>
    </row>
    <row r="1151">
      <c r="B1151" s="13"/>
      <c r="I1151" s="13"/>
      <c r="J1151" s="13" t="b">
        <v>0</v>
      </c>
    </row>
    <row r="1152">
      <c r="B1152" s="13"/>
      <c r="I1152" s="13"/>
      <c r="J1152" s="13" t="b">
        <v>0</v>
      </c>
    </row>
    <row r="1153">
      <c r="B1153" s="13"/>
      <c r="I1153" s="13"/>
      <c r="J1153" s="13" t="b">
        <v>0</v>
      </c>
    </row>
    <row r="1154">
      <c r="B1154" s="13"/>
      <c r="I1154" s="13"/>
      <c r="J1154" s="13" t="b">
        <v>0</v>
      </c>
    </row>
    <row r="1155">
      <c r="B1155" s="13"/>
      <c r="I1155" s="13"/>
      <c r="J1155" s="13" t="b">
        <v>0</v>
      </c>
    </row>
    <row r="1156">
      <c r="B1156" s="13"/>
      <c r="I1156" s="13"/>
      <c r="J1156" s="13" t="b">
        <v>0</v>
      </c>
    </row>
    <row r="1157">
      <c r="B1157" s="13"/>
      <c r="I1157" s="13"/>
      <c r="J1157" s="13" t="b">
        <v>0</v>
      </c>
    </row>
    <row r="1158">
      <c r="B1158" s="13"/>
      <c r="I1158" s="13"/>
      <c r="J1158" s="13" t="b">
        <v>0</v>
      </c>
    </row>
    <row r="1159">
      <c r="B1159" s="13"/>
      <c r="I1159" s="13"/>
      <c r="J1159" s="13" t="b">
        <v>0</v>
      </c>
    </row>
    <row r="1160">
      <c r="B1160" s="13"/>
      <c r="I1160" s="13"/>
      <c r="J1160" s="13" t="b">
        <v>0</v>
      </c>
    </row>
    <row r="1161">
      <c r="B1161" s="13"/>
      <c r="I1161" s="13"/>
      <c r="J1161" s="13" t="b">
        <v>0</v>
      </c>
    </row>
    <row r="1162">
      <c r="B1162" s="13"/>
      <c r="I1162" s="13"/>
      <c r="J1162" s="13" t="b">
        <v>0</v>
      </c>
    </row>
    <row r="1163">
      <c r="B1163" s="13"/>
      <c r="I1163" s="13"/>
      <c r="J1163" s="13" t="b">
        <v>0</v>
      </c>
    </row>
    <row r="1164">
      <c r="B1164" s="13"/>
      <c r="I1164" s="13"/>
      <c r="J1164" s="13" t="b">
        <v>0</v>
      </c>
    </row>
    <row r="1165">
      <c r="B1165" s="13"/>
      <c r="I1165" s="13"/>
      <c r="J1165" s="13" t="b">
        <v>0</v>
      </c>
    </row>
    <row r="1166">
      <c r="B1166" s="13"/>
      <c r="I1166" s="13"/>
      <c r="J1166" s="13" t="b">
        <v>0</v>
      </c>
    </row>
    <row r="1167">
      <c r="B1167" s="13"/>
      <c r="I1167" s="13"/>
      <c r="J1167" s="13" t="b">
        <v>0</v>
      </c>
    </row>
    <row r="1168">
      <c r="B1168" s="13"/>
      <c r="I1168" s="13"/>
      <c r="J1168" s="13" t="b">
        <v>0</v>
      </c>
    </row>
    <row r="1169">
      <c r="B1169" s="13"/>
      <c r="I1169" s="13"/>
      <c r="J1169" s="13" t="b">
        <v>0</v>
      </c>
    </row>
    <row r="1170">
      <c r="B1170" s="13"/>
      <c r="I1170" s="13"/>
      <c r="J1170" s="13" t="b">
        <v>0</v>
      </c>
    </row>
    <row r="1171">
      <c r="B1171" s="13"/>
      <c r="I1171" s="13"/>
      <c r="J1171" s="13" t="b">
        <v>0</v>
      </c>
    </row>
    <row r="1172">
      <c r="B1172" s="13"/>
      <c r="I1172" s="13"/>
      <c r="J1172" s="13" t="b">
        <v>0</v>
      </c>
    </row>
    <row r="1173">
      <c r="B1173" s="13"/>
      <c r="I1173" s="13"/>
      <c r="J1173" s="13" t="b">
        <v>0</v>
      </c>
    </row>
    <row r="1174">
      <c r="B1174" s="13"/>
      <c r="I1174" s="13"/>
      <c r="J1174" s="13" t="b">
        <v>0</v>
      </c>
    </row>
    <row r="1175">
      <c r="B1175" s="13"/>
      <c r="I1175" s="13"/>
      <c r="J1175" s="13" t="b">
        <v>0</v>
      </c>
    </row>
    <row r="1176">
      <c r="B1176" s="13"/>
      <c r="I1176" s="13"/>
      <c r="J1176" s="13" t="b">
        <v>0</v>
      </c>
    </row>
    <row r="1177">
      <c r="B1177" s="13"/>
      <c r="I1177" s="13"/>
      <c r="J1177" s="13" t="b">
        <v>0</v>
      </c>
    </row>
    <row r="1178">
      <c r="B1178" s="13"/>
      <c r="I1178" s="13"/>
      <c r="J1178" s="13" t="b">
        <v>0</v>
      </c>
    </row>
    <row r="1179">
      <c r="B1179" s="13"/>
      <c r="I1179" s="13"/>
      <c r="J1179" s="13" t="b">
        <v>0</v>
      </c>
    </row>
    <row r="1180">
      <c r="B1180" s="13"/>
      <c r="I1180" s="13"/>
      <c r="J1180" s="13" t="b">
        <v>0</v>
      </c>
    </row>
    <row r="1181">
      <c r="B1181" s="13"/>
      <c r="I1181" s="13"/>
      <c r="J1181" s="13" t="b">
        <v>0</v>
      </c>
    </row>
    <row r="1182">
      <c r="B1182" s="13"/>
      <c r="I1182" s="13"/>
      <c r="J1182" s="13" t="b">
        <v>0</v>
      </c>
    </row>
    <row r="1183">
      <c r="B1183" s="13"/>
      <c r="I1183" s="13"/>
      <c r="J1183" s="13" t="b">
        <v>0</v>
      </c>
    </row>
    <row r="1184">
      <c r="B1184" s="13"/>
      <c r="I1184" s="13"/>
      <c r="J1184" s="13" t="b">
        <v>0</v>
      </c>
    </row>
    <row r="1185">
      <c r="B1185" s="13"/>
      <c r="I1185" s="13"/>
      <c r="J1185" s="13" t="b">
        <v>0</v>
      </c>
    </row>
    <row r="1186">
      <c r="B1186" s="13"/>
      <c r="I1186" s="13"/>
      <c r="J1186" s="13" t="b">
        <v>0</v>
      </c>
    </row>
    <row r="1187">
      <c r="B1187" s="13"/>
      <c r="I1187" s="13"/>
      <c r="J1187" s="13" t="b">
        <v>0</v>
      </c>
    </row>
    <row r="1188">
      <c r="B1188" s="13"/>
      <c r="I1188" s="13"/>
      <c r="J1188" s="13" t="b">
        <v>0</v>
      </c>
    </row>
    <row r="1189">
      <c r="B1189" s="13"/>
      <c r="I1189" s="13"/>
      <c r="J1189" s="13" t="b">
        <v>0</v>
      </c>
    </row>
    <row r="1190">
      <c r="B1190" s="13"/>
      <c r="I1190" s="13"/>
      <c r="J1190" s="13" t="b">
        <v>0</v>
      </c>
    </row>
    <row r="1191">
      <c r="B1191" s="13"/>
      <c r="I1191" s="13"/>
      <c r="J1191" s="13" t="b">
        <v>0</v>
      </c>
    </row>
    <row r="1192">
      <c r="B1192" s="13"/>
      <c r="I1192" s="13"/>
      <c r="J1192" s="13" t="b">
        <v>0</v>
      </c>
    </row>
    <row r="1193">
      <c r="B1193" s="13"/>
      <c r="I1193" s="13"/>
      <c r="J1193" s="13" t="b">
        <v>0</v>
      </c>
    </row>
    <row r="1194">
      <c r="B1194" s="13"/>
      <c r="I1194" s="13"/>
      <c r="J1194" s="13" t="b">
        <v>0</v>
      </c>
    </row>
    <row r="1195">
      <c r="B1195" s="13"/>
      <c r="I1195" s="13"/>
      <c r="J1195" s="13" t="b">
        <v>0</v>
      </c>
    </row>
    <row r="1196">
      <c r="B1196" s="13"/>
      <c r="I1196" s="13"/>
      <c r="J1196" s="13" t="b">
        <v>0</v>
      </c>
    </row>
    <row r="1197">
      <c r="B1197" s="13"/>
      <c r="I1197" s="13"/>
      <c r="J1197" s="13" t="b">
        <v>0</v>
      </c>
    </row>
    <row r="1198">
      <c r="B1198" s="13"/>
      <c r="I1198" s="13"/>
      <c r="J1198" s="13" t="b">
        <v>0</v>
      </c>
    </row>
    <row r="1199">
      <c r="B1199" s="13"/>
      <c r="I1199" s="13"/>
      <c r="J1199" s="13" t="b">
        <v>0</v>
      </c>
    </row>
    <row r="1200">
      <c r="B1200" s="13"/>
      <c r="I1200" s="13"/>
      <c r="J1200" s="13" t="b">
        <v>0</v>
      </c>
    </row>
    <row r="1201">
      <c r="B1201" s="13"/>
      <c r="I1201" s="13"/>
      <c r="J1201" s="13" t="b">
        <v>0</v>
      </c>
    </row>
    <row r="1202">
      <c r="B1202" s="13"/>
      <c r="I1202" s="13"/>
      <c r="J1202" s="13" t="b">
        <v>0</v>
      </c>
    </row>
    <row r="1203">
      <c r="B1203" s="13"/>
      <c r="I1203" s="13"/>
      <c r="J1203" s="13" t="b">
        <v>0</v>
      </c>
    </row>
    <row r="1204">
      <c r="B1204" s="13"/>
      <c r="I1204" s="13"/>
      <c r="J1204" s="13" t="b">
        <v>0</v>
      </c>
    </row>
    <row r="1205">
      <c r="B1205" s="13"/>
      <c r="I1205" s="13"/>
      <c r="J1205" s="13" t="b">
        <v>0</v>
      </c>
    </row>
    <row r="1206">
      <c r="B1206" s="13"/>
      <c r="I1206" s="13"/>
      <c r="J1206" s="13" t="b">
        <v>0</v>
      </c>
    </row>
    <row r="1207">
      <c r="B1207" s="13"/>
      <c r="I1207" s="13"/>
      <c r="J1207" s="13" t="b">
        <v>0</v>
      </c>
    </row>
    <row r="1208">
      <c r="B1208" s="13"/>
      <c r="I1208" s="13"/>
      <c r="J1208" s="13" t="b">
        <v>0</v>
      </c>
    </row>
    <row r="1209">
      <c r="B1209" s="13"/>
      <c r="I1209" s="13"/>
      <c r="J1209" s="13" t="b">
        <v>0</v>
      </c>
    </row>
    <row r="1210">
      <c r="B1210" s="13"/>
      <c r="I1210" s="13"/>
      <c r="J1210" s="13" t="b">
        <v>0</v>
      </c>
    </row>
    <row r="1211">
      <c r="B1211" s="13"/>
      <c r="I1211" s="13"/>
      <c r="J1211" s="13" t="b">
        <v>0</v>
      </c>
    </row>
    <row r="1212">
      <c r="B1212" s="13"/>
      <c r="I1212" s="13"/>
      <c r="J1212" s="13" t="b">
        <v>0</v>
      </c>
    </row>
    <row r="1213">
      <c r="B1213" s="13"/>
      <c r="I1213" s="13"/>
      <c r="J1213" s="13" t="b">
        <v>0</v>
      </c>
    </row>
    <row r="1214">
      <c r="B1214" s="13"/>
      <c r="I1214" s="13"/>
      <c r="J1214" s="13" t="b">
        <v>0</v>
      </c>
    </row>
    <row r="1215">
      <c r="B1215" s="13"/>
      <c r="I1215" s="13"/>
      <c r="J1215" s="13" t="b">
        <v>0</v>
      </c>
    </row>
    <row r="1216">
      <c r="B1216" s="13"/>
      <c r="I1216" s="13"/>
      <c r="J1216" s="13" t="b">
        <v>0</v>
      </c>
    </row>
    <row r="1217">
      <c r="B1217" s="13"/>
      <c r="I1217" s="13"/>
      <c r="J1217" s="13" t="b">
        <v>0</v>
      </c>
    </row>
    <row r="1218">
      <c r="B1218" s="13"/>
      <c r="I1218" s="13"/>
      <c r="J1218" s="13" t="b">
        <v>0</v>
      </c>
    </row>
    <row r="1219">
      <c r="B1219" s="13"/>
      <c r="I1219" s="13"/>
      <c r="J1219" s="13" t="b">
        <v>0</v>
      </c>
    </row>
    <row r="1220">
      <c r="B1220" s="13"/>
      <c r="I1220" s="13"/>
      <c r="J1220" s="13" t="b">
        <v>0</v>
      </c>
    </row>
    <row r="1221">
      <c r="B1221" s="13"/>
      <c r="I1221" s="13"/>
      <c r="J1221" s="13" t="b">
        <v>0</v>
      </c>
    </row>
    <row r="1222">
      <c r="B1222" s="13"/>
      <c r="I1222" s="13"/>
      <c r="J1222" s="13" t="b">
        <v>0</v>
      </c>
    </row>
    <row r="1223">
      <c r="B1223" s="13"/>
      <c r="I1223" s="13"/>
      <c r="J1223" s="13" t="b">
        <v>0</v>
      </c>
    </row>
    <row r="1224">
      <c r="B1224" s="13"/>
      <c r="I1224" s="13"/>
      <c r="J1224" s="13" t="b">
        <v>0</v>
      </c>
    </row>
    <row r="1225">
      <c r="B1225" s="13"/>
      <c r="I1225" s="13"/>
      <c r="J1225" s="13" t="b">
        <v>0</v>
      </c>
    </row>
    <row r="1226">
      <c r="B1226" s="13"/>
      <c r="I1226" s="13"/>
      <c r="J1226" s="13" t="b">
        <v>0</v>
      </c>
    </row>
    <row r="1227">
      <c r="B1227" s="13"/>
      <c r="I1227" s="13"/>
      <c r="J1227" s="13" t="b">
        <v>0</v>
      </c>
    </row>
    <row r="1228">
      <c r="B1228" s="13"/>
      <c r="I1228" s="13"/>
      <c r="J1228" s="13" t="b">
        <v>0</v>
      </c>
    </row>
    <row r="1229">
      <c r="B1229" s="13"/>
      <c r="I1229" s="13"/>
      <c r="J1229" s="13" t="b">
        <v>0</v>
      </c>
    </row>
    <row r="1230">
      <c r="B1230" s="13"/>
      <c r="I1230" s="13"/>
      <c r="J1230" s="13" t="b">
        <v>0</v>
      </c>
    </row>
    <row r="1231">
      <c r="B1231" s="13"/>
      <c r="I1231" s="13"/>
      <c r="J1231" s="13" t="b">
        <v>0</v>
      </c>
    </row>
    <row r="1232">
      <c r="B1232" s="13"/>
      <c r="I1232" s="13"/>
      <c r="J1232" s="13" t="b">
        <v>0</v>
      </c>
    </row>
    <row r="1233">
      <c r="B1233" s="13"/>
      <c r="I1233" s="13"/>
      <c r="J1233" s="13" t="b">
        <v>0</v>
      </c>
    </row>
    <row r="1234">
      <c r="B1234" s="13"/>
      <c r="I1234" s="13"/>
      <c r="J1234" s="13" t="b">
        <v>0</v>
      </c>
    </row>
    <row r="1235">
      <c r="B1235" s="13"/>
      <c r="I1235" s="13"/>
      <c r="J1235" s="13" t="b">
        <v>0</v>
      </c>
    </row>
    <row r="1236">
      <c r="B1236" s="13"/>
      <c r="I1236" s="13"/>
      <c r="J1236" s="13" t="b">
        <v>0</v>
      </c>
    </row>
    <row r="1237">
      <c r="B1237" s="13"/>
      <c r="I1237" s="13"/>
      <c r="J1237" s="13" t="b">
        <v>0</v>
      </c>
    </row>
    <row r="1238">
      <c r="B1238" s="13"/>
      <c r="I1238" s="13"/>
      <c r="J1238" s="13" t="b">
        <v>0</v>
      </c>
    </row>
    <row r="1239">
      <c r="B1239" s="13"/>
      <c r="I1239" s="13"/>
      <c r="J1239" s="13" t="b">
        <v>0</v>
      </c>
    </row>
    <row r="1240">
      <c r="B1240" s="13"/>
      <c r="I1240" s="13"/>
      <c r="J1240" s="13" t="b">
        <v>0</v>
      </c>
    </row>
    <row r="1241">
      <c r="B1241" s="13"/>
      <c r="I1241" s="13"/>
      <c r="J1241" s="13" t="b">
        <v>0</v>
      </c>
    </row>
    <row r="1242">
      <c r="B1242" s="13"/>
      <c r="I1242" s="13"/>
      <c r="J1242" s="13" t="b">
        <v>0</v>
      </c>
    </row>
    <row r="1243">
      <c r="B1243" s="13"/>
      <c r="I1243" s="13"/>
      <c r="J1243" s="13" t="b">
        <v>0</v>
      </c>
    </row>
    <row r="1244">
      <c r="B1244" s="13"/>
      <c r="I1244" s="13"/>
      <c r="J1244" s="13" t="b">
        <v>0</v>
      </c>
    </row>
    <row r="1245">
      <c r="B1245" s="13"/>
      <c r="I1245" s="13"/>
      <c r="J1245" s="13" t="b">
        <v>0</v>
      </c>
    </row>
    <row r="1246">
      <c r="B1246" s="13"/>
      <c r="I1246" s="13"/>
      <c r="J1246" s="13" t="b">
        <v>0</v>
      </c>
    </row>
    <row r="1247">
      <c r="B1247" s="13"/>
      <c r="I1247" s="13"/>
      <c r="J1247" s="13" t="b">
        <v>0</v>
      </c>
    </row>
    <row r="1248">
      <c r="B1248" s="13"/>
      <c r="I1248" s="13"/>
      <c r="J1248" s="13" t="b">
        <v>0</v>
      </c>
    </row>
    <row r="1249">
      <c r="B1249" s="13"/>
      <c r="I1249" s="13"/>
      <c r="J1249" s="13" t="b">
        <v>0</v>
      </c>
    </row>
    <row r="1250">
      <c r="B1250" s="13"/>
      <c r="I1250" s="13"/>
      <c r="J1250" s="13" t="b">
        <v>0</v>
      </c>
    </row>
    <row r="1251">
      <c r="B1251" s="13"/>
      <c r="I1251" s="13"/>
      <c r="J1251" s="13" t="b">
        <v>0</v>
      </c>
    </row>
    <row r="1252">
      <c r="B1252" s="13"/>
      <c r="I1252" s="13"/>
      <c r="J1252" s="13" t="b">
        <v>0</v>
      </c>
    </row>
    <row r="1253">
      <c r="B1253" s="13"/>
      <c r="I1253" s="13"/>
      <c r="J1253" s="13" t="b">
        <v>0</v>
      </c>
    </row>
    <row r="1254">
      <c r="B1254" s="13"/>
      <c r="I1254" s="13"/>
      <c r="J1254" s="13" t="b">
        <v>0</v>
      </c>
    </row>
    <row r="1255">
      <c r="B1255" s="13"/>
      <c r="I1255" s="13"/>
      <c r="J1255" s="13" t="b">
        <v>0</v>
      </c>
    </row>
    <row r="1256">
      <c r="B1256" s="13"/>
      <c r="I1256" s="13"/>
      <c r="J1256" s="13" t="b">
        <v>0</v>
      </c>
    </row>
    <row r="1257">
      <c r="B1257" s="13"/>
      <c r="I1257" s="13"/>
      <c r="J1257" s="13" t="b">
        <v>0</v>
      </c>
    </row>
    <row r="1258">
      <c r="B1258" s="13"/>
      <c r="I1258" s="13"/>
      <c r="J1258" s="13" t="b">
        <v>0</v>
      </c>
    </row>
    <row r="1259">
      <c r="B1259" s="13"/>
      <c r="I1259" s="13"/>
      <c r="J1259" s="13" t="b">
        <v>0</v>
      </c>
    </row>
    <row r="1260">
      <c r="B1260" s="13"/>
      <c r="I1260" s="13"/>
      <c r="J1260" s="13" t="b">
        <v>0</v>
      </c>
    </row>
    <row r="1261">
      <c r="B1261" s="13"/>
      <c r="I1261" s="13"/>
      <c r="J1261" s="13" t="b">
        <v>0</v>
      </c>
    </row>
    <row r="1262">
      <c r="B1262" s="13"/>
      <c r="I1262" s="13"/>
      <c r="J1262" s="13" t="b">
        <v>0</v>
      </c>
    </row>
    <row r="1263">
      <c r="B1263" s="13"/>
      <c r="I1263" s="13"/>
      <c r="J1263" s="13" t="b">
        <v>0</v>
      </c>
    </row>
    <row r="1264">
      <c r="B1264" s="13"/>
      <c r="I1264" s="13"/>
      <c r="J1264" s="13" t="b">
        <v>0</v>
      </c>
    </row>
    <row r="1265">
      <c r="B1265" s="13"/>
      <c r="I1265" s="13"/>
      <c r="J1265" s="13" t="b">
        <v>0</v>
      </c>
    </row>
    <row r="1266">
      <c r="B1266" s="13"/>
      <c r="I1266" s="13"/>
      <c r="J1266" s="13" t="b">
        <v>0</v>
      </c>
    </row>
    <row r="1267">
      <c r="B1267" s="13"/>
      <c r="I1267" s="13"/>
      <c r="J1267" s="13" t="b">
        <v>0</v>
      </c>
    </row>
    <row r="1268">
      <c r="B1268" s="13"/>
      <c r="I1268" s="13"/>
      <c r="J1268" s="13" t="b">
        <v>0</v>
      </c>
    </row>
    <row r="1269">
      <c r="B1269" s="13"/>
      <c r="I1269" s="13"/>
      <c r="J1269" s="13" t="b">
        <v>0</v>
      </c>
    </row>
    <row r="1270">
      <c r="B1270" s="13"/>
      <c r="I1270" s="13"/>
      <c r="J1270" s="13" t="b">
        <v>0</v>
      </c>
    </row>
    <row r="1271">
      <c r="B1271" s="13"/>
      <c r="I1271" s="13"/>
      <c r="J1271" s="13" t="b">
        <v>0</v>
      </c>
    </row>
    <row r="1272">
      <c r="B1272" s="13"/>
      <c r="I1272" s="13"/>
      <c r="J1272" s="13" t="b">
        <v>0</v>
      </c>
    </row>
    <row r="1273">
      <c r="B1273" s="13"/>
      <c r="I1273" s="13"/>
      <c r="J1273" s="13" t="b">
        <v>0</v>
      </c>
    </row>
    <row r="1274">
      <c r="B1274" s="13"/>
      <c r="I1274" s="13"/>
      <c r="J1274" s="13" t="b">
        <v>0</v>
      </c>
    </row>
    <row r="1275">
      <c r="B1275" s="13"/>
      <c r="I1275" s="13"/>
      <c r="J1275" s="13" t="b">
        <v>0</v>
      </c>
    </row>
    <row r="1276">
      <c r="B1276" s="13"/>
      <c r="I1276" s="13"/>
      <c r="J1276" s="13" t="b">
        <v>0</v>
      </c>
    </row>
    <row r="1277">
      <c r="B1277" s="13"/>
      <c r="I1277" s="13"/>
      <c r="J1277" s="13" t="b">
        <v>0</v>
      </c>
    </row>
    <row r="1278">
      <c r="B1278" s="13"/>
      <c r="I1278" s="13"/>
      <c r="J1278" s="13" t="b">
        <v>0</v>
      </c>
    </row>
    <row r="1279">
      <c r="B1279" s="13"/>
      <c r="I1279" s="13"/>
      <c r="J1279" s="13" t="b">
        <v>0</v>
      </c>
    </row>
    <row r="1280">
      <c r="B1280" s="13"/>
      <c r="I1280" s="13"/>
      <c r="J1280" s="13" t="b">
        <v>0</v>
      </c>
    </row>
    <row r="1281">
      <c r="B1281" s="13"/>
      <c r="I1281" s="13"/>
      <c r="J1281" s="13" t="b">
        <v>0</v>
      </c>
    </row>
    <row r="1282">
      <c r="B1282" s="13"/>
      <c r="I1282" s="13"/>
      <c r="J1282" s="13" t="b">
        <v>0</v>
      </c>
    </row>
    <row r="1283">
      <c r="B1283" s="13"/>
      <c r="I1283" s="13"/>
      <c r="J1283" s="13" t="b">
        <v>0</v>
      </c>
    </row>
    <row r="1284">
      <c r="B1284" s="13"/>
      <c r="I1284" s="13"/>
      <c r="J1284" s="13" t="b">
        <v>0</v>
      </c>
    </row>
    <row r="1285">
      <c r="B1285" s="13"/>
      <c r="I1285" s="13"/>
      <c r="J1285" s="13" t="b">
        <v>0</v>
      </c>
    </row>
    <row r="1286">
      <c r="B1286" s="13"/>
      <c r="I1286" s="13"/>
      <c r="J1286" s="13" t="b">
        <v>0</v>
      </c>
    </row>
    <row r="1287">
      <c r="B1287" s="13"/>
      <c r="I1287" s="13"/>
      <c r="J1287" s="13" t="b">
        <v>0</v>
      </c>
    </row>
    <row r="1288">
      <c r="B1288" s="13"/>
      <c r="I1288" s="13"/>
      <c r="J1288" s="13" t="b">
        <v>0</v>
      </c>
    </row>
    <row r="1289">
      <c r="B1289" s="13"/>
      <c r="I1289" s="13"/>
      <c r="J1289" s="13" t="b">
        <v>0</v>
      </c>
    </row>
    <row r="1290">
      <c r="B1290" s="13"/>
      <c r="I1290" s="13"/>
      <c r="J1290" s="13" t="b">
        <v>0</v>
      </c>
    </row>
    <row r="1291">
      <c r="B1291" s="13"/>
      <c r="I1291" s="13"/>
      <c r="J1291" s="13" t="b">
        <v>0</v>
      </c>
    </row>
    <row r="1292">
      <c r="B1292" s="13"/>
      <c r="I1292" s="13"/>
      <c r="J1292" s="13" t="b">
        <v>0</v>
      </c>
    </row>
    <row r="1293">
      <c r="B1293" s="13"/>
      <c r="I1293" s="13"/>
      <c r="J1293" s="13" t="b">
        <v>0</v>
      </c>
    </row>
    <row r="1294">
      <c r="B1294" s="13"/>
      <c r="I1294" s="13"/>
      <c r="J1294" s="13" t="b">
        <v>0</v>
      </c>
    </row>
    <row r="1295">
      <c r="B1295" s="13"/>
      <c r="I1295" s="13"/>
      <c r="J1295" s="13" t="b">
        <v>0</v>
      </c>
    </row>
    <row r="1296">
      <c r="B1296" s="13"/>
      <c r="I1296" s="13"/>
      <c r="J1296" s="13" t="b">
        <v>0</v>
      </c>
    </row>
    <row r="1297">
      <c r="B1297" s="13"/>
      <c r="I1297" s="13"/>
      <c r="J1297" s="13" t="b">
        <v>0</v>
      </c>
    </row>
    <row r="1298">
      <c r="B1298" s="13"/>
      <c r="I1298" s="13"/>
      <c r="J1298" s="13" t="b">
        <v>0</v>
      </c>
    </row>
    <row r="1299">
      <c r="B1299" s="13"/>
      <c r="I1299" s="13"/>
      <c r="J1299" s="13" t="b">
        <v>0</v>
      </c>
    </row>
    <row r="1300">
      <c r="B1300" s="13"/>
      <c r="I1300" s="13"/>
      <c r="J1300" s="13" t="b">
        <v>0</v>
      </c>
    </row>
    <row r="1301">
      <c r="B1301" s="13"/>
      <c r="I1301" s="13"/>
      <c r="J1301" s="13" t="b">
        <v>0</v>
      </c>
    </row>
    <row r="1302">
      <c r="B1302" s="13"/>
      <c r="I1302" s="13"/>
      <c r="J1302" s="13" t="b">
        <v>0</v>
      </c>
    </row>
    <row r="1303">
      <c r="B1303" s="13"/>
      <c r="I1303" s="13"/>
      <c r="J1303" s="13" t="b">
        <v>0</v>
      </c>
    </row>
    <row r="1304">
      <c r="B1304" s="13"/>
      <c r="I1304" s="13"/>
      <c r="J1304" s="13" t="b">
        <v>0</v>
      </c>
    </row>
    <row r="1305">
      <c r="B1305" s="13"/>
      <c r="I1305" s="13"/>
      <c r="J1305" s="13" t="b">
        <v>0</v>
      </c>
    </row>
    <row r="1306">
      <c r="B1306" s="13"/>
      <c r="I1306" s="13"/>
      <c r="J1306" s="13" t="b">
        <v>0</v>
      </c>
    </row>
    <row r="1307">
      <c r="B1307" s="13"/>
      <c r="I1307" s="13"/>
      <c r="J1307" s="13" t="b">
        <v>0</v>
      </c>
    </row>
    <row r="1308">
      <c r="B1308" s="13"/>
      <c r="I1308" s="13"/>
      <c r="J1308" s="13" t="b">
        <v>0</v>
      </c>
    </row>
    <row r="1309">
      <c r="B1309" s="13"/>
      <c r="I1309" s="13"/>
      <c r="J1309" s="13" t="b">
        <v>0</v>
      </c>
    </row>
    <row r="1310">
      <c r="B1310" s="13"/>
      <c r="I1310" s="13"/>
      <c r="J1310" s="13" t="b">
        <v>0</v>
      </c>
    </row>
    <row r="1311">
      <c r="B1311" s="13"/>
      <c r="I1311" s="13"/>
      <c r="J1311" s="13" t="b">
        <v>0</v>
      </c>
    </row>
    <row r="1312">
      <c r="B1312" s="13"/>
      <c r="I1312" s="13"/>
      <c r="J1312" s="13" t="b">
        <v>0</v>
      </c>
    </row>
    <row r="1313">
      <c r="B1313" s="13"/>
      <c r="I1313" s="13"/>
      <c r="J1313" s="13" t="b">
        <v>0</v>
      </c>
    </row>
    <row r="1314">
      <c r="B1314" s="13"/>
      <c r="I1314" s="13"/>
      <c r="J1314" s="13" t="b">
        <v>0</v>
      </c>
    </row>
    <row r="1315">
      <c r="B1315" s="13"/>
      <c r="I1315" s="13"/>
      <c r="J1315" s="13" t="b">
        <v>0</v>
      </c>
    </row>
    <row r="1316">
      <c r="B1316" s="13"/>
      <c r="I1316" s="13"/>
      <c r="J1316" s="13" t="b">
        <v>0</v>
      </c>
    </row>
    <row r="1317">
      <c r="B1317" s="13"/>
      <c r="I1317" s="13"/>
      <c r="J1317" s="13" t="b">
        <v>0</v>
      </c>
    </row>
    <row r="1318">
      <c r="B1318" s="13"/>
      <c r="I1318" s="13"/>
      <c r="J1318" s="13" t="b">
        <v>0</v>
      </c>
    </row>
    <row r="1319">
      <c r="B1319" s="13"/>
      <c r="I1319" s="13"/>
      <c r="J1319" s="13" t="b">
        <v>0</v>
      </c>
    </row>
    <row r="1320">
      <c r="B1320" s="13"/>
      <c r="I1320" s="13"/>
      <c r="J1320" s="13" t="b">
        <v>0</v>
      </c>
    </row>
    <row r="1321">
      <c r="B1321" s="13"/>
      <c r="I1321" s="13"/>
      <c r="J1321" s="13" t="b">
        <v>0</v>
      </c>
    </row>
    <row r="1322">
      <c r="B1322" s="13"/>
      <c r="I1322" s="13"/>
      <c r="J1322" s="13" t="b">
        <v>0</v>
      </c>
    </row>
    <row r="1323">
      <c r="B1323" s="13"/>
      <c r="I1323" s="13"/>
      <c r="J1323" s="13" t="b">
        <v>0</v>
      </c>
    </row>
    <row r="1324">
      <c r="B1324" s="13"/>
      <c r="I1324" s="13"/>
      <c r="J1324" s="13" t="b">
        <v>0</v>
      </c>
    </row>
    <row r="1325">
      <c r="B1325" s="13"/>
      <c r="I1325" s="13"/>
      <c r="J1325" s="13" t="b">
        <v>0</v>
      </c>
    </row>
    <row r="1326">
      <c r="B1326" s="13"/>
      <c r="I1326" s="13"/>
      <c r="J1326" s="13" t="b">
        <v>0</v>
      </c>
    </row>
    <row r="1327">
      <c r="B1327" s="13"/>
      <c r="I1327" s="13"/>
      <c r="J1327" s="13" t="b">
        <v>0</v>
      </c>
    </row>
    <row r="1328">
      <c r="B1328" s="13"/>
      <c r="I1328" s="13"/>
      <c r="J1328" s="13" t="b">
        <v>0</v>
      </c>
    </row>
    <row r="1329">
      <c r="B1329" s="13"/>
      <c r="I1329" s="13"/>
      <c r="J1329" s="13" t="b">
        <v>0</v>
      </c>
    </row>
    <row r="1330">
      <c r="B1330" s="13"/>
      <c r="I1330" s="13"/>
      <c r="J1330" s="13" t="b">
        <v>0</v>
      </c>
    </row>
    <row r="1331">
      <c r="B1331" s="13"/>
      <c r="I1331" s="13"/>
      <c r="J1331" s="13" t="b">
        <v>0</v>
      </c>
    </row>
    <row r="1332">
      <c r="B1332" s="13"/>
      <c r="I1332" s="13"/>
      <c r="J1332" s="13" t="b">
        <v>0</v>
      </c>
    </row>
    <row r="1333">
      <c r="B1333" s="13"/>
      <c r="I1333" s="13"/>
      <c r="J1333" s="13" t="b">
        <v>0</v>
      </c>
    </row>
    <row r="1334">
      <c r="B1334" s="13"/>
      <c r="I1334" s="13"/>
      <c r="J1334" s="13" t="b">
        <v>0</v>
      </c>
    </row>
    <row r="1335">
      <c r="B1335" s="13"/>
      <c r="I1335" s="13"/>
      <c r="J1335" s="13" t="b">
        <v>0</v>
      </c>
    </row>
    <row r="1336">
      <c r="B1336" s="13"/>
      <c r="I1336" s="13"/>
      <c r="J1336" s="13" t="b">
        <v>0</v>
      </c>
    </row>
    <row r="1337">
      <c r="B1337" s="13"/>
      <c r="I1337" s="13"/>
      <c r="J1337" s="13" t="b">
        <v>0</v>
      </c>
    </row>
    <row r="1338">
      <c r="B1338" s="13"/>
      <c r="I1338" s="13"/>
      <c r="J1338" s="13" t="b">
        <v>0</v>
      </c>
    </row>
    <row r="1339">
      <c r="B1339" s="13"/>
      <c r="I1339" s="13"/>
      <c r="J1339" s="13" t="b">
        <v>0</v>
      </c>
    </row>
    <row r="1340">
      <c r="B1340" s="13"/>
      <c r="I1340" s="13"/>
      <c r="J1340" s="13" t="b">
        <v>0</v>
      </c>
    </row>
    <row r="1341">
      <c r="B1341" s="13"/>
      <c r="I1341" s="13"/>
      <c r="J1341" s="13" t="b">
        <v>0</v>
      </c>
    </row>
    <row r="1342">
      <c r="B1342" s="13"/>
      <c r="I1342" s="13"/>
      <c r="J1342" s="13" t="b">
        <v>0</v>
      </c>
    </row>
    <row r="1343">
      <c r="B1343" s="13"/>
      <c r="I1343" s="13"/>
      <c r="J1343" s="13" t="b">
        <v>0</v>
      </c>
    </row>
    <row r="1344">
      <c r="B1344" s="13"/>
      <c r="I1344" s="13"/>
      <c r="J1344" s="13" t="b">
        <v>0</v>
      </c>
    </row>
    <row r="1345">
      <c r="B1345" s="13"/>
      <c r="I1345" s="13"/>
      <c r="J1345" s="13" t="b">
        <v>0</v>
      </c>
    </row>
    <row r="1346">
      <c r="B1346" s="13"/>
      <c r="I1346" s="13"/>
      <c r="J1346" s="13" t="b">
        <v>0</v>
      </c>
    </row>
    <row r="1347">
      <c r="B1347" s="13"/>
      <c r="I1347" s="13"/>
      <c r="J1347" s="13" t="b">
        <v>0</v>
      </c>
    </row>
    <row r="1348">
      <c r="B1348" s="13"/>
      <c r="I1348" s="13"/>
      <c r="J1348" s="13" t="b">
        <v>0</v>
      </c>
    </row>
    <row r="1349">
      <c r="B1349" s="13"/>
      <c r="I1349" s="13"/>
      <c r="J1349" s="13" t="b">
        <v>0</v>
      </c>
    </row>
    <row r="1350">
      <c r="B1350" s="13"/>
      <c r="I1350" s="13"/>
      <c r="J1350" s="13" t="b">
        <v>0</v>
      </c>
    </row>
    <row r="1351">
      <c r="B1351" s="13"/>
      <c r="I1351" s="13"/>
      <c r="J1351" s="13" t="b">
        <v>0</v>
      </c>
    </row>
    <row r="1352">
      <c r="B1352" s="13"/>
      <c r="I1352" s="13"/>
      <c r="J1352" s="13" t="b">
        <v>0</v>
      </c>
    </row>
    <row r="1353">
      <c r="B1353" s="13"/>
      <c r="I1353" s="13"/>
      <c r="J1353" s="13" t="b">
        <v>0</v>
      </c>
    </row>
    <row r="1354">
      <c r="B1354" s="13"/>
      <c r="I1354" s="13"/>
      <c r="J1354" s="13" t="b">
        <v>0</v>
      </c>
    </row>
    <row r="1355">
      <c r="B1355" s="13"/>
      <c r="I1355" s="13"/>
      <c r="J1355" s="13" t="b">
        <v>0</v>
      </c>
    </row>
    <row r="1356">
      <c r="B1356" s="13"/>
      <c r="I1356" s="13"/>
      <c r="J1356" s="13" t="b">
        <v>0</v>
      </c>
    </row>
    <row r="1357">
      <c r="B1357" s="13"/>
      <c r="I1357" s="13"/>
      <c r="J1357" s="13" t="b">
        <v>0</v>
      </c>
    </row>
    <row r="1358">
      <c r="B1358" s="13"/>
      <c r="I1358" s="13"/>
      <c r="J1358" s="13" t="b">
        <v>0</v>
      </c>
    </row>
    <row r="1359">
      <c r="B1359" s="13"/>
      <c r="I1359" s="13"/>
      <c r="J1359" s="13" t="b">
        <v>0</v>
      </c>
    </row>
    <row r="1360">
      <c r="B1360" s="13"/>
      <c r="I1360" s="13"/>
      <c r="J1360" s="13" t="b">
        <v>0</v>
      </c>
    </row>
    <row r="1361">
      <c r="B1361" s="13"/>
      <c r="I1361" s="13"/>
      <c r="J1361" s="13" t="b">
        <v>0</v>
      </c>
    </row>
    <row r="1362">
      <c r="B1362" s="13"/>
      <c r="I1362" s="13"/>
      <c r="J1362" s="13" t="b">
        <v>0</v>
      </c>
    </row>
    <row r="1363">
      <c r="B1363" s="13"/>
      <c r="I1363" s="13"/>
      <c r="J1363" s="13" t="b">
        <v>0</v>
      </c>
    </row>
    <row r="1364">
      <c r="B1364" s="13"/>
      <c r="I1364" s="13"/>
      <c r="J1364" s="13" t="b">
        <v>0</v>
      </c>
    </row>
    <row r="1365">
      <c r="B1365" s="13"/>
      <c r="I1365" s="13"/>
      <c r="J1365" s="13" t="b">
        <v>0</v>
      </c>
    </row>
    <row r="1366">
      <c r="B1366" s="13"/>
      <c r="I1366" s="13"/>
      <c r="J1366" s="13" t="b">
        <v>0</v>
      </c>
    </row>
    <row r="1367">
      <c r="B1367" s="13"/>
      <c r="I1367" s="13"/>
      <c r="J1367" s="13" t="b">
        <v>0</v>
      </c>
    </row>
    <row r="1368">
      <c r="B1368" s="13"/>
      <c r="I1368" s="13"/>
      <c r="J1368" s="13" t="b">
        <v>0</v>
      </c>
    </row>
    <row r="1369">
      <c r="B1369" s="13"/>
      <c r="I1369" s="13"/>
      <c r="J1369" s="13" t="b">
        <v>0</v>
      </c>
    </row>
    <row r="1370">
      <c r="B1370" s="13"/>
      <c r="I1370" s="13"/>
      <c r="J1370" s="13" t="b">
        <v>0</v>
      </c>
    </row>
    <row r="1371">
      <c r="B1371" s="13"/>
      <c r="I1371" s="13"/>
      <c r="J1371" s="13" t="b">
        <v>0</v>
      </c>
    </row>
    <row r="1372">
      <c r="B1372" s="13"/>
      <c r="I1372" s="13"/>
      <c r="J1372" s="13" t="b">
        <v>0</v>
      </c>
    </row>
    <row r="1373">
      <c r="B1373" s="13"/>
      <c r="I1373" s="13"/>
      <c r="J1373" s="13" t="b">
        <v>0</v>
      </c>
    </row>
    <row r="1374">
      <c r="B1374" s="13"/>
      <c r="I1374" s="13"/>
      <c r="J1374" s="13" t="b">
        <v>0</v>
      </c>
    </row>
    <row r="1375">
      <c r="B1375" s="13"/>
      <c r="I1375" s="13"/>
      <c r="J1375" s="13" t="b">
        <v>0</v>
      </c>
    </row>
    <row r="1376">
      <c r="B1376" s="13"/>
      <c r="I1376" s="13"/>
      <c r="J1376" s="13" t="b">
        <v>0</v>
      </c>
    </row>
    <row r="1377">
      <c r="B1377" s="13"/>
      <c r="I1377" s="13"/>
      <c r="J1377" s="13" t="b">
        <v>0</v>
      </c>
    </row>
    <row r="1378">
      <c r="B1378" s="13"/>
      <c r="I1378" s="13"/>
      <c r="J1378" s="13" t="b">
        <v>0</v>
      </c>
    </row>
    <row r="1379">
      <c r="B1379" s="13"/>
      <c r="I1379" s="13"/>
      <c r="J1379" s="13" t="b">
        <v>0</v>
      </c>
    </row>
    <row r="1380">
      <c r="B1380" s="13"/>
      <c r="I1380" s="13"/>
      <c r="J1380" s="13" t="b">
        <v>0</v>
      </c>
    </row>
    <row r="1381">
      <c r="B1381" s="13"/>
      <c r="I1381" s="13"/>
      <c r="J1381" s="13" t="b">
        <v>0</v>
      </c>
    </row>
    <row r="1382">
      <c r="B1382" s="13"/>
      <c r="I1382" s="13"/>
      <c r="J1382" s="13" t="b">
        <v>0</v>
      </c>
    </row>
    <row r="1383">
      <c r="B1383" s="13"/>
      <c r="I1383" s="13"/>
      <c r="J1383" s="13" t="b">
        <v>0</v>
      </c>
    </row>
    <row r="1384">
      <c r="B1384" s="13"/>
      <c r="I1384" s="13"/>
      <c r="J1384" s="13" t="b">
        <v>0</v>
      </c>
    </row>
    <row r="1385">
      <c r="B1385" s="13"/>
      <c r="I1385" s="13"/>
      <c r="J1385" s="13" t="b">
        <v>0</v>
      </c>
    </row>
    <row r="1386">
      <c r="B1386" s="13"/>
      <c r="I1386" s="13"/>
      <c r="J1386" s="13" t="b">
        <v>0</v>
      </c>
    </row>
    <row r="1387">
      <c r="B1387" s="13"/>
      <c r="I1387" s="13"/>
      <c r="J1387" s="13" t="b">
        <v>0</v>
      </c>
    </row>
    <row r="1388">
      <c r="B1388" s="13"/>
      <c r="I1388" s="13"/>
      <c r="J1388" s="13" t="b">
        <v>0</v>
      </c>
    </row>
    <row r="1389">
      <c r="B1389" s="13"/>
      <c r="I1389" s="13"/>
      <c r="J1389" s="13" t="b">
        <v>0</v>
      </c>
    </row>
    <row r="1390">
      <c r="B1390" s="13"/>
      <c r="I1390" s="13"/>
      <c r="J1390" s="13" t="b">
        <v>0</v>
      </c>
    </row>
    <row r="1391">
      <c r="B1391" s="13"/>
      <c r="I1391" s="13"/>
      <c r="J1391" s="13" t="b">
        <v>0</v>
      </c>
    </row>
    <row r="1392">
      <c r="B1392" s="13"/>
      <c r="I1392" s="13"/>
      <c r="J1392" s="13" t="b">
        <v>0</v>
      </c>
    </row>
    <row r="1393">
      <c r="B1393" s="13"/>
      <c r="I1393" s="13"/>
      <c r="J1393" s="13" t="b">
        <v>0</v>
      </c>
    </row>
    <row r="1394">
      <c r="B1394" s="13"/>
      <c r="I1394" s="13"/>
      <c r="J1394" s="13" t="b">
        <v>0</v>
      </c>
    </row>
    <row r="1395">
      <c r="B1395" s="13"/>
      <c r="I1395" s="13"/>
      <c r="J1395" s="13" t="b">
        <v>0</v>
      </c>
    </row>
    <row r="1396">
      <c r="B1396" s="13"/>
      <c r="I1396" s="13"/>
      <c r="J1396" s="13" t="b">
        <v>0</v>
      </c>
    </row>
    <row r="1397">
      <c r="B1397" s="13"/>
      <c r="I1397" s="13"/>
      <c r="J1397" s="13" t="b">
        <v>0</v>
      </c>
    </row>
    <row r="1398">
      <c r="B1398" s="13"/>
      <c r="I1398" s="13"/>
      <c r="J1398" s="13" t="b">
        <v>0</v>
      </c>
    </row>
    <row r="1399">
      <c r="B1399" s="13"/>
      <c r="I1399" s="13"/>
      <c r="J1399" s="13" t="b">
        <v>0</v>
      </c>
    </row>
    <row r="1400">
      <c r="B1400" s="13"/>
      <c r="I1400" s="13"/>
      <c r="J1400" s="13" t="b">
        <v>0</v>
      </c>
    </row>
    <row r="1401">
      <c r="B1401" s="13"/>
      <c r="I1401" s="13"/>
      <c r="J1401" s="13" t="b">
        <v>0</v>
      </c>
    </row>
    <row r="1402">
      <c r="B1402" s="13"/>
      <c r="I1402" s="13"/>
      <c r="J1402" s="13" t="b">
        <v>0</v>
      </c>
    </row>
    <row r="1403">
      <c r="B1403" s="13"/>
      <c r="I1403" s="13"/>
      <c r="J1403" s="13" t="b">
        <v>0</v>
      </c>
    </row>
    <row r="1404">
      <c r="B1404" s="13"/>
      <c r="I1404" s="13"/>
      <c r="J1404" s="13" t="b">
        <v>0</v>
      </c>
    </row>
    <row r="1405">
      <c r="B1405" s="13"/>
      <c r="I1405" s="13"/>
      <c r="J1405" s="13" t="b">
        <v>0</v>
      </c>
    </row>
    <row r="1406">
      <c r="B1406" s="13"/>
      <c r="I1406" s="13"/>
      <c r="J1406" s="13" t="b">
        <v>0</v>
      </c>
    </row>
    <row r="1407">
      <c r="B1407" s="13"/>
      <c r="I1407" s="13"/>
      <c r="J1407" s="13" t="b">
        <v>0</v>
      </c>
    </row>
    <row r="1408">
      <c r="B1408" s="13"/>
      <c r="I1408" s="13"/>
      <c r="J1408" s="13" t="b">
        <v>0</v>
      </c>
    </row>
    <row r="1409">
      <c r="B1409" s="13"/>
      <c r="I1409" s="13"/>
      <c r="J1409" s="13" t="b">
        <v>0</v>
      </c>
    </row>
    <row r="1410">
      <c r="B1410" s="13"/>
      <c r="I1410" s="13"/>
      <c r="J1410" s="13" t="b">
        <v>0</v>
      </c>
    </row>
    <row r="1411">
      <c r="B1411" s="13"/>
      <c r="I1411" s="13"/>
      <c r="J1411" s="13" t="b">
        <v>0</v>
      </c>
    </row>
    <row r="1412">
      <c r="B1412" s="13"/>
      <c r="I1412" s="13"/>
      <c r="J1412" s="13" t="b">
        <v>0</v>
      </c>
    </row>
    <row r="1413">
      <c r="B1413" s="13"/>
      <c r="I1413" s="13"/>
      <c r="J1413" s="13" t="b">
        <v>0</v>
      </c>
    </row>
    <row r="1414">
      <c r="B1414" s="13"/>
      <c r="I1414" s="13"/>
      <c r="J1414" s="13" t="b">
        <v>0</v>
      </c>
    </row>
    <row r="1415">
      <c r="B1415" s="13"/>
      <c r="I1415" s="13"/>
      <c r="J1415" s="13" t="b">
        <v>0</v>
      </c>
    </row>
    <row r="1416">
      <c r="B1416" s="13"/>
      <c r="I1416" s="13"/>
      <c r="J1416" s="13" t="b">
        <v>0</v>
      </c>
    </row>
    <row r="1417">
      <c r="B1417" s="13"/>
      <c r="I1417" s="13"/>
      <c r="J1417" s="13" t="b">
        <v>0</v>
      </c>
    </row>
    <row r="1418">
      <c r="B1418" s="13"/>
      <c r="I1418" s="13"/>
      <c r="J1418" s="13" t="b">
        <v>0</v>
      </c>
    </row>
    <row r="1419">
      <c r="B1419" s="13"/>
      <c r="I1419" s="13"/>
      <c r="J1419" s="13" t="b">
        <v>0</v>
      </c>
    </row>
    <row r="1420">
      <c r="B1420" s="13"/>
      <c r="I1420" s="13"/>
      <c r="J1420" s="13" t="b">
        <v>0</v>
      </c>
    </row>
    <row r="1421">
      <c r="B1421" s="13"/>
      <c r="I1421" s="13"/>
      <c r="J1421" s="13" t="b">
        <v>0</v>
      </c>
    </row>
    <row r="1422">
      <c r="B1422" s="13"/>
      <c r="I1422" s="13"/>
      <c r="J1422" s="13" t="b">
        <v>0</v>
      </c>
    </row>
    <row r="1423">
      <c r="B1423" s="13"/>
      <c r="I1423" s="13"/>
      <c r="J1423" s="13" t="b">
        <v>0</v>
      </c>
    </row>
    <row r="1424">
      <c r="B1424" s="13"/>
      <c r="I1424" s="13"/>
      <c r="J1424" s="13" t="b">
        <v>0</v>
      </c>
    </row>
    <row r="1425">
      <c r="B1425" s="13"/>
      <c r="I1425" s="13"/>
      <c r="J1425" s="13" t="b">
        <v>0</v>
      </c>
    </row>
    <row r="1426">
      <c r="B1426" s="13"/>
      <c r="I1426" s="13"/>
      <c r="J1426" s="13" t="b">
        <v>0</v>
      </c>
    </row>
    <row r="1427">
      <c r="B1427" s="13"/>
      <c r="I1427" s="13"/>
      <c r="J1427" s="13" t="b">
        <v>0</v>
      </c>
    </row>
    <row r="1428">
      <c r="B1428" s="13"/>
      <c r="I1428" s="13"/>
      <c r="J1428" s="13" t="b">
        <v>0</v>
      </c>
    </row>
    <row r="1429">
      <c r="B1429" s="13"/>
      <c r="I1429" s="13"/>
      <c r="J1429" s="13" t="b">
        <v>0</v>
      </c>
    </row>
    <row r="1430">
      <c r="B1430" s="13"/>
      <c r="I1430" s="13"/>
      <c r="J1430" s="13" t="b">
        <v>0</v>
      </c>
    </row>
    <row r="1431">
      <c r="B1431" s="13"/>
      <c r="I1431" s="13"/>
      <c r="J1431" s="13" t="b">
        <v>0</v>
      </c>
    </row>
    <row r="1432">
      <c r="B1432" s="13"/>
      <c r="I1432" s="13"/>
      <c r="J1432" s="13" t="b">
        <v>0</v>
      </c>
    </row>
    <row r="1433">
      <c r="B1433" s="13"/>
      <c r="I1433" s="13"/>
      <c r="J1433" s="13" t="b">
        <v>0</v>
      </c>
    </row>
    <row r="1434">
      <c r="B1434" s="13"/>
      <c r="I1434" s="13"/>
      <c r="J1434" s="13" t="b">
        <v>0</v>
      </c>
    </row>
    <row r="1435">
      <c r="B1435" s="13"/>
      <c r="I1435" s="13"/>
      <c r="J1435" s="13" t="b">
        <v>0</v>
      </c>
    </row>
    <row r="1436">
      <c r="B1436" s="13"/>
      <c r="I1436" s="13"/>
      <c r="J1436" s="13" t="b">
        <v>0</v>
      </c>
    </row>
    <row r="1437">
      <c r="B1437" s="13"/>
      <c r="I1437" s="13"/>
      <c r="J1437" s="13" t="b">
        <v>0</v>
      </c>
    </row>
    <row r="1438">
      <c r="B1438" s="13"/>
      <c r="I1438" s="13"/>
      <c r="J1438" s="13" t="b">
        <v>0</v>
      </c>
    </row>
    <row r="1439">
      <c r="B1439" s="13"/>
      <c r="I1439" s="13"/>
      <c r="J1439" s="13" t="b">
        <v>0</v>
      </c>
    </row>
    <row r="1440">
      <c r="B1440" s="13"/>
      <c r="I1440" s="13"/>
      <c r="J1440" s="13" t="b">
        <v>0</v>
      </c>
    </row>
    <row r="1441">
      <c r="B1441" s="13"/>
      <c r="I1441" s="13"/>
      <c r="J1441" s="13" t="b">
        <v>0</v>
      </c>
    </row>
    <row r="1442">
      <c r="B1442" s="13"/>
      <c r="I1442" s="13"/>
      <c r="J1442" s="13" t="b">
        <v>0</v>
      </c>
    </row>
    <row r="1443">
      <c r="B1443" s="13"/>
      <c r="I1443" s="13"/>
      <c r="J1443" s="13" t="b">
        <v>0</v>
      </c>
    </row>
    <row r="1444">
      <c r="B1444" s="13"/>
      <c r="I1444" s="13"/>
      <c r="J1444" s="13" t="b">
        <v>0</v>
      </c>
    </row>
    <row r="1445">
      <c r="B1445" s="13"/>
      <c r="I1445" s="13"/>
      <c r="J1445" s="13" t="b">
        <v>0</v>
      </c>
    </row>
    <row r="1446">
      <c r="B1446" s="13"/>
      <c r="I1446" s="13"/>
      <c r="J1446" s="13" t="b">
        <v>0</v>
      </c>
    </row>
    <row r="1447">
      <c r="B1447" s="13"/>
      <c r="I1447" s="13"/>
      <c r="J1447" s="13" t="b">
        <v>0</v>
      </c>
    </row>
    <row r="1448">
      <c r="B1448" s="13"/>
      <c r="I1448" s="13"/>
      <c r="J1448" s="13" t="b">
        <v>0</v>
      </c>
    </row>
    <row r="1449">
      <c r="B1449" s="13"/>
      <c r="I1449" s="13"/>
      <c r="J1449" s="13" t="b">
        <v>0</v>
      </c>
    </row>
    <row r="1450">
      <c r="B1450" s="13"/>
      <c r="I1450" s="13"/>
      <c r="J1450" s="13" t="b">
        <v>0</v>
      </c>
    </row>
    <row r="1451">
      <c r="B1451" s="13"/>
      <c r="I1451" s="13"/>
      <c r="J1451" s="13" t="b">
        <v>0</v>
      </c>
    </row>
    <row r="1452">
      <c r="B1452" s="13"/>
      <c r="I1452" s="13"/>
      <c r="J1452" s="13" t="b">
        <v>0</v>
      </c>
    </row>
    <row r="1453">
      <c r="B1453" s="13"/>
      <c r="I1453" s="13"/>
      <c r="J1453" s="13" t="b">
        <v>0</v>
      </c>
    </row>
    <row r="1454">
      <c r="B1454" s="13"/>
      <c r="I1454" s="13"/>
      <c r="J1454" s="13" t="b">
        <v>0</v>
      </c>
    </row>
    <row r="1455">
      <c r="B1455" s="13"/>
      <c r="I1455" s="13"/>
      <c r="J1455" s="13" t="b">
        <v>0</v>
      </c>
    </row>
    <row r="1456">
      <c r="B1456" s="13"/>
      <c r="I1456" s="13"/>
      <c r="J1456" s="13" t="b">
        <v>0</v>
      </c>
    </row>
    <row r="1457">
      <c r="B1457" s="13"/>
      <c r="I1457" s="13"/>
      <c r="J1457" s="13" t="b">
        <v>0</v>
      </c>
    </row>
    <row r="1458">
      <c r="B1458" s="13"/>
      <c r="I1458" s="13"/>
      <c r="J1458" s="13" t="b">
        <v>0</v>
      </c>
    </row>
    <row r="1459">
      <c r="B1459" s="13"/>
      <c r="I1459" s="13"/>
      <c r="J1459" s="13" t="b">
        <v>0</v>
      </c>
    </row>
    <row r="1460">
      <c r="B1460" s="13"/>
      <c r="I1460" s="13"/>
      <c r="J1460" s="13" t="b">
        <v>0</v>
      </c>
    </row>
    <row r="1461">
      <c r="B1461" s="13"/>
      <c r="I1461" s="13"/>
      <c r="J1461" s="13" t="b">
        <v>0</v>
      </c>
    </row>
    <row r="1462">
      <c r="B1462" s="13"/>
      <c r="I1462" s="13"/>
      <c r="J1462" s="13" t="b">
        <v>0</v>
      </c>
    </row>
    <row r="1463">
      <c r="B1463" s="13"/>
      <c r="I1463" s="13"/>
      <c r="J1463" s="13" t="b">
        <v>0</v>
      </c>
    </row>
    <row r="1464">
      <c r="B1464" s="13"/>
      <c r="I1464" s="13"/>
      <c r="J1464" s="13" t="b">
        <v>0</v>
      </c>
    </row>
    <row r="1465">
      <c r="B1465" s="13"/>
      <c r="I1465" s="13"/>
      <c r="J1465" s="13" t="b">
        <v>0</v>
      </c>
    </row>
    <row r="1466">
      <c r="B1466" s="13"/>
      <c r="I1466" s="13"/>
      <c r="J1466" s="13" t="b">
        <v>0</v>
      </c>
    </row>
    <row r="1467">
      <c r="B1467" s="13"/>
      <c r="I1467" s="13"/>
      <c r="J1467" s="13" t="b">
        <v>0</v>
      </c>
    </row>
    <row r="1468">
      <c r="B1468" s="13"/>
      <c r="I1468" s="13"/>
      <c r="J1468" s="13" t="b">
        <v>0</v>
      </c>
    </row>
    <row r="1469">
      <c r="B1469" s="13"/>
      <c r="I1469" s="13"/>
      <c r="J1469" s="13" t="b">
        <v>0</v>
      </c>
    </row>
    <row r="1470">
      <c r="B1470" s="13"/>
      <c r="I1470" s="13"/>
      <c r="J1470" s="13" t="b">
        <v>0</v>
      </c>
    </row>
    <row r="1471">
      <c r="B1471" s="13"/>
      <c r="I1471" s="13"/>
      <c r="J1471" s="13" t="b">
        <v>0</v>
      </c>
    </row>
    <row r="1472">
      <c r="B1472" s="13"/>
      <c r="I1472" s="13"/>
      <c r="J1472" s="13" t="b">
        <v>0</v>
      </c>
    </row>
    <row r="1473">
      <c r="B1473" s="13"/>
      <c r="I1473" s="13"/>
      <c r="J1473" s="13" t="b">
        <v>0</v>
      </c>
    </row>
    <row r="1474">
      <c r="B1474" s="13"/>
      <c r="I1474" s="13"/>
      <c r="J1474" s="13" t="b">
        <v>0</v>
      </c>
    </row>
    <row r="1475">
      <c r="B1475" s="13"/>
      <c r="I1475" s="13"/>
      <c r="J1475" s="13" t="b">
        <v>0</v>
      </c>
    </row>
    <row r="1476">
      <c r="B1476" s="13"/>
      <c r="I1476" s="13"/>
      <c r="J1476" s="13" t="b">
        <v>0</v>
      </c>
    </row>
    <row r="1477">
      <c r="B1477" s="13"/>
      <c r="I1477" s="13"/>
      <c r="J1477" s="13" t="b">
        <v>0</v>
      </c>
    </row>
    <row r="1478">
      <c r="B1478" s="13"/>
      <c r="I1478" s="13"/>
      <c r="J1478" s="13" t="b">
        <v>0</v>
      </c>
    </row>
    <row r="1479">
      <c r="B1479" s="13"/>
      <c r="I1479" s="13"/>
      <c r="J1479" s="13" t="b">
        <v>0</v>
      </c>
    </row>
    <row r="1480">
      <c r="B1480" s="13"/>
      <c r="I1480" s="13"/>
      <c r="J1480" s="13" t="b">
        <v>0</v>
      </c>
    </row>
    <row r="1481">
      <c r="B1481" s="13"/>
      <c r="I1481" s="13"/>
      <c r="J1481" s="13" t="b">
        <v>0</v>
      </c>
    </row>
    <row r="1482">
      <c r="B1482" s="13"/>
      <c r="I1482" s="13"/>
      <c r="J1482" s="13" t="b">
        <v>0</v>
      </c>
    </row>
    <row r="1483">
      <c r="B1483" s="13"/>
      <c r="I1483" s="13"/>
      <c r="J1483" s="13" t="b">
        <v>0</v>
      </c>
    </row>
    <row r="1484">
      <c r="B1484" s="13"/>
      <c r="I1484" s="13"/>
      <c r="J1484" s="13" t="b">
        <v>0</v>
      </c>
    </row>
    <row r="1485">
      <c r="B1485" s="13"/>
      <c r="I1485" s="13"/>
      <c r="J1485" s="13" t="b">
        <v>0</v>
      </c>
    </row>
    <row r="1486">
      <c r="B1486" s="13"/>
      <c r="I1486" s="13"/>
      <c r="J1486" s="13" t="b">
        <v>0</v>
      </c>
    </row>
    <row r="1487">
      <c r="B1487" s="13"/>
      <c r="I1487" s="13"/>
      <c r="J1487" s="13" t="b">
        <v>0</v>
      </c>
    </row>
    <row r="1488">
      <c r="B1488" s="13"/>
      <c r="I1488" s="13"/>
      <c r="J1488" s="13" t="b">
        <v>0</v>
      </c>
    </row>
    <row r="1489">
      <c r="B1489" s="13"/>
      <c r="I1489" s="13"/>
      <c r="J1489" s="13" t="b">
        <v>0</v>
      </c>
    </row>
    <row r="1490">
      <c r="B1490" s="13"/>
      <c r="I1490" s="13"/>
      <c r="J1490" s="13" t="b">
        <v>0</v>
      </c>
    </row>
    <row r="1491">
      <c r="B1491" s="13"/>
      <c r="I1491" s="13"/>
      <c r="J1491" s="13" t="b">
        <v>0</v>
      </c>
    </row>
    <row r="1492">
      <c r="B1492" s="13"/>
      <c r="I1492" s="13"/>
      <c r="J1492" s="13" t="b">
        <v>0</v>
      </c>
    </row>
    <row r="1493">
      <c r="B1493" s="13"/>
      <c r="I1493" s="13"/>
      <c r="J1493" s="13" t="b">
        <v>0</v>
      </c>
    </row>
    <row r="1494">
      <c r="B1494" s="13"/>
      <c r="I1494" s="13"/>
      <c r="J1494" s="13" t="b">
        <v>0</v>
      </c>
    </row>
    <row r="1495">
      <c r="B1495" s="13"/>
      <c r="I1495" s="13"/>
      <c r="J1495" s="13" t="b">
        <v>0</v>
      </c>
    </row>
    <row r="1496">
      <c r="B1496" s="13"/>
      <c r="I1496" s="13"/>
      <c r="J1496" s="13" t="b">
        <v>0</v>
      </c>
    </row>
    <row r="1497">
      <c r="B1497" s="13"/>
      <c r="I1497" s="13"/>
      <c r="J1497" s="13" t="b">
        <v>0</v>
      </c>
    </row>
    <row r="1498">
      <c r="B1498" s="13"/>
      <c r="I1498" s="13"/>
      <c r="J1498" s="13" t="b">
        <v>0</v>
      </c>
    </row>
    <row r="1499">
      <c r="B1499" s="13"/>
      <c r="I1499" s="13"/>
      <c r="J1499" s="13" t="b">
        <v>0</v>
      </c>
    </row>
    <row r="1500">
      <c r="B1500" s="13"/>
      <c r="I1500" s="13"/>
      <c r="J1500" s="13" t="b">
        <v>0</v>
      </c>
    </row>
    <row r="1501">
      <c r="B1501" s="13"/>
      <c r="I1501" s="13"/>
      <c r="J1501" s="13" t="b">
        <v>0</v>
      </c>
    </row>
    <row r="1502">
      <c r="B1502" s="13"/>
      <c r="I1502" s="13"/>
      <c r="J1502" s="13" t="b">
        <v>0</v>
      </c>
    </row>
    <row r="1503">
      <c r="B1503" s="13"/>
      <c r="I1503" s="13"/>
      <c r="J1503" s="13" t="b">
        <v>0</v>
      </c>
    </row>
    <row r="1504">
      <c r="B1504" s="13"/>
      <c r="I1504" s="13"/>
      <c r="J1504" s="13" t="b">
        <v>0</v>
      </c>
    </row>
    <row r="1505">
      <c r="B1505" s="13"/>
      <c r="I1505" s="13"/>
      <c r="J1505" s="13" t="b">
        <v>0</v>
      </c>
    </row>
    <row r="1506">
      <c r="B1506" s="13"/>
      <c r="I1506" s="13"/>
      <c r="J1506" s="13" t="b">
        <v>0</v>
      </c>
    </row>
    <row r="1507">
      <c r="B1507" s="13"/>
      <c r="I1507" s="13"/>
      <c r="J1507" s="13" t="b">
        <v>0</v>
      </c>
    </row>
    <row r="1508">
      <c r="B1508" s="13"/>
      <c r="I1508" s="13"/>
      <c r="J1508" s="13" t="b">
        <v>0</v>
      </c>
    </row>
    <row r="1509">
      <c r="B1509" s="13"/>
      <c r="I1509" s="13"/>
      <c r="J1509" s="13" t="b">
        <v>0</v>
      </c>
    </row>
    <row r="1510">
      <c r="B1510" s="13"/>
      <c r="I1510" s="13"/>
      <c r="J1510" s="13" t="b">
        <v>0</v>
      </c>
    </row>
    <row r="1511">
      <c r="B1511" s="13"/>
      <c r="I1511" s="13"/>
      <c r="J1511" s="13" t="b">
        <v>0</v>
      </c>
    </row>
    <row r="1512">
      <c r="B1512" s="13"/>
      <c r="I1512" s="13"/>
      <c r="J1512" s="13" t="b">
        <v>0</v>
      </c>
    </row>
    <row r="1513">
      <c r="B1513" s="13"/>
      <c r="I1513" s="13"/>
      <c r="J1513" s="13" t="b">
        <v>0</v>
      </c>
    </row>
    <row r="1514">
      <c r="B1514" s="13"/>
      <c r="I1514" s="13"/>
      <c r="J1514" s="13" t="b">
        <v>0</v>
      </c>
    </row>
    <row r="1515">
      <c r="B1515" s="13"/>
      <c r="I1515" s="13"/>
      <c r="J1515" s="13" t="b">
        <v>0</v>
      </c>
    </row>
    <row r="1516">
      <c r="B1516" s="13"/>
      <c r="I1516" s="13"/>
      <c r="J1516" s="13" t="b">
        <v>0</v>
      </c>
    </row>
    <row r="1517">
      <c r="B1517" s="13"/>
      <c r="I1517" s="13"/>
      <c r="J1517" s="13" t="b">
        <v>0</v>
      </c>
    </row>
    <row r="1518">
      <c r="B1518" s="13"/>
      <c r="I1518" s="13"/>
      <c r="J1518" s="13" t="b">
        <v>0</v>
      </c>
    </row>
    <row r="1519">
      <c r="B1519" s="13"/>
      <c r="I1519" s="13"/>
      <c r="J1519" s="13" t="b">
        <v>0</v>
      </c>
    </row>
    <row r="1520">
      <c r="B1520" s="13"/>
      <c r="I1520" s="13"/>
      <c r="J1520" s="13" t="b">
        <v>0</v>
      </c>
    </row>
    <row r="1521">
      <c r="B1521" s="13"/>
      <c r="I1521" s="13"/>
      <c r="J1521" s="13" t="b">
        <v>0</v>
      </c>
    </row>
    <row r="1522">
      <c r="B1522" s="13"/>
      <c r="I1522" s="13"/>
      <c r="J1522" s="13" t="b">
        <v>0</v>
      </c>
    </row>
    <row r="1523">
      <c r="B1523" s="13"/>
      <c r="I1523" s="13"/>
      <c r="J1523" s="13" t="b">
        <v>0</v>
      </c>
    </row>
    <row r="1524">
      <c r="B1524" s="13"/>
      <c r="I1524" s="13"/>
      <c r="J1524" s="13" t="b">
        <v>0</v>
      </c>
    </row>
    <row r="1525">
      <c r="B1525" s="13"/>
      <c r="I1525" s="13"/>
      <c r="J1525" s="13" t="b">
        <v>0</v>
      </c>
    </row>
    <row r="1526">
      <c r="B1526" s="13"/>
      <c r="I1526" s="13"/>
      <c r="J1526" s="13" t="b">
        <v>0</v>
      </c>
    </row>
    <row r="1527">
      <c r="B1527" s="13"/>
      <c r="I1527" s="13"/>
      <c r="J1527" s="13" t="b">
        <v>0</v>
      </c>
    </row>
    <row r="1528">
      <c r="B1528" s="13"/>
      <c r="I1528" s="13"/>
      <c r="J1528" s="13" t="b">
        <v>0</v>
      </c>
    </row>
    <row r="1529">
      <c r="B1529" s="13"/>
      <c r="I1529" s="13"/>
      <c r="J1529" s="13" t="b">
        <v>0</v>
      </c>
    </row>
    <row r="1530">
      <c r="B1530" s="13"/>
      <c r="I1530" s="13"/>
      <c r="J1530" s="13" t="b">
        <v>0</v>
      </c>
    </row>
    <row r="1531">
      <c r="B1531" s="13"/>
      <c r="I1531" s="13"/>
      <c r="J1531" s="13" t="b">
        <v>0</v>
      </c>
    </row>
    <row r="1532">
      <c r="B1532" s="13"/>
      <c r="I1532" s="13"/>
      <c r="J1532" s="13" t="b">
        <v>0</v>
      </c>
    </row>
    <row r="1533">
      <c r="B1533" s="13"/>
      <c r="I1533" s="13"/>
      <c r="J1533" s="13" t="b">
        <v>0</v>
      </c>
    </row>
    <row r="1534">
      <c r="B1534" s="13"/>
      <c r="I1534" s="13"/>
      <c r="J1534" s="13" t="b">
        <v>0</v>
      </c>
    </row>
    <row r="1535">
      <c r="B1535" s="13"/>
      <c r="I1535" s="13"/>
      <c r="J1535" s="13" t="b">
        <v>0</v>
      </c>
    </row>
    <row r="1536">
      <c r="B1536" s="13"/>
      <c r="I1536" s="13"/>
      <c r="J1536" s="13" t="b">
        <v>0</v>
      </c>
    </row>
    <row r="1537">
      <c r="B1537" s="13"/>
      <c r="I1537" s="13"/>
      <c r="J1537" s="13" t="b">
        <v>0</v>
      </c>
    </row>
    <row r="1538">
      <c r="B1538" s="13"/>
      <c r="I1538" s="13"/>
      <c r="J1538" s="13" t="b">
        <v>0</v>
      </c>
    </row>
    <row r="1539">
      <c r="B1539" s="13"/>
      <c r="I1539" s="13"/>
      <c r="J1539" s="13" t="b">
        <v>0</v>
      </c>
    </row>
    <row r="1540">
      <c r="B1540" s="13"/>
      <c r="I1540" s="13"/>
      <c r="J1540" s="13" t="b">
        <v>0</v>
      </c>
    </row>
    <row r="1541">
      <c r="B1541" s="13"/>
      <c r="I1541" s="13"/>
      <c r="J1541" s="13" t="b">
        <v>0</v>
      </c>
    </row>
    <row r="1542">
      <c r="B1542" s="13"/>
      <c r="I1542" s="13"/>
      <c r="J1542" s="13" t="b">
        <v>0</v>
      </c>
    </row>
    <row r="1543">
      <c r="B1543" s="13"/>
      <c r="I1543" s="13"/>
      <c r="J1543" s="13" t="b">
        <v>0</v>
      </c>
    </row>
    <row r="1544">
      <c r="B1544" s="13"/>
      <c r="I1544" s="13"/>
      <c r="J1544" s="13" t="b">
        <v>0</v>
      </c>
    </row>
    <row r="1545">
      <c r="B1545" s="13"/>
      <c r="I1545" s="13"/>
      <c r="J1545" s="13" t="b">
        <v>0</v>
      </c>
    </row>
    <row r="1546">
      <c r="B1546" s="13"/>
      <c r="I1546" s="13"/>
      <c r="J1546" s="13" t="b">
        <v>0</v>
      </c>
    </row>
    <row r="1547">
      <c r="B1547" s="13"/>
      <c r="I1547" s="13"/>
      <c r="J1547" s="13" t="b">
        <v>0</v>
      </c>
    </row>
    <row r="1548">
      <c r="B1548" s="13"/>
      <c r="I1548" s="13"/>
      <c r="J1548" s="13" t="b">
        <v>0</v>
      </c>
    </row>
    <row r="1549">
      <c r="B1549" s="13"/>
      <c r="I1549" s="13"/>
      <c r="J1549" s="13" t="b">
        <v>0</v>
      </c>
    </row>
    <row r="1550">
      <c r="B1550" s="13"/>
      <c r="I1550" s="13"/>
      <c r="J1550" s="13" t="b">
        <v>0</v>
      </c>
    </row>
    <row r="1551">
      <c r="B1551" s="13"/>
      <c r="I1551" s="13"/>
      <c r="J1551" s="13" t="b">
        <v>0</v>
      </c>
    </row>
    <row r="1552">
      <c r="B1552" s="13"/>
      <c r="I1552" s="13"/>
      <c r="J1552" s="13" t="b">
        <v>0</v>
      </c>
    </row>
    <row r="1553">
      <c r="B1553" s="13"/>
      <c r="I1553" s="13"/>
      <c r="J1553" s="13" t="b">
        <v>0</v>
      </c>
    </row>
    <row r="1554">
      <c r="B1554" s="13"/>
      <c r="I1554" s="13"/>
      <c r="J1554" s="13" t="b">
        <v>0</v>
      </c>
    </row>
    <row r="1555">
      <c r="B1555" s="13"/>
      <c r="I1555" s="13"/>
      <c r="J1555" s="13" t="b">
        <v>0</v>
      </c>
    </row>
    <row r="1556">
      <c r="B1556" s="13"/>
      <c r="I1556" s="13"/>
      <c r="J1556" s="13" t="b">
        <v>0</v>
      </c>
    </row>
    <row r="1557">
      <c r="B1557" s="13"/>
      <c r="I1557" s="13"/>
      <c r="J1557" s="13" t="b">
        <v>0</v>
      </c>
    </row>
    <row r="1558">
      <c r="B1558" s="13"/>
      <c r="I1558" s="13"/>
      <c r="J1558" s="13" t="b">
        <v>0</v>
      </c>
    </row>
    <row r="1559">
      <c r="B1559" s="13"/>
      <c r="I1559" s="13"/>
      <c r="J1559" s="13" t="b">
        <v>0</v>
      </c>
    </row>
    <row r="1560">
      <c r="B1560" s="13"/>
      <c r="I1560" s="13"/>
      <c r="J1560" s="13" t="b">
        <v>0</v>
      </c>
    </row>
    <row r="1561">
      <c r="B1561" s="13"/>
      <c r="I1561" s="13"/>
      <c r="J1561" s="13" t="b">
        <v>0</v>
      </c>
    </row>
    <row r="1562">
      <c r="B1562" s="13"/>
      <c r="I1562" s="13"/>
      <c r="J1562" s="13" t="b">
        <v>0</v>
      </c>
    </row>
    <row r="1563">
      <c r="B1563" s="13"/>
      <c r="I1563" s="13"/>
      <c r="J1563" s="13" t="b">
        <v>0</v>
      </c>
    </row>
    <row r="1564">
      <c r="B1564" s="13"/>
      <c r="I1564" s="13"/>
      <c r="J1564" s="13" t="b">
        <v>0</v>
      </c>
    </row>
    <row r="1565">
      <c r="B1565" s="13"/>
      <c r="I1565" s="13"/>
      <c r="J1565" s="13" t="b">
        <v>0</v>
      </c>
    </row>
    <row r="1566">
      <c r="B1566" s="13"/>
      <c r="I1566" s="13"/>
      <c r="J1566" s="13" t="b">
        <v>0</v>
      </c>
    </row>
    <row r="1567">
      <c r="B1567" s="13"/>
      <c r="I1567" s="13"/>
      <c r="J1567" s="13" t="b">
        <v>0</v>
      </c>
    </row>
    <row r="1568">
      <c r="B1568" s="13"/>
      <c r="I1568" s="13"/>
      <c r="J1568" s="13" t="b">
        <v>0</v>
      </c>
    </row>
    <row r="1569">
      <c r="B1569" s="13"/>
      <c r="I1569" s="13"/>
      <c r="J1569" s="13" t="b">
        <v>0</v>
      </c>
    </row>
    <row r="1570">
      <c r="B1570" s="13"/>
      <c r="I1570" s="13"/>
      <c r="J1570" s="13" t="b">
        <v>0</v>
      </c>
    </row>
    <row r="1571">
      <c r="B1571" s="13"/>
      <c r="I1571" s="13"/>
      <c r="J1571" s="13" t="b">
        <v>0</v>
      </c>
    </row>
    <row r="1572">
      <c r="B1572" s="13"/>
      <c r="I1572" s="13"/>
      <c r="J1572" s="13" t="b">
        <v>0</v>
      </c>
    </row>
    <row r="1573">
      <c r="B1573" s="13"/>
      <c r="I1573" s="13"/>
      <c r="J1573" s="13" t="b">
        <v>0</v>
      </c>
    </row>
    <row r="1574">
      <c r="B1574" s="13"/>
      <c r="I1574" s="13"/>
      <c r="J1574" s="13" t="b">
        <v>0</v>
      </c>
    </row>
    <row r="1575">
      <c r="B1575" s="13"/>
      <c r="I1575" s="13"/>
      <c r="J1575" s="13" t="b">
        <v>0</v>
      </c>
    </row>
    <row r="1576">
      <c r="B1576" s="13"/>
      <c r="I1576" s="13"/>
      <c r="J1576" s="13" t="b">
        <v>0</v>
      </c>
    </row>
    <row r="1577">
      <c r="B1577" s="13"/>
      <c r="I1577" s="13"/>
      <c r="J1577" s="13" t="b">
        <v>0</v>
      </c>
    </row>
    <row r="1578">
      <c r="B1578" s="13"/>
      <c r="I1578" s="13"/>
      <c r="J1578" s="13" t="b">
        <v>0</v>
      </c>
    </row>
    <row r="1579">
      <c r="B1579" s="13"/>
      <c r="I1579" s="13"/>
      <c r="J1579" s="13" t="b">
        <v>0</v>
      </c>
    </row>
    <row r="1580">
      <c r="B1580" s="13"/>
      <c r="I1580" s="13"/>
      <c r="J1580" s="13" t="b">
        <v>0</v>
      </c>
    </row>
    <row r="1581">
      <c r="B1581" s="13"/>
      <c r="I1581" s="13"/>
      <c r="J1581" s="13" t="b">
        <v>0</v>
      </c>
    </row>
    <row r="1582">
      <c r="B1582" s="13"/>
      <c r="I1582" s="13"/>
      <c r="J1582" s="13" t="b">
        <v>0</v>
      </c>
    </row>
    <row r="1583">
      <c r="B1583" s="13"/>
      <c r="I1583" s="13"/>
      <c r="J1583" s="13" t="b">
        <v>0</v>
      </c>
    </row>
    <row r="1584">
      <c r="B1584" s="13"/>
      <c r="I1584" s="13"/>
      <c r="J1584" s="13" t="b">
        <v>0</v>
      </c>
    </row>
    <row r="1585">
      <c r="B1585" s="13"/>
      <c r="I1585" s="13"/>
      <c r="J1585" s="13" t="b">
        <v>0</v>
      </c>
    </row>
    <row r="1586">
      <c r="B1586" s="13"/>
      <c r="I1586" s="13"/>
      <c r="J1586" s="13" t="b">
        <v>0</v>
      </c>
    </row>
    <row r="1587">
      <c r="B1587" s="13"/>
      <c r="I1587" s="13"/>
      <c r="J1587" s="13" t="b">
        <v>0</v>
      </c>
    </row>
    <row r="1588">
      <c r="B1588" s="13"/>
      <c r="I1588" s="13"/>
      <c r="J1588" s="13" t="b">
        <v>0</v>
      </c>
    </row>
    <row r="1589">
      <c r="B1589" s="13"/>
      <c r="I1589" s="13"/>
      <c r="J1589" s="13" t="b">
        <v>0</v>
      </c>
    </row>
    <row r="1590">
      <c r="B1590" s="13"/>
      <c r="I1590" s="13"/>
      <c r="J1590" s="13" t="b">
        <v>0</v>
      </c>
    </row>
    <row r="1591">
      <c r="B1591" s="13"/>
      <c r="I1591" s="13"/>
      <c r="J1591" s="13" t="b">
        <v>0</v>
      </c>
    </row>
    <row r="1592">
      <c r="B1592" s="13"/>
      <c r="I1592" s="13"/>
      <c r="J1592" s="13" t="b">
        <v>0</v>
      </c>
    </row>
    <row r="1593">
      <c r="B1593" s="13"/>
      <c r="I1593" s="13"/>
      <c r="J1593" s="13" t="b">
        <v>0</v>
      </c>
    </row>
    <row r="1594">
      <c r="B1594" s="13"/>
      <c r="I1594" s="13"/>
      <c r="J1594" s="13" t="b">
        <v>0</v>
      </c>
    </row>
    <row r="1595">
      <c r="B1595" s="13"/>
      <c r="I1595" s="13"/>
      <c r="J1595" s="13" t="b">
        <v>0</v>
      </c>
    </row>
    <row r="1596">
      <c r="B1596" s="13"/>
      <c r="I1596" s="13"/>
      <c r="J1596" s="13" t="b">
        <v>0</v>
      </c>
    </row>
    <row r="1597">
      <c r="B1597" s="13"/>
      <c r="I1597" s="13"/>
      <c r="J1597" s="13" t="b">
        <v>0</v>
      </c>
    </row>
    <row r="1598">
      <c r="B1598" s="13"/>
      <c r="I1598" s="13"/>
      <c r="J1598" s="13" t="b">
        <v>0</v>
      </c>
    </row>
    <row r="1599">
      <c r="B1599" s="13"/>
      <c r="I1599" s="13"/>
      <c r="J1599" s="13" t="b">
        <v>0</v>
      </c>
    </row>
    <row r="1600">
      <c r="B1600" s="13"/>
      <c r="I1600" s="13"/>
      <c r="J1600" s="13" t="b">
        <v>0</v>
      </c>
    </row>
    <row r="1601">
      <c r="B1601" s="13"/>
      <c r="I1601" s="13"/>
      <c r="J1601" s="13" t="b">
        <v>0</v>
      </c>
    </row>
    <row r="1602">
      <c r="B1602" s="13"/>
      <c r="I1602" s="13"/>
      <c r="J1602" s="13" t="b">
        <v>0</v>
      </c>
    </row>
    <row r="1603">
      <c r="B1603" s="13"/>
      <c r="I1603" s="13"/>
      <c r="J1603" s="13" t="b">
        <v>0</v>
      </c>
    </row>
    <row r="1604">
      <c r="B1604" s="13"/>
      <c r="I1604" s="13"/>
      <c r="J1604" s="13" t="b">
        <v>0</v>
      </c>
    </row>
    <row r="1605">
      <c r="B1605" s="13"/>
      <c r="I1605" s="13"/>
      <c r="J1605" s="13" t="b">
        <v>0</v>
      </c>
    </row>
    <row r="1606">
      <c r="B1606" s="13"/>
      <c r="I1606" s="13"/>
      <c r="J1606" s="13" t="b">
        <v>0</v>
      </c>
    </row>
    <row r="1607">
      <c r="B1607" s="13"/>
      <c r="I1607" s="13"/>
      <c r="J1607" s="13" t="b">
        <v>0</v>
      </c>
    </row>
    <row r="1608">
      <c r="B1608" s="13"/>
      <c r="I1608" s="13"/>
      <c r="J1608" s="13" t="b">
        <v>0</v>
      </c>
    </row>
    <row r="1609">
      <c r="B1609" s="13"/>
      <c r="I1609" s="13"/>
      <c r="J1609" s="13" t="b">
        <v>0</v>
      </c>
    </row>
    <row r="1610">
      <c r="B1610" s="13"/>
      <c r="I1610" s="13"/>
      <c r="J1610" s="13" t="b">
        <v>0</v>
      </c>
    </row>
    <row r="1611">
      <c r="B1611" s="13"/>
      <c r="I1611" s="13"/>
      <c r="J1611" s="13" t="b">
        <v>0</v>
      </c>
    </row>
    <row r="1612">
      <c r="B1612" s="13"/>
      <c r="I1612" s="13"/>
      <c r="J1612" s="13" t="b">
        <v>0</v>
      </c>
    </row>
    <row r="1613">
      <c r="B1613" s="13"/>
      <c r="I1613" s="13"/>
      <c r="J1613" s="13" t="b">
        <v>0</v>
      </c>
    </row>
    <row r="1614">
      <c r="B1614" s="13"/>
      <c r="I1614" s="13"/>
      <c r="J1614" s="13" t="b">
        <v>0</v>
      </c>
    </row>
    <row r="1615">
      <c r="B1615" s="13"/>
      <c r="I1615" s="13"/>
      <c r="J1615" s="13" t="b">
        <v>0</v>
      </c>
    </row>
    <row r="1616">
      <c r="B1616" s="13"/>
      <c r="I1616" s="13"/>
      <c r="J1616" s="13" t="b">
        <v>0</v>
      </c>
    </row>
    <row r="1617">
      <c r="B1617" s="13"/>
      <c r="I1617" s="13"/>
      <c r="J1617" s="13" t="b">
        <v>0</v>
      </c>
    </row>
    <row r="1618">
      <c r="B1618" s="13"/>
      <c r="I1618" s="13"/>
      <c r="J1618" s="13" t="b">
        <v>0</v>
      </c>
    </row>
    <row r="1619">
      <c r="B1619" s="13"/>
      <c r="I1619" s="13"/>
      <c r="J1619" s="13" t="b">
        <v>0</v>
      </c>
    </row>
    <row r="1620">
      <c r="B1620" s="13"/>
      <c r="I1620" s="13"/>
      <c r="J1620" s="13" t="b">
        <v>0</v>
      </c>
    </row>
    <row r="1621">
      <c r="B1621" s="13"/>
      <c r="I1621" s="13"/>
      <c r="J1621" s="13" t="b">
        <v>0</v>
      </c>
    </row>
    <row r="1622">
      <c r="B1622" s="13"/>
      <c r="I1622" s="13"/>
      <c r="J1622" s="13" t="b">
        <v>0</v>
      </c>
    </row>
    <row r="1623">
      <c r="B1623" s="13"/>
      <c r="I1623" s="13"/>
      <c r="J1623" s="13" t="b">
        <v>0</v>
      </c>
    </row>
    <row r="1624">
      <c r="B1624" s="13"/>
      <c r="I1624" s="13"/>
      <c r="J1624" s="13" t="b">
        <v>0</v>
      </c>
    </row>
    <row r="1625">
      <c r="B1625" s="13"/>
      <c r="I1625" s="13"/>
      <c r="J1625" s="13" t="b">
        <v>0</v>
      </c>
    </row>
    <row r="1626">
      <c r="B1626" s="13"/>
      <c r="I1626" s="13"/>
      <c r="J1626" s="13" t="b">
        <v>0</v>
      </c>
    </row>
    <row r="1627">
      <c r="B1627" s="13"/>
      <c r="I1627" s="13"/>
      <c r="J1627" s="13" t="b">
        <v>0</v>
      </c>
    </row>
    <row r="1628">
      <c r="B1628" s="13"/>
      <c r="I1628" s="13"/>
      <c r="J1628" s="13" t="b">
        <v>0</v>
      </c>
    </row>
    <row r="1629">
      <c r="B1629" s="13"/>
      <c r="I1629" s="13"/>
      <c r="J1629" s="13" t="b">
        <v>0</v>
      </c>
    </row>
    <row r="1630">
      <c r="B1630" s="13"/>
      <c r="I1630" s="13"/>
      <c r="J1630" s="13" t="b">
        <v>0</v>
      </c>
    </row>
    <row r="1631">
      <c r="B1631" s="13"/>
      <c r="I1631" s="13"/>
      <c r="J1631" s="13" t="b">
        <v>0</v>
      </c>
    </row>
    <row r="1632">
      <c r="B1632" s="13"/>
      <c r="I1632" s="13"/>
      <c r="J1632" s="13" t="b">
        <v>0</v>
      </c>
    </row>
    <row r="1633">
      <c r="B1633" s="13"/>
      <c r="I1633" s="13"/>
      <c r="J1633" s="13" t="b">
        <v>0</v>
      </c>
    </row>
    <row r="1634">
      <c r="B1634" s="13"/>
      <c r="I1634" s="13"/>
      <c r="J1634" s="13" t="b">
        <v>0</v>
      </c>
    </row>
    <row r="1635">
      <c r="B1635" s="13"/>
      <c r="I1635" s="13"/>
      <c r="J1635" s="13" t="b">
        <v>0</v>
      </c>
    </row>
    <row r="1636">
      <c r="B1636" s="13"/>
      <c r="I1636" s="13"/>
      <c r="J1636" s="13" t="b">
        <v>0</v>
      </c>
    </row>
    <row r="1637">
      <c r="B1637" s="13"/>
      <c r="I1637" s="13"/>
      <c r="J1637" s="13" t="b">
        <v>0</v>
      </c>
    </row>
    <row r="1638">
      <c r="B1638" s="13"/>
      <c r="I1638" s="13"/>
      <c r="J1638" s="13" t="b">
        <v>0</v>
      </c>
    </row>
    <row r="1639">
      <c r="B1639" s="13"/>
      <c r="I1639" s="13"/>
      <c r="J1639" s="13" t="b">
        <v>0</v>
      </c>
    </row>
    <row r="1640">
      <c r="B1640" s="13"/>
      <c r="I1640" s="13"/>
      <c r="J1640" s="13" t="b">
        <v>0</v>
      </c>
    </row>
    <row r="1641">
      <c r="B1641" s="13"/>
      <c r="I1641" s="13"/>
      <c r="J1641" s="13" t="b">
        <v>0</v>
      </c>
    </row>
    <row r="1642">
      <c r="B1642" s="13"/>
      <c r="I1642" s="13"/>
      <c r="J1642" s="13" t="b">
        <v>0</v>
      </c>
    </row>
    <row r="1643">
      <c r="B1643" s="13"/>
      <c r="I1643" s="13"/>
      <c r="J1643" s="13" t="b">
        <v>0</v>
      </c>
    </row>
    <row r="1644">
      <c r="B1644" s="13"/>
      <c r="I1644" s="13"/>
      <c r="J1644" s="13" t="b">
        <v>0</v>
      </c>
    </row>
    <row r="1645">
      <c r="B1645" s="13"/>
      <c r="I1645" s="13"/>
      <c r="J1645" s="13" t="b">
        <v>0</v>
      </c>
    </row>
    <row r="1646">
      <c r="B1646" s="13"/>
      <c r="I1646" s="13"/>
      <c r="J1646" s="13" t="b">
        <v>0</v>
      </c>
    </row>
    <row r="1647">
      <c r="B1647" s="13"/>
      <c r="I1647" s="13"/>
      <c r="J1647" s="13" t="b">
        <v>0</v>
      </c>
    </row>
    <row r="1648">
      <c r="B1648" s="13"/>
      <c r="I1648" s="13"/>
      <c r="J1648" s="13" t="b">
        <v>0</v>
      </c>
    </row>
    <row r="1649">
      <c r="B1649" s="13"/>
      <c r="I1649" s="13"/>
      <c r="J1649" s="13" t="b">
        <v>0</v>
      </c>
    </row>
    <row r="1650">
      <c r="B1650" s="13"/>
      <c r="I1650" s="13"/>
      <c r="J1650" s="13" t="b">
        <v>0</v>
      </c>
    </row>
    <row r="1651">
      <c r="B1651" s="13"/>
      <c r="I1651" s="13"/>
      <c r="J1651" s="13" t="b">
        <v>0</v>
      </c>
    </row>
    <row r="1652">
      <c r="B1652" s="13"/>
      <c r="I1652" s="13"/>
      <c r="J1652" s="13" t="b">
        <v>0</v>
      </c>
    </row>
    <row r="1653">
      <c r="B1653" s="13"/>
      <c r="I1653" s="13"/>
      <c r="J1653" s="13" t="b">
        <v>0</v>
      </c>
    </row>
    <row r="1654">
      <c r="B1654" s="13"/>
      <c r="I1654" s="13"/>
      <c r="J1654" s="13" t="b">
        <v>0</v>
      </c>
    </row>
    <row r="1655">
      <c r="B1655" s="13"/>
      <c r="I1655" s="13"/>
      <c r="J1655" s="13" t="b">
        <v>0</v>
      </c>
    </row>
    <row r="1656">
      <c r="B1656" s="13"/>
      <c r="I1656" s="13"/>
      <c r="J1656" s="13" t="b">
        <v>0</v>
      </c>
    </row>
    <row r="1657">
      <c r="B1657" s="13"/>
      <c r="I1657" s="13"/>
      <c r="J1657" s="13" t="b">
        <v>0</v>
      </c>
    </row>
    <row r="1658">
      <c r="B1658" s="13"/>
      <c r="I1658" s="13"/>
      <c r="J1658" s="13" t="b">
        <v>0</v>
      </c>
    </row>
    <row r="1659">
      <c r="B1659" s="13"/>
      <c r="I1659" s="13"/>
      <c r="J1659" s="13" t="b">
        <v>0</v>
      </c>
    </row>
    <row r="1660">
      <c r="B1660" s="13"/>
      <c r="I1660" s="13"/>
      <c r="J1660" s="13" t="b">
        <v>0</v>
      </c>
    </row>
    <row r="1661">
      <c r="B1661" s="13"/>
      <c r="I1661" s="13"/>
      <c r="J1661" s="13" t="b">
        <v>0</v>
      </c>
    </row>
    <row r="1662">
      <c r="B1662" s="13"/>
      <c r="I1662" s="13"/>
      <c r="J1662" s="13" t="b">
        <v>0</v>
      </c>
    </row>
    <row r="1663">
      <c r="B1663" s="13"/>
      <c r="I1663" s="13"/>
      <c r="J1663" s="13" t="b">
        <v>0</v>
      </c>
    </row>
    <row r="1664">
      <c r="B1664" s="13"/>
      <c r="I1664" s="13"/>
      <c r="J1664" s="13" t="b">
        <v>0</v>
      </c>
    </row>
    <row r="1665">
      <c r="B1665" s="13"/>
      <c r="I1665" s="13"/>
      <c r="J1665" s="13" t="b">
        <v>0</v>
      </c>
    </row>
    <row r="1666">
      <c r="B1666" s="13"/>
      <c r="I1666" s="13"/>
      <c r="J1666" s="13" t="b">
        <v>0</v>
      </c>
    </row>
    <row r="1667">
      <c r="B1667" s="13"/>
      <c r="I1667" s="13"/>
      <c r="J1667" s="13" t="b">
        <v>0</v>
      </c>
    </row>
    <row r="1668">
      <c r="B1668" s="13"/>
      <c r="I1668" s="13"/>
      <c r="J1668" s="13" t="b">
        <v>0</v>
      </c>
    </row>
    <row r="1669">
      <c r="B1669" s="13"/>
      <c r="I1669" s="13"/>
      <c r="J1669" s="13" t="b">
        <v>0</v>
      </c>
    </row>
    <row r="1670">
      <c r="B1670" s="13"/>
      <c r="I1670" s="13"/>
      <c r="J1670" s="13" t="b">
        <v>0</v>
      </c>
    </row>
    <row r="1671">
      <c r="B1671" s="13"/>
      <c r="I1671" s="13"/>
      <c r="J1671" s="13" t="b">
        <v>0</v>
      </c>
    </row>
    <row r="1672">
      <c r="B1672" s="13"/>
      <c r="I1672" s="13"/>
      <c r="J1672" s="13" t="b">
        <v>0</v>
      </c>
    </row>
    <row r="1673">
      <c r="B1673" s="13"/>
      <c r="I1673" s="13"/>
      <c r="J1673" s="13" t="b">
        <v>0</v>
      </c>
    </row>
    <row r="1674">
      <c r="B1674" s="13"/>
      <c r="I1674" s="13"/>
      <c r="J1674" s="13" t="b">
        <v>0</v>
      </c>
    </row>
    <row r="1675">
      <c r="B1675" s="13"/>
      <c r="I1675" s="13"/>
      <c r="J1675" s="13" t="b">
        <v>0</v>
      </c>
    </row>
    <row r="1676">
      <c r="B1676" s="13"/>
      <c r="I1676" s="13"/>
      <c r="J1676" s="13" t="b">
        <v>0</v>
      </c>
    </row>
    <row r="1677">
      <c r="B1677" s="13"/>
      <c r="I1677" s="13"/>
      <c r="J1677" s="13" t="b">
        <v>0</v>
      </c>
    </row>
    <row r="1678">
      <c r="B1678" s="13"/>
      <c r="I1678" s="13"/>
      <c r="J1678" s="13" t="b">
        <v>0</v>
      </c>
    </row>
    <row r="1679">
      <c r="B1679" s="13"/>
      <c r="I1679" s="13"/>
      <c r="J1679" s="13" t="b">
        <v>0</v>
      </c>
    </row>
    <row r="1680">
      <c r="B1680" s="13"/>
      <c r="I1680" s="13"/>
      <c r="J1680" s="13" t="b">
        <v>0</v>
      </c>
    </row>
    <row r="1681">
      <c r="B1681" s="13"/>
      <c r="I1681" s="13"/>
      <c r="J1681" s="13" t="b">
        <v>0</v>
      </c>
    </row>
    <row r="1682">
      <c r="B1682" s="13"/>
      <c r="I1682" s="13"/>
      <c r="J1682" s="13" t="b">
        <v>0</v>
      </c>
    </row>
    <row r="1683">
      <c r="B1683" s="13"/>
      <c r="I1683" s="13"/>
      <c r="J1683" s="13" t="b">
        <v>0</v>
      </c>
    </row>
    <row r="1684">
      <c r="B1684" s="13"/>
      <c r="I1684" s="13"/>
      <c r="J1684" s="13" t="b">
        <v>0</v>
      </c>
    </row>
    <row r="1685">
      <c r="B1685" s="13"/>
      <c r="I1685" s="13"/>
      <c r="J1685" s="13" t="b">
        <v>0</v>
      </c>
    </row>
    <row r="1686">
      <c r="B1686" s="13"/>
      <c r="I1686" s="13"/>
      <c r="J1686" s="13" t="b">
        <v>0</v>
      </c>
    </row>
    <row r="1687">
      <c r="B1687" s="13"/>
      <c r="I1687" s="13"/>
      <c r="J1687" s="13" t="b">
        <v>0</v>
      </c>
    </row>
    <row r="1688">
      <c r="B1688" s="13"/>
      <c r="I1688" s="13"/>
      <c r="J1688" s="13" t="b">
        <v>0</v>
      </c>
    </row>
    <row r="1689">
      <c r="B1689" s="13"/>
      <c r="I1689" s="13"/>
      <c r="J1689" s="13" t="b">
        <v>0</v>
      </c>
    </row>
    <row r="1690">
      <c r="B1690" s="13"/>
      <c r="I1690" s="13"/>
      <c r="J1690" s="13" t="b">
        <v>0</v>
      </c>
    </row>
    <row r="1691">
      <c r="B1691" s="13"/>
      <c r="I1691" s="13"/>
      <c r="J1691" s="13" t="b">
        <v>0</v>
      </c>
    </row>
    <row r="1692">
      <c r="B1692" s="13"/>
      <c r="I1692" s="13"/>
      <c r="J1692" s="13" t="b">
        <v>0</v>
      </c>
    </row>
    <row r="1693">
      <c r="B1693" s="13"/>
      <c r="I1693" s="13"/>
      <c r="J1693" s="13" t="b">
        <v>0</v>
      </c>
    </row>
    <row r="1694">
      <c r="B1694" s="13"/>
      <c r="I1694" s="13"/>
      <c r="J1694" s="13" t="b">
        <v>0</v>
      </c>
    </row>
    <row r="1695">
      <c r="B1695" s="13"/>
      <c r="I1695" s="13"/>
      <c r="J1695" s="13" t="b">
        <v>0</v>
      </c>
    </row>
    <row r="1696">
      <c r="B1696" s="13"/>
      <c r="I1696" s="13"/>
      <c r="J1696" s="13" t="b">
        <v>0</v>
      </c>
    </row>
    <row r="1697">
      <c r="B1697" s="13"/>
      <c r="I1697" s="13"/>
      <c r="J1697" s="13" t="b">
        <v>0</v>
      </c>
    </row>
    <row r="1698">
      <c r="B1698" s="13"/>
      <c r="I1698" s="13"/>
      <c r="J1698" s="13" t="b">
        <v>0</v>
      </c>
    </row>
    <row r="1699">
      <c r="B1699" s="13"/>
      <c r="I1699" s="13"/>
      <c r="J1699" s="13" t="b">
        <v>0</v>
      </c>
    </row>
    <row r="1700">
      <c r="B1700" s="13"/>
      <c r="I1700" s="13"/>
      <c r="J1700" s="13" t="b">
        <v>0</v>
      </c>
    </row>
    <row r="1701">
      <c r="B1701" s="13"/>
      <c r="I1701" s="13"/>
      <c r="J1701" s="13" t="b">
        <v>0</v>
      </c>
    </row>
    <row r="1702">
      <c r="B1702" s="13"/>
      <c r="I1702" s="13"/>
      <c r="J1702" s="13" t="b">
        <v>0</v>
      </c>
    </row>
    <row r="1703">
      <c r="B1703" s="13"/>
      <c r="I1703" s="13"/>
      <c r="J1703" s="13" t="b">
        <v>0</v>
      </c>
    </row>
    <row r="1704">
      <c r="B1704" s="13"/>
      <c r="I1704" s="13"/>
      <c r="J1704" s="13" t="b">
        <v>0</v>
      </c>
    </row>
    <row r="1705">
      <c r="B1705" s="13"/>
      <c r="I1705" s="13"/>
      <c r="J1705" s="13" t="b">
        <v>0</v>
      </c>
    </row>
    <row r="1706">
      <c r="B1706" s="13"/>
      <c r="I1706" s="13"/>
      <c r="J1706" s="13" t="b">
        <v>0</v>
      </c>
    </row>
    <row r="1707">
      <c r="B1707" s="13"/>
      <c r="I1707" s="13"/>
      <c r="J1707" s="13" t="b">
        <v>0</v>
      </c>
    </row>
    <row r="1708">
      <c r="B1708" s="13"/>
      <c r="I1708" s="13"/>
      <c r="J1708" s="13" t="b">
        <v>0</v>
      </c>
    </row>
    <row r="1709">
      <c r="B1709" s="13"/>
      <c r="I1709" s="13"/>
      <c r="J1709" s="13" t="b">
        <v>0</v>
      </c>
    </row>
    <row r="1710">
      <c r="B1710" s="13"/>
      <c r="I1710" s="13"/>
      <c r="J1710" s="13" t="b">
        <v>0</v>
      </c>
    </row>
    <row r="1711">
      <c r="B1711" s="13"/>
      <c r="I1711" s="13"/>
      <c r="J1711" s="13" t="b">
        <v>0</v>
      </c>
    </row>
    <row r="1712">
      <c r="B1712" s="13"/>
      <c r="I1712" s="13"/>
      <c r="J1712" s="13" t="b">
        <v>0</v>
      </c>
    </row>
    <row r="1713">
      <c r="B1713" s="13"/>
      <c r="I1713" s="13"/>
      <c r="J1713" s="13" t="b">
        <v>0</v>
      </c>
    </row>
    <row r="1714">
      <c r="B1714" s="13"/>
      <c r="I1714" s="13"/>
      <c r="J1714" s="13" t="b">
        <v>0</v>
      </c>
    </row>
    <row r="1715">
      <c r="B1715" s="13"/>
      <c r="I1715" s="13"/>
      <c r="J1715" s="13" t="b">
        <v>0</v>
      </c>
    </row>
    <row r="1716">
      <c r="B1716" s="13"/>
      <c r="I1716" s="13"/>
      <c r="J1716" s="13" t="b">
        <v>0</v>
      </c>
    </row>
    <row r="1717">
      <c r="B1717" s="13"/>
      <c r="I1717" s="13"/>
      <c r="J1717" s="13" t="b">
        <v>0</v>
      </c>
    </row>
    <row r="1718">
      <c r="B1718" s="13"/>
      <c r="I1718" s="13"/>
      <c r="J1718" s="13" t="b">
        <v>0</v>
      </c>
    </row>
    <row r="1719">
      <c r="B1719" s="13"/>
      <c r="I1719" s="13"/>
      <c r="J1719" s="13" t="b">
        <v>0</v>
      </c>
    </row>
    <row r="1720">
      <c r="B1720" s="13"/>
      <c r="I1720" s="13"/>
      <c r="J1720" s="13" t="b">
        <v>0</v>
      </c>
    </row>
    <row r="1721">
      <c r="B1721" s="13"/>
      <c r="I1721" s="13"/>
      <c r="J1721" s="13" t="b">
        <v>0</v>
      </c>
    </row>
    <row r="1722">
      <c r="B1722" s="13"/>
      <c r="I1722" s="13"/>
      <c r="J1722" s="13" t="b">
        <v>0</v>
      </c>
    </row>
    <row r="1723">
      <c r="B1723" s="13"/>
      <c r="I1723" s="13"/>
      <c r="J1723" s="13" t="b">
        <v>0</v>
      </c>
    </row>
    <row r="1724">
      <c r="B1724" s="13"/>
      <c r="I1724" s="13"/>
      <c r="J1724" s="13" t="b">
        <v>0</v>
      </c>
    </row>
    <row r="1725">
      <c r="B1725" s="13"/>
      <c r="I1725" s="13"/>
      <c r="J1725" s="13" t="b">
        <v>0</v>
      </c>
    </row>
    <row r="1726">
      <c r="B1726" s="13"/>
      <c r="I1726" s="13"/>
      <c r="J1726" s="13" t="b">
        <v>0</v>
      </c>
    </row>
    <row r="1727">
      <c r="B1727" s="13"/>
      <c r="I1727" s="13"/>
      <c r="J1727" s="13" t="b">
        <v>0</v>
      </c>
    </row>
    <row r="1728">
      <c r="B1728" s="13"/>
      <c r="I1728" s="13"/>
      <c r="J1728" s="13" t="b">
        <v>0</v>
      </c>
    </row>
    <row r="1729">
      <c r="B1729" s="13"/>
      <c r="I1729" s="13"/>
      <c r="J1729" s="13" t="b">
        <v>0</v>
      </c>
    </row>
    <row r="1730">
      <c r="B1730" s="13"/>
      <c r="I1730" s="13"/>
      <c r="J1730" s="13" t="b">
        <v>0</v>
      </c>
    </row>
    <row r="1731">
      <c r="B1731" s="13"/>
      <c r="I1731" s="13"/>
      <c r="J1731" s="13" t="b">
        <v>0</v>
      </c>
    </row>
    <row r="1732">
      <c r="B1732" s="13"/>
      <c r="I1732" s="13"/>
      <c r="J1732" s="13" t="b">
        <v>0</v>
      </c>
    </row>
    <row r="1733">
      <c r="B1733" s="13"/>
      <c r="I1733" s="13"/>
      <c r="J1733" s="13" t="b">
        <v>0</v>
      </c>
    </row>
    <row r="1734">
      <c r="B1734" s="13"/>
      <c r="I1734" s="13"/>
      <c r="J1734" s="13" t="b">
        <v>0</v>
      </c>
    </row>
    <row r="1735">
      <c r="B1735" s="13"/>
      <c r="I1735" s="13"/>
      <c r="J1735" s="13" t="b">
        <v>0</v>
      </c>
    </row>
    <row r="1736">
      <c r="B1736" s="13"/>
      <c r="I1736" s="13"/>
      <c r="J1736" s="13" t="b">
        <v>0</v>
      </c>
    </row>
    <row r="1737">
      <c r="B1737" s="13"/>
      <c r="I1737" s="13"/>
      <c r="J1737" s="13" t="b">
        <v>0</v>
      </c>
    </row>
    <row r="1738">
      <c r="B1738" s="13"/>
      <c r="I1738" s="13"/>
      <c r="J1738" s="13" t="b">
        <v>0</v>
      </c>
    </row>
    <row r="1739">
      <c r="B1739" s="13"/>
      <c r="I1739" s="13"/>
      <c r="J1739" s="13" t="b">
        <v>0</v>
      </c>
    </row>
    <row r="1740">
      <c r="B1740" s="13"/>
      <c r="I1740" s="13"/>
      <c r="J1740" s="13" t="b">
        <v>0</v>
      </c>
    </row>
    <row r="1741">
      <c r="B1741" s="13"/>
      <c r="I1741" s="13"/>
      <c r="J1741" s="13" t="b">
        <v>0</v>
      </c>
    </row>
    <row r="1742">
      <c r="B1742" s="13"/>
      <c r="I1742" s="13"/>
      <c r="J1742" s="13" t="b">
        <v>0</v>
      </c>
    </row>
    <row r="1743">
      <c r="B1743" s="13"/>
      <c r="I1743" s="13"/>
      <c r="J1743" s="13" t="b">
        <v>0</v>
      </c>
    </row>
    <row r="1744">
      <c r="B1744" s="13"/>
      <c r="I1744" s="13"/>
      <c r="J1744" s="13" t="b">
        <v>0</v>
      </c>
    </row>
    <row r="1745">
      <c r="B1745" s="13"/>
      <c r="I1745" s="13"/>
      <c r="J1745" s="13" t="b">
        <v>0</v>
      </c>
    </row>
    <row r="1746">
      <c r="B1746" s="13"/>
      <c r="I1746" s="13"/>
      <c r="J1746" s="13" t="b">
        <v>0</v>
      </c>
    </row>
    <row r="1747">
      <c r="B1747" s="13"/>
      <c r="I1747" s="13"/>
      <c r="J1747" s="13" t="b">
        <v>0</v>
      </c>
    </row>
    <row r="1748">
      <c r="B1748" s="13"/>
      <c r="I1748" s="13"/>
      <c r="J1748" s="13" t="b">
        <v>0</v>
      </c>
    </row>
    <row r="1749">
      <c r="B1749" s="13"/>
      <c r="I1749" s="13"/>
      <c r="J1749" s="13" t="b">
        <v>0</v>
      </c>
    </row>
    <row r="1750">
      <c r="B1750" s="13"/>
      <c r="I1750" s="13"/>
      <c r="J1750" s="13" t="b">
        <v>0</v>
      </c>
    </row>
    <row r="1751">
      <c r="B1751" s="13"/>
      <c r="I1751" s="13"/>
      <c r="J1751" s="13" t="b">
        <v>0</v>
      </c>
    </row>
    <row r="1752">
      <c r="B1752" s="13"/>
      <c r="I1752" s="13"/>
      <c r="J1752" s="13" t="b">
        <v>0</v>
      </c>
    </row>
    <row r="1753">
      <c r="B1753" s="13"/>
      <c r="I1753" s="13"/>
      <c r="J1753" s="13" t="b">
        <v>0</v>
      </c>
    </row>
    <row r="1754">
      <c r="B1754" s="13"/>
      <c r="I1754" s="13"/>
      <c r="J1754" s="13" t="b">
        <v>0</v>
      </c>
    </row>
    <row r="1755">
      <c r="B1755" s="13"/>
      <c r="I1755" s="13"/>
      <c r="J1755" s="13" t="b">
        <v>0</v>
      </c>
    </row>
    <row r="1756">
      <c r="B1756" s="13"/>
      <c r="I1756" s="13"/>
      <c r="J1756" s="13" t="b">
        <v>0</v>
      </c>
    </row>
    <row r="1757">
      <c r="B1757" s="13"/>
      <c r="I1757" s="13"/>
      <c r="J1757" s="13" t="b">
        <v>0</v>
      </c>
    </row>
    <row r="1758">
      <c r="B1758" s="13"/>
      <c r="I1758" s="13"/>
      <c r="J1758" s="13" t="b">
        <v>0</v>
      </c>
    </row>
    <row r="1759">
      <c r="B1759" s="13"/>
      <c r="I1759" s="13"/>
      <c r="J1759" s="13" t="b">
        <v>0</v>
      </c>
    </row>
    <row r="1760">
      <c r="B1760" s="13"/>
      <c r="I1760" s="13"/>
      <c r="J1760" s="13" t="b">
        <v>0</v>
      </c>
    </row>
    <row r="1761">
      <c r="B1761" s="13"/>
      <c r="I1761" s="13"/>
      <c r="J1761" s="13" t="b">
        <v>0</v>
      </c>
    </row>
    <row r="1762">
      <c r="B1762" s="13"/>
      <c r="I1762" s="13"/>
      <c r="J1762" s="13" t="b">
        <v>0</v>
      </c>
    </row>
    <row r="1763">
      <c r="B1763" s="13"/>
      <c r="I1763" s="13"/>
      <c r="J1763" s="13" t="b">
        <v>0</v>
      </c>
    </row>
    <row r="1764">
      <c r="B1764" s="13"/>
      <c r="I1764" s="13"/>
      <c r="J1764" s="13" t="b">
        <v>0</v>
      </c>
    </row>
    <row r="1765">
      <c r="B1765" s="13"/>
      <c r="I1765" s="13"/>
      <c r="J1765" s="13" t="b">
        <v>0</v>
      </c>
    </row>
    <row r="1766">
      <c r="B1766" s="13"/>
      <c r="I1766" s="13"/>
      <c r="J1766" s="13" t="b">
        <v>0</v>
      </c>
    </row>
    <row r="1767">
      <c r="B1767" s="13"/>
      <c r="I1767" s="13"/>
      <c r="J1767" s="13" t="b">
        <v>0</v>
      </c>
    </row>
    <row r="1768">
      <c r="B1768" s="13"/>
      <c r="I1768" s="13"/>
      <c r="J1768" s="13" t="b">
        <v>0</v>
      </c>
    </row>
    <row r="1769">
      <c r="B1769" s="13"/>
      <c r="I1769" s="13"/>
      <c r="J1769" s="13" t="b">
        <v>0</v>
      </c>
    </row>
    <row r="1770">
      <c r="B1770" s="13"/>
      <c r="I1770" s="13"/>
      <c r="J1770" s="13" t="b">
        <v>0</v>
      </c>
    </row>
    <row r="1771">
      <c r="B1771" s="13"/>
      <c r="I1771" s="13"/>
      <c r="J1771" s="13" t="b">
        <v>0</v>
      </c>
    </row>
    <row r="1772">
      <c r="B1772" s="13"/>
      <c r="I1772" s="13"/>
      <c r="J1772" s="13" t="b">
        <v>0</v>
      </c>
    </row>
    <row r="1773">
      <c r="B1773" s="13"/>
      <c r="I1773" s="13"/>
      <c r="J1773" s="13" t="b">
        <v>0</v>
      </c>
    </row>
    <row r="1774">
      <c r="B1774" s="13"/>
      <c r="I1774" s="13"/>
      <c r="J1774" s="13" t="b">
        <v>0</v>
      </c>
    </row>
    <row r="1775">
      <c r="B1775" s="13"/>
      <c r="I1775" s="13"/>
      <c r="J1775" s="13" t="b">
        <v>0</v>
      </c>
    </row>
    <row r="1776">
      <c r="B1776" s="13"/>
      <c r="I1776" s="13"/>
      <c r="J1776" s="13" t="b">
        <v>0</v>
      </c>
    </row>
    <row r="1777">
      <c r="B1777" s="13"/>
      <c r="I1777" s="13"/>
      <c r="J1777" s="13" t="b">
        <v>0</v>
      </c>
    </row>
    <row r="1778">
      <c r="B1778" s="13"/>
      <c r="I1778" s="13"/>
      <c r="J1778" s="13" t="b">
        <v>0</v>
      </c>
    </row>
    <row r="1779">
      <c r="B1779" s="13"/>
      <c r="I1779" s="13"/>
      <c r="J1779" s="13" t="b">
        <v>0</v>
      </c>
    </row>
    <row r="1780">
      <c r="B1780" s="13"/>
      <c r="I1780" s="13"/>
      <c r="J1780" s="13" t="b">
        <v>0</v>
      </c>
    </row>
    <row r="1781">
      <c r="B1781" s="13"/>
      <c r="I1781" s="13"/>
      <c r="J1781" s="13" t="b">
        <v>0</v>
      </c>
    </row>
    <row r="1782">
      <c r="B1782" s="13"/>
      <c r="I1782" s="13"/>
      <c r="J1782" s="13" t="b">
        <v>0</v>
      </c>
    </row>
    <row r="1783">
      <c r="B1783" s="13"/>
      <c r="I1783" s="13"/>
      <c r="J1783" s="13" t="b">
        <v>0</v>
      </c>
    </row>
    <row r="1784">
      <c r="B1784" s="13"/>
      <c r="I1784" s="13"/>
      <c r="J1784" s="13" t="b">
        <v>0</v>
      </c>
    </row>
    <row r="1785">
      <c r="B1785" s="13"/>
      <c r="I1785" s="13"/>
      <c r="J1785" s="13" t="b">
        <v>0</v>
      </c>
    </row>
    <row r="1786">
      <c r="B1786" s="13"/>
      <c r="I1786" s="13"/>
      <c r="J1786" s="13" t="b">
        <v>0</v>
      </c>
    </row>
    <row r="1787">
      <c r="B1787" s="13"/>
      <c r="I1787" s="13"/>
      <c r="J1787" s="13" t="b">
        <v>0</v>
      </c>
    </row>
    <row r="1788">
      <c r="B1788" s="13"/>
      <c r="I1788" s="13"/>
      <c r="J1788" s="13" t="b">
        <v>0</v>
      </c>
    </row>
    <row r="1789">
      <c r="B1789" s="13"/>
      <c r="I1789" s="13"/>
      <c r="J1789" s="13" t="b">
        <v>0</v>
      </c>
    </row>
    <row r="1790">
      <c r="B1790" s="13"/>
      <c r="I1790" s="13"/>
      <c r="J1790" s="13" t="b">
        <v>0</v>
      </c>
    </row>
    <row r="1791">
      <c r="B1791" s="13"/>
      <c r="I1791" s="13"/>
      <c r="J1791" s="13" t="b">
        <v>0</v>
      </c>
    </row>
    <row r="1792">
      <c r="B1792" s="13"/>
      <c r="I1792" s="13"/>
      <c r="J1792" s="13" t="b">
        <v>0</v>
      </c>
    </row>
    <row r="1793">
      <c r="B1793" s="13"/>
      <c r="I1793" s="13"/>
      <c r="J1793" s="13" t="b">
        <v>0</v>
      </c>
    </row>
    <row r="1794">
      <c r="B1794" s="13"/>
      <c r="I1794" s="13"/>
      <c r="J1794" s="13" t="b">
        <v>0</v>
      </c>
    </row>
    <row r="1795">
      <c r="B1795" s="13"/>
      <c r="I1795" s="13"/>
      <c r="J1795" s="13" t="b">
        <v>0</v>
      </c>
    </row>
    <row r="1796">
      <c r="B1796" s="13"/>
      <c r="I1796" s="13"/>
      <c r="J1796" s="13" t="b">
        <v>0</v>
      </c>
    </row>
    <row r="1797">
      <c r="B1797" s="13"/>
      <c r="I1797" s="13"/>
      <c r="J1797" s="13" t="b">
        <v>0</v>
      </c>
    </row>
    <row r="1798">
      <c r="B1798" s="13"/>
      <c r="I1798" s="13"/>
      <c r="J1798" s="13" t="b">
        <v>0</v>
      </c>
    </row>
    <row r="1799">
      <c r="B1799" s="13"/>
      <c r="I1799" s="13"/>
      <c r="J1799" s="13" t="b">
        <v>0</v>
      </c>
    </row>
    <row r="1800">
      <c r="B1800" s="13"/>
      <c r="I1800" s="13"/>
      <c r="J1800" s="13" t="b">
        <v>0</v>
      </c>
    </row>
    <row r="1801">
      <c r="B1801" s="13"/>
      <c r="I1801" s="13"/>
      <c r="J1801" s="13" t="b">
        <v>0</v>
      </c>
    </row>
    <row r="1802">
      <c r="B1802" s="13"/>
      <c r="I1802" s="13"/>
      <c r="J1802" s="13" t="b">
        <v>0</v>
      </c>
    </row>
    <row r="1803">
      <c r="B1803" s="13"/>
      <c r="I1803" s="13"/>
      <c r="J1803" s="13" t="b">
        <v>0</v>
      </c>
    </row>
    <row r="1804">
      <c r="B1804" s="13"/>
      <c r="I1804" s="13"/>
      <c r="J1804" s="13" t="b">
        <v>0</v>
      </c>
    </row>
    <row r="1805">
      <c r="B1805" s="13"/>
      <c r="I1805" s="13"/>
      <c r="J1805" s="13" t="b">
        <v>0</v>
      </c>
    </row>
    <row r="1806">
      <c r="B1806" s="13"/>
      <c r="I1806" s="13"/>
      <c r="J1806" s="13" t="b">
        <v>0</v>
      </c>
    </row>
    <row r="1807">
      <c r="B1807" s="13"/>
      <c r="I1807" s="13"/>
      <c r="J1807" s="13" t="b">
        <v>0</v>
      </c>
    </row>
    <row r="1808">
      <c r="B1808" s="13"/>
      <c r="I1808" s="13"/>
      <c r="J1808" s="13" t="b">
        <v>0</v>
      </c>
    </row>
    <row r="1809">
      <c r="B1809" s="13"/>
      <c r="I1809" s="13"/>
      <c r="J1809" s="13" t="b">
        <v>0</v>
      </c>
    </row>
    <row r="1810">
      <c r="B1810" s="13"/>
      <c r="I1810" s="13"/>
      <c r="J1810" s="13" t="b">
        <v>0</v>
      </c>
    </row>
    <row r="1811">
      <c r="B1811" s="13"/>
      <c r="I1811" s="13"/>
      <c r="J1811" s="13" t="b">
        <v>0</v>
      </c>
    </row>
    <row r="1812">
      <c r="B1812" s="13"/>
      <c r="I1812" s="13"/>
      <c r="J1812" s="13" t="b">
        <v>0</v>
      </c>
    </row>
    <row r="1813">
      <c r="B1813" s="13"/>
      <c r="I1813" s="13"/>
      <c r="J1813" s="13" t="b">
        <v>0</v>
      </c>
    </row>
    <row r="1814">
      <c r="B1814" s="13"/>
      <c r="I1814" s="13"/>
      <c r="J1814" s="13" t="b">
        <v>0</v>
      </c>
    </row>
    <row r="1815">
      <c r="B1815" s="13"/>
      <c r="I1815" s="13"/>
      <c r="J1815" s="13" t="b">
        <v>0</v>
      </c>
    </row>
    <row r="1816">
      <c r="B1816" s="13"/>
      <c r="I1816" s="13"/>
      <c r="J1816" s="13" t="b">
        <v>0</v>
      </c>
    </row>
    <row r="1817">
      <c r="B1817" s="13"/>
      <c r="I1817" s="13"/>
      <c r="J1817" s="13" t="b">
        <v>0</v>
      </c>
    </row>
    <row r="1818">
      <c r="B1818" s="13"/>
      <c r="I1818" s="13"/>
      <c r="J1818" s="13" t="b">
        <v>0</v>
      </c>
    </row>
    <row r="1819">
      <c r="B1819" s="13"/>
      <c r="I1819" s="13"/>
      <c r="J1819" s="13" t="b">
        <v>0</v>
      </c>
    </row>
    <row r="1820">
      <c r="B1820" s="13"/>
      <c r="I1820" s="13"/>
      <c r="J1820" s="13" t="b">
        <v>0</v>
      </c>
    </row>
    <row r="1821">
      <c r="B1821" s="13"/>
      <c r="I1821" s="13"/>
      <c r="J1821" s="13" t="b">
        <v>0</v>
      </c>
    </row>
    <row r="1822">
      <c r="B1822" s="13"/>
      <c r="I1822" s="13"/>
      <c r="J1822" s="13" t="b">
        <v>0</v>
      </c>
    </row>
    <row r="1823">
      <c r="B1823" s="13"/>
      <c r="I1823" s="13"/>
      <c r="J1823" s="13" t="b">
        <v>0</v>
      </c>
    </row>
    <row r="1824">
      <c r="B1824" s="13"/>
      <c r="I1824" s="13"/>
      <c r="J1824" s="13" t="b">
        <v>0</v>
      </c>
    </row>
    <row r="1825">
      <c r="B1825" s="13"/>
      <c r="I1825" s="13"/>
      <c r="J1825" s="13" t="b">
        <v>0</v>
      </c>
    </row>
    <row r="1826">
      <c r="B1826" s="13"/>
      <c r="I1826" s="13"/>
      <c r="J1826" s="13" t="b">
        <v>0</v>
      </c>
    </row>
    <row r="1827">
      <c r="B1827" s="13"/>
      <c r="I1827" s="13"/>
      <c r="J1827" s="13" t="b">
        <v>0</v>
      </c>
    </row>
    <row r="1828">
      <c r="B1828" s="13"/>
      <c r="I1828" s="13"/>
      <c r="J1828" s="13" t="b">
        <v>0</v>
      </c>
    </row>
    <row r="1829">
      <c r="B1829" s="13"/>
      <c r="I1829" s="13"/>
      <c r="J1829" s="13" t="b">
        <v>0</v>
      </c>
    </row>
    <row r="1830">
      <c r="B1830" s="13"/>
      <c r="I1830" s="13"/>
      <c r="J1830" s="13" t="b">
        <v>0</v>
      </c>
    </row>
    <row r="1831">
      <c r="B1831" s="13"/>
      <c r="I1831" s="13"/>
      <c r="J1831" s="13" t="b">
        <v>0</v>
      </c>
    </row>
    <row r="1832">
      <c r="B1832" s="13"/>
      <c r="I1832" s="13"/>
      <c r="J1832" s="13" t="b">
        <v>0</v>
      </c>
    </row>
    <row r="1833">
      <c r="B1833" s="13"/>
      <c r="I1833" s="13"/>
      <c r="J1833" s="13" t="b">
        <v>0</v>
      </c>
    </row>
    <row r="1834">
      <c r="B1834" s="13"/>
      <c r="I1834" s="13"/>
      <c r="J1834" s="13" t="b">
        <v>0</v>
      </c>
    </row>
    <row r="1835">
      <c r="B1835" s="13"/>
      <c r="I1835" s="13"/>
      <c r="J1835" s="13" t="b">
        <v>0</v>
      </c>
    </row>
    <row r="1836">
      <c r="B1836" s="13"/>
      <c r="I1836" s="13"/>
      <c r="J1836" s="13" t="b">
        <v>0</v>
      </c>
    </row>
    <row r="1837">
      <c r="B1837" s="13"/>
      <c r="I1837" s="13"/>
      <c r="J1837" s="13" t="b">
        <v>0</v>
      </c>
    </row>
    <row r="1838">
      <c r="B1838" s="13"/>
      <c r="I1838" s="13"/>
      <c r="J1838" s="13" t="b">
        <v>0</v>
      </c>
    </row>
    <row r="1839">
      <c r="B1839" s="13"/>
      <c r="I1839" s="13"/>
      <c r="J1839" s="13" t="b">
        <v>0</v>
      </c>
    </row>
    <row r="1840">
      <c r="B1840" s="13"/>
      <c r="I1840" s="13"/>
      <c r="J1840" s="13" t="b">
        <v>0</v>
      </c>
    </row>
    <row r="1841">
      <c r="B1841" s="13"/>
      <c r="I1841" s="13"/>
      <c r="J1841" s="13" t="b">
        <v>0</v>
      </c>
    </row>
    <row r="1842">
      <c r="B1842" s="13"/>
      <c r="I1842" s="13"/>
      <c r="J1842" s="13" t="b">
        <v>0</v>
      </c>
    </row>
    <row r="1843">
      <c r="B1843" s="13"/>
      <c r="I1843" s="13"/>
      <c r="J1843" s="13" t="b">
        <v>0</v>
      </c>
    </row>
    <row r="1844">
      <c r="B1844" s="13"/>
      <c r="I1844" s="13"/>
      <c r="J1844" s="13" t="b">
        <v>0</v>
      </c>
    </row>
    <row r="1845">
      <c r="B1845" s="13"/>
      <c r="I1845" s="13"/>
      <c r="J1845" s="13" t="b">
        <v>0</v>
      </c>
    </row>
    <row r="1846">
      <c r="B1846" s="13"/>
      <c r="I1846" s="13"/>
      <c r="J1846" s="13" t="b">
        <v>0</v>
      </c>
    </row>
    <row r="1847">
      <c r="B1847" s="13"/>
      <c r="I1847" s="13"/>
      <c r="J1847" s="13" t="b">
        <v>0</v>
      </c>
    </row>
    <row r="1848">
      <c r="B1848" s="13"/>
      <c r="I1848" s="13"/>
      <c r="J1848" s="13" t="b">
        <v>0</v>
      </c>
    </row>
    <row r="1849">
      <c r="B1849" s="13"/>
      <c r="I1849" s="13"/>
      <c r="J1849" s="13" t="b">
        <v>0</v>
      </c>
    </row>
    <row r="1850">
      <c r="B1850" s="13"/>
      <c r="I1850" s="13"/>
      <c r="J1850" s="13" t="b">
        <v>0</v>
      </c>
    </row>
    <row r="1851">
      <c r="B1851" s="13"/>
      <c r="I1851" s="13"/>
      <c r="J1851" s="13" t="b">
        <v>0</v>
      </c>
    </row>
    <row r="1852">
      <c r="B1852" s="13"/>
      <c r="I1852" s="13"/>
      <c r="J1852" s="13" t="b">
        <v>0</v>
      </c>
    </row>
    <row r="1853">
      <c r="B1853" s="13"/>
      <c r="I1853" s="13"/>
      <c r="J1853" s="13" t="b">
        <v>0</v>
      </c>
    </row>
    <row r="1854">
      <c r="B1854" s="13"/>
      <c r="I1854" s="13"/>
      <c r="J1854" s="13" t="b">
        <v>0</v>
      </c>
    </row>
    <row r="1855">
      <c r="B1855" s="13"/>
      <c r="I1855" s="13"/>
      <c r="J1855" s="13" t="b">
        <v>0</v>
      </c>
    </row>
    <row r="1856">
      <c r="B1856" s="13"/>
      <c r="I1856" s="13"/>
      <c r="J1856" s="13" t="b">
        <v>0</v>
      </c>
    </row>
    <row r="1857">
      <c r="B1857" s="13"/>
      <c r="I1857" s="13"/>
      <c r="J1857" s="13" t="b">
        <v>0</v>
      </c>
    </row>
    <row r="1858">
      <c r="B1858" s="13"/>
      <c r="I1858" s="13"/>
      <c r="J1858" s="13" t="b">
        <v>0</v>
      </c>
    </row>
    <row r="1859">
      <c r="B1859" s="13"/>
      <c r="I1859" s="13"/>
      <c r="J1859" s="13" t="b">
        <v>0</v>
      </c>
    </row>
    <row r="1860">
      <c r="B1860" s="13"/>
      <c r="I1860" s="13"/>
      <c r="J1860" s="13" t="b">
        <v>0</v>
      </c>
    </row>
    <row r="1861">
      <c r="B1861" s="13"/>
      <c r="I1861" s="13"/>
      <c r="J1861" s="13" t="b">
        <v>0</v>
      </c>
    </row>
    <row r="1862">
      <c r="B1862" s="13"/>
      <c r="I1862" s="13"/>
      <c r="J1862" s="13" t="b">
        <v>0</v>
      </c>
    </row>
    <row r="1863">
      <c r="B1863" s="13"/>
      <c r="I1863" s="13"/>
      <c r="J1863" s="13" t="b">
        <v>0</v>
      </c>
    </row>
    <row r="1864">
      <c r="B1864" s="13"/>
      <c r="I1864" s="13"/>
      <c r="J1864" s="13" t="b">
        <v>0</v>
      </c>
    </row>
    <row r="1865">
      <c r="B1865" s="13"/>
      <c r="I1865" s="13"/>
      <c r="J1865" s="13" t="b">
        <v>0</v>
      </c>
    </row>
    <row r="1866">
      <c r="B1866" s="13"/>
      <c r="I1866" s="13"/>
      <c r="J1866" s="13" t="b">
        <v>0</v>
      </c>
    </row>
    <row r="1867">
      <c r="B1867" s="13"/>
      <c r="I1867" s="13"/>
      <c r="J1867" s="13" t="b">
        <v>0</v>
      </c>
    </row>
    <row r="1868">
      <c r="B1868" s="13"/>
      <c r="I1868" s="13"/>
      <c r="J1868" s="13" t="b">
        <v>0</v>
      </c>
    </row>
    <row r="1869">
      <c r="B1869" s="13"/>
      <c r="I1869" s="13"/>
      <c r="J1869" s="13" t="b">
        <v>0</v>
      </c>
    </row>
    <row r="1870">
      <c r="B1870" s="13"/>
      <c r="I1870" s="13"/>
      <c r="J1870" s="13" t="b">
        <v>0</v>
      </c>
    </row>
    <row r="1871">
      <c r="B1871" s="13"/>
      <c r="I1871" s="13"/>
      <c r="J1871" s="13" t="b">
        <v>0</v>
      </c>
    </row>
    <row r="1872">
      <c r="B1872" s="13"/>
      <c r="I1872" s="13"/>
      <c r="J1872" s="13" t="b">
        <v>0</v>
      </c>
    </row>
    <row r="1873">
      <c r="B1873" s="13"/>
      <c r="I1873" s="13"/>
      <c r="J1873" s="13" t="b">
        <v>0</v>
      </c>
    </row>
    <row r="1874">
      <c r="B1874" s="13"/>
      <c r="I1874" s="13"/>
      <c r="J1874" s="13" t="b">
        <v>0</v>
      </c>
    </row>
    <row r="1875">
      <c r="B1875" s="13"/>
      <c r="I1875" s="13"/>
      <c r="J1875" s="13" t="b">
        <v>0</v>
      </c>
    </row>
    <row r="1876">
      <c r="B1876" s="13"/>
      <c r="I1876" s="13"/>
      <c r="J1876" s="13" t="b">
        <v>0</v>
      </c>
    </row>
    <row r="1877">
      <c r="B1877" s="13"/>
      <c r="I1877" s="13"/>
      <c r="J1877" s="13" t="b">
        <v>0</v>
      </c>
    </row>
    <row r="1878">
      <c r="B1878" s="13"/>
      <c r="I1878" s="13"/>
      <c r="J1878" s="13" t="b">
        <v>0</v>
      </c>
    </row>
    <row r="1879">
      <c r="B1879" s="13"/>
      <c r="I1879" s="13"/>
      <c r="J1879" s="13" t="b">
        <v>0</v>
      </c>
    </row>
    <row r="1880">
      <c r="B1880" s="13"/>
      <c r="I1880" s="13"/>
      <c r="J1880" s="13" t="b">
        <v>0</v>
      </c>
    </row>
    <row r="1881">
      <c r="B1881" s="13"/>
      <c r="I1881" s="13"/>
      <c r="J1881" s="13" t="b">
        <v>0</v>
      </c>
    </row>
    <row r="1882">
      <c r="B1882" s="13"/>
      <c r="I1882" s="13"/>
      <c r="J1882" s="13" t="b">
        <v>0</v>
      </c>
    </row>
    <row r="1883">
      <c r="B1883" s="13"/>
      <c r="I1883" s="13"/>
      <c r="J1883" s="13" t="b">
        <v>0</v>
      </c>
    </row>
    <row r="1884">
      <c r="B1884" s="13"/>
      <c r="I1884" s="13"/>
      <c r="J1884" s="13" t="b">
        <v>0</v>
      </c>
    </row>
    <row r="1885">
      <c r="B1885" s="13"/>
      <c r="I1885" s="13"/>
      <c r="J1885" s="13" t="b">
        <v>0</v>
      </c>
    </row>
    <row r="1886">
      <c r="B1886" s="13"/>
      <c r="I1886" s="13"/>
      <c r="J1886" s="13" t="b">
        <v>0</v>
      </c>
    </row>
    <row r="1887">
      <c r="B1887" s="13"/>
      <c r="I1887" s="13"/>
      <c r="J1887" s="13" t="b">
        <v>0</v>
      </c>
    </row>
    <row r="1888">
      <c r="B1888" s="13"/>
      <c r="I1888" s="13"/>
      <c r="J1888" s="13" t="b">
        <v>0</v>
      </c>
    </row>
    <row r="1889">
      <c r="B1889" s="13"/>
      <c r="I1889" s="13"/>
      <c r="J1889" s="13" t="b">
        <v>0</v>
      </c>
    </row>
    <row r="1890">
      <c r="B1890" s="13"/>
      <c r="I1890" s="13"/>
      <c r="J1890" s="13" t="b">
        <v>0</v>
      </c>
    </row>
    <row r="1891">
      <c r="B1891" s="13"/>
      <c r="I1891" s="13"/>
      <c r="J1891" s="13" t="b">
        <v>0</v>
      </c>
    </row>
    <row r="1892">
      <c r="B1892" s="13"/>
      <c r="I1892" s="13"/>
      <c r="J1892" s="13" t="b">
        <v>0</v>
      </c>
    </row>
    <row r="1893">
      <c r="B1893" s="13"/>
      <c r="I1893" s="13"/>
      <c r="J1893" s="13" t="b">
        <v>0</v>
      </c>
    </row>
    <row r="1894">
      <c r="B1894" s="13"/>
      <c r="I1894" s="13"/>
      <c r="J1894" s="13" t="b">
        <v>0</v>
      </c>
    </row>
    <row r="1895">
      <c r="B1895" s="13"/>
      <c r="I1895" s="13"/>
      <c r="J1895" s="13" t="b">
        <v>0</v>
      </c>
    </row>
    <row r="1896">
      <c r="B1896" s="13"/>
      <c r="I1896" s="13"/>
      <c r="J1896" s="13" t="b">
        <v>0</v>
      </c>
    </row>
    <row r="1897">
      <c r="B1897" s="13"/>
      <c r="I1897" s="13"/>
      <c r="J1897" s="13" t="b">
        <v>0</v>
      </c>
    </row>
    <row r="1898">
      <c r="B1898" s="13"/>
      <c r="I1898" s="13"/>
      <c r="J1898" s="13" t="b">
        <v>0</v>
      </c>
    </row>
    <row r="1899">
      <c r="B1899" s="13"/>
      <c r="I1899" s="13"/>
      <c r="J1899" s="13" t="b">
        <v>0</v>
      </c>
    </row>
    <row r="1900">
      <c r="B1900" s="13"/>
      <c r="I1900" s="13"/>
      <c r="J1900" s="13" t="b">
        <v>0</v>
      </c>
    </row>
    <row r="1901">
      <c r="B1901" s="13"/>
      <c r="I1901" s="13"/>
      <c r="J1901" s="13" t="b">
        <v>0</v>
      </c>
    </row>
    <row r="1902">
      <c r="B1902" s="13"/>
      <c r="I1902" s="13"/>
      <c r="J1902" s="13" t="b">
        <v>0</v>
      </c>
    </row>
    <row r="1903">
      <c r="B1903" s="13"/>
      <c r="I1903" s="13"/>
      <c r="J1903" s="13" t="b">
        <v>0</v>
      </c>
    </row>
    <row r="1904">
      <c r="B1904" s="13"/>
      <c r="I1904" s="13"/>
      <c r="J1904" s="13" t="b">
        <v>0</v>
      </c>
    </row>
    <row r="1905">
      <c r="B1905" s="13"/>
      <c r="I1905" s="13"/>
      <c r="J1905" s="13" t="b">
        <v>0</v>
      </c>
    </row>
    <row r="1906">
      <c r="B1906" s="13"/>
      <c r="I1906" s="13"/>
      <c r="J1906" s="13" t="b">
        <v>0</v>
      </c>
    </row>
    <row r="1907">
      <c r="B1907" s="13"/>
      <c r="I1907" s="13"/>
      <c r="J1907" s="13" t="b">
        <v>0</v>
      </c>
    </row>
    <row r="1908">
      <c r="B1908" s="13"/>
      <c r="I1908" s="13"/>
      <c r="J1908" s="13" t="b">
        <v>0</v>
      </c>
    </row>
    <row r="1909">
      <c r="B1909" s="13"/>
      <c r="I1909" s="13"/>
      <c r="J1909" s="13" t="b">
        <v>0</v>
      </c>
    </row>
    <row r="1910">
      <c r="B1910" s="13"/>
      <c r="I1910" s="13"/>
      <c r="J1910" s="13" t="b">
        <v>0</v>
      </c>
    </row>
    <row r="1911">
      <c r="B1911" s="13"/>
      <c r="I1911" s="13"/>
      <c r="J1911" s="13" t="b">
        <v>0</v>
      </c>
    </row>
    <row r="1912">
      <c r="B1912" s="13"/>
      <c r="I1912" s="13"/>
      <c r="J1912" s="13" t="b">
        <v>0</v>
      </c>
    </row>
    <row r="1913">
      <c r="B1913" s="13"/>
      <c r="I1913" s="13"/>
      <c r="J1913" s="13" t="b">
        <v>0</v>
      </c>
    </row>
    <row r="1914">
      <c r="B1914" s="13"/>
      <c r="I1914" s="13"/>
      <c r="J1914" s="13" t="b">
        <v>0</v>
      </c>
    </row>
    <row r="1915">
      <c r="B1915" s="13"/>
      <c r="I1915" s="13"/>
      <c r="J1915" s="13" t="b">
        <v>0</v>
      </c>
    </row>
    <row r="1916">
      <c r="B1916" s="13"/>
      <c r="I1916" s="13"/>
      <c r="J1916" s="13" t="b">
        <v>0</v>
      </c>
    </row>
    <row r="1917">
      <c r="B1917" s="13"/>
      <c r="I1917" s="13"/>
      <c r="J1917" s="13" t="b">
        <v>0</v>
      </c>
    </row>
    <row r="1918">
      <c r="B1918" s="13"/>
      <c r="I1918" s="13"/>
      <c r="J1918" s="13" t="b">
        <v>0</v>
      </c>
    </row>
    <row r="1919">
      <c r="B1919" s="13"/>
      <c r="I1919" s="13"/>
      <c r="J1919" s="13" t="b">
        <v>0</v>
      </c>
    </row>
    <row r="1920">
      <c r="B1920" s="13"/>
      <c r="I1920" s="13"/>
      <c r="J1920" s="13" t="b">
        <v>0</v>
      </c>
    </row>
    <row r="1921">
      <c r="B1921" s="13"/>
      <c r="I1921" s="13"/>
      <c r="J1921" s="13" t="b">
        <v>0</v>
      </c>
    </row>
    <row r="1922">
      <c r="B1922" s="13"/>
      <c r="I1922" s="13"/>
      <c r="J1922" s="13" t="b">
        <v>0</v>
      </c>
    </row>
    <row r="1923">
      <c r="B1923" s="13"/>
      <c r="I1923" s="13"/>
      <c r="J1923" s="13" t="b">
        <v>0</v>
      </c>
    </row>
    <row r="1924">
      <c r="B1924" s="13"/>
      <c r="I1924" s="13"/>
      <c r="J1924" s="13" t="b">
        <v>0</v>
      </c>
    </row>
    <row r="1925">
      <c r="B1925" s="13"/>
      <c r="I1925" s="13"/>
      <c r="J1925" s="13" t="b">
        <v>0</v>
      </c>
    </row>
    <row r="1926">
      <c r="B1926" s="13"/>
      <c r="I1926" s="13"/>
      <c r="J1926" s="13" t="b">
        <v>0</v>
      </c>
    </row>
    <row r="1927">
      <c r="B1927" s="13"/>
      <c r="I1927" s="13"/>
      <c r="J1927" s="13" t="b">
        <v>0</v>
      </c>
    </row>
    <row r="1928">
      <c r="B1928" s="13"/>
      <c r="I1928" s="13"/>
      <c r="J1928" s="13" t="b">
        <v>0</v>
      </c>
    </row>
    <row r="1929">
      <c r="B1929" s="13"/>
      <c r="I1929" s="13"/>
      <c r="J1929" s="13" t="b">
        <v>0</v>
      </c>
    </row>
    <row r="1930">
      <c r="B1930" s="13"/>
      <c r="I1930" s="13"/>
      <c r="J1930" s="13" t="b">
        <v>0</v>
      </c>
    </row>
    <row r="1931">
      <c r="B1931" s="13"/>
      <c r="I1931" s="13"/>
      <c r="J1931" s="13" t="b">
        <v>0</v>
      </c>
    </row>
    <row r="1932">
      <c r="B1932" s="13"/>
      <c r="I1932" s="13"/>
      <c r="J1932" s="13" t="b">
        <v>0</v>
      </c>
    </row>
    <row r="1933">
      <c r="B1933" s="13"/>
      <c r="I1933" s="13"/>
      <c r="J1933" s="13" t="b">
        <v>0</v>
      </c>
    </row>
    <row r="1934">
      <c r="B1934" s="13"/>
      <c r="I1934" s="13"/>
      <c r="J1934" s="13" t="b">
        <v>0</v>
      </c>
    </row>
    <row r="1935">
      <c r="B1935" s="13"/>
      <c r="I1935" s="13"/>
      <c r="J1935" s="13" t="b">
        <v>0</v>
      </c>
    </row>
    <row r="1936">
      <c r="B1936" s="13"/>
      <c r="I1936" s="13"/>
      <c r="J1936" s="13" t="b">
        <v>0</v>
      </c>
    </row>
    <row r="1937">
      <c r="B1937" s="13"/>
      <c r="I1937" s="13"/>
      <c r="J1937" s="13" t="b">
        <v>0</v>
      </c>
    </row>
    <row r="1938">
      <c r="B1938" s="13"/>
      <c r="I1938" s="13"/>
      <c r="J1938" s="13" t="b">
        <v>0</v>
      </c>
    </row>
    <row r="1939">
      <c r="B1939" s="13"/>
      <c r="I1939" s="13"/>
      <c r="J1939" s="13" t="b">
        <v>0</v>
      </c>
    </row>
    <row r="1940">
      <c r="B1940" s="13"/>
      <c r="I1940" s="13"/>
      <c r="J1940" s="13" t="b">
        <v>0</v>
      </c>
    </row>
    <row r="1941">
      <c r="B1941" s="13"/>
      <c r="I1941" s="13"/>
      <c r="J1941" s="13" t="b">
        <v>0</v>
      </c>
    </row>
    <row r="1942">
      <c r="B1942" s="13"/>
      <c r="I1942" s="13"/>
      <c r="J1942" s="13" t="b">
        <v>0</v>
      </c>
    </row>
    <row r="1943">
      <c r="B1943" s="13"/>
      <c r="I1943" s="13"/>
      <c r="J1943" s="13" t="b">
        <v>0</v>
      </c>
    </row>
    <row r="1944">
      <c r="B1944" s="13"/>
      <c r="I1944" s="13"/>
      <c r="J1944" s="13" t="b">
        <v>0</v>
      </c>
    </row>
    <row r="1945">
      <c r="B1945" s="13"/>
      <c r="I1945" s="13"/>
      <c r="J1945" s="13" t="b">
        <v>0</v>
      </c>
    </row>
    <row r="1946">
      <c r="B1946" s="13"/>
      <c r="I1946" s="13"/>
      <c r="J1946" s="13" t="b">
        <v>0</v>
      </c>
    </row>
    <row r="1947">
      <c r="B1947" s="13"/>
      <c r="I1947" s="13"/>
      <c r="J1947" s="13" t="b">
        <v>0</v>
      </c>
    </row>
    <row r="1948">
      <c r="B1948" s="13"/>
      <c r="I1948" s="13"/>
      <c r="J1948" s="13" t="b">
        <v>0</v>
      </c>
    </row>
    <row r="1949">
      <c r="B1949" s="13"/>
      <c r="I1949" s="13"/>
      <c r="J1949" s="13" t="b">
        <v>0</v>
      </c>
    </row>
    <row r="1950">
      <c r="B1950" s="13"/>
      <c r="I1950" s="13"/>
      <c r="J1950" s="13" t="b">
        <v>0</v>
      </c>
    </row>
    <row r="1951">
      <c r="B1951" s="13"/>
      <c r="I1951" s="13"/>
      <c r="J1951" s="13" t="b">
        <v>0</v>
      </c>
    </row>
    <row r="1952">
      <c r="B1952" s="13"/>
      <c r="I1952" s="13"/>
      <c r="J1952" s="13" t="b">
        <v>0</v>
      </c>
    </row>
    <row r="1953">
      <c r="B1953" s="13"/>
      <c r="I1953" s="13"/>
      <c r="J1953" s="13" t="b">
        <v>0</v>
      </c>
    </row>
    <row r="1954">
      <c r="B1954" s="13"/>
      <c r="I1954" s="13"/>
      <c r="J1954" s="13" t="b">
        <v>0</v>
      </c>
    </row>
    <row r="1955">
      <c r="B1955" s="13"/>
      <c r="I1955" s="13"/>
      <c r="J1955" s="13" t="b">
        <v>0</v>
      </c>
    </row>
    <row r="1956">
      <c r="B1956" s="13"/>
      <c r="I1956" s="13"/>
      <c r="J1956" s="13" t="b">
        <v>0</v>
      </c>
    </row>
    <row r="1957">
      <c r="B1957" s="13"/>
      <c r="I1957" s="13"/>
      <c r="J1957" s="13" t="b">
        <v>0</v>
      </c>
    </row>
    <row r="1958">
      <c r="B1958" s="13"/>
      <c r="I1958" s="13"/>
      <c r="J1958" s="13" t="b">
        <v>0</v>
      </c>
    </row>
    <row r="1959">
      <c r="B1959" s="13"/>
      <c r="I1959" s="13"/>
      <c r="J1959" s="13" t="b">
        <v>0</v>
      </c>
    </row>
    <row r="1960">
      <c r="B1960" s="13"/>
      <c r="I1960" s="13"/>
      <c r="J1960" s="13" t="b">
        <v>0</v>
      </c>
    </row>
    <row r="1961">
      <c r="B1961" s="13"/>
      <c r="I1961" s="13"/>
      <c r="J1961" s="13" t="b">
        <v>0</v>
      </c>
    </row>
    <row r="1962">
      <c r="B1962" s="13"/>
      <c r="I1962" s="13"/>
      <c r="J1962" s="13" t="b">
        <v>0</v>
      </c>
    </row>
    <row r="1963">
      <c r="B1963" s="13"/>
      <c r="I1963" s="13"/>
      <c r="J1963" s="13" t="b">
        <v>0</v>
      </c>
    </row>
    <row r="1964">
      <c r="B1964" s="13"/>
      <c r="I1964" s="13"/>
      <c r="J1964" s="13" t="b">
        <v>0</v>
      </c>
    </row>
    <row r="1965">
      <c r="B1965" s="13"/>
      <c r="I1965" s="13"/>
      <c r="J1965" s="13" t="b">
        <v>0</v>
      </c>
    </row>
    <row r="1966">
      <c r="B1966" s="13"/>
      <c r="I1966" s="13"/>
      <c r="J1966" s="13" t="b">
        <v>0</v>
      </c>
    </row>
    <row r="1967">
      <c r="B1967" s="13"/>
      <c r="I1967" s="13"/>
      <c r="J1967" s="13" t="b">
        <v>0</v>
      </c>
    </row>
    <row r="1968">
      <c r="B1968" s="13"/>
      <c r="I1968" s="13"/>
      <c r="J1968" s="13" t="b">
        <v>0</v>
      </c>
    </row>
    <row r="1969">
      <c r="B1969" s="13"/>
      <c r="I1969" s="13"/>
      <c r="J1969" s="13" t="b">
        <v>0</v>
      </c>
    </row>
    <row r="1970">
      <c r="B1970" s="13"/>
      <c r="I1970" s="13"/>
      <c r="J1970" s="13" t="b">
        <v>0</v>
      </c>
    </row>
    <row r="1971">
      <c r="B1971" s="13"/>
      <c r="I1971" s="13"/>
      <c r="J1971" s="13" t="b">
        <v>0</v>
      </c>
    </row>
    <row r="1972">
      <c r="B1972" s="13"/>
      <c r="I1972" s="13"/>
      <c r="J1972" s="13" t="b">
        <v>0</v>
      </c>
    </row>
    <row r="1973">
      <c r="B1973" s="13"/>
      <c r="I1973" s="13"/>
      <c r="J1973" s="13" t="b">
        <v>0</v>
      </c>
    </row>
    <row r="1974">
      <c r="B1974" s="13"/>
      <c r="I1974" s="13"/>
      <c r="J1974" s="13" t="b">
        <v>0</v>
      </c>
    </row>
    <row r="1975">
      <c r="B1975" s="13"/>
      <c r="I1975" s="13"/>
      <c r="J1975" s="13" t="b">
        <v>0</v>
      </c>
    </row>
    <row r="1976">
      <c r="B1976" s="13"/>
      <c r="I1976" s="13"/>
      <c r="J1976" s="13" t="b">
        <v>0</v>
      </c>
    </row>
    <row r="1977">
      <c r="B1977" s="13"/>
      <c r="I1977" s="13"/>
      <c r="J1977" s="13" t="b">
        <v>0</v>
      </c>
    </row>
    <row r="1978">
      <c r="B1978" s="13"/>
      <c r="I1978" s="13"/>
      <c r="J1978" s="13" t="b">
        <v>0</v>
      </c>
    </row>
    <row r="1979">
      <c r="B1979" s="13"/>
      <c r="I1979" s="13"/>
      <c r="J1979" s="13" t="b">
        <v>0</v>
      </c>
    </row>
    <row r="1980">
      <c r="B1980" s="13"/>
      <c r="I1980" s="13"/>
      <c r="J1980" s="13" t="b">
        <v>0</v>
      </c>
    </row>
    <row r="1981">
      <c r="B1981" s="13"/>
      <c r="I1981" s="13"/>
      <c r="J1981" s="13" t="b">
        <v>0</v>
      </c>
    </row>
    <row r="1982">
      <c r="B1982" s="13"/>
      <c r="I1982" s="13"/>
      <c r="J1982" s="13" t="b">
        <v>0</v>
      </c>
    </row>
    <row r="1983">
      <c r="B1983" s="13"/>
      <c r="I1983" s="13"/>
      <c r="J1983" s="13" t="b">
        <v>0</v>
      </c>
    </row>
    <row r="1984">
      <c r="B1984" s="13"/>
      <c r="I1984" s="13"/>
      <c r="J1984" s="13" t="b">
        <v>0</v>
      </c>
    </row>
    <row r="1985">
      <c r="B1985" s="13"/>
      <c r="I1985" s="13"/>
      <c r="J1985" s="13" t="b">
        <v>0</v>
      </c>
    </row>
    <row r="1986">
      <c r="B1986" s="13"/>
      <c r="I1986" s="13"/>
      <c r="J1986" s="13" t="b">
        <v>0</v>
      </c>
    </row>
    <row r="1987">
      <c r="B1987" s="13"/>
      <c r="I1987" s="13"/>
      <c r="J1987" s="13" t="b">
        <v>0</v>
      </c>
    </row>
    <row r="1988">
      <c r="B1988" s="13"/>
      <c r="I1988" s="13"/>
      <c r="J1988" s="13" t="b">
        <v>0</v>
      </c>
    </row>
    <row r="1989">
      <c r="B1989" s="13"/>
      <c r="I1989" s="13"/>
      <c r="J1989" s="13" t="b">
        <v>0</v>
      </c>
    </row>
    <row r="1990">
      <c r="B1990" s="13"/>
      <c r="I1990" s="13"/>
      <c r="J1990" s="13" t="b">
        <v>0</v>
      </c>
    </row>
    <row r="1991">
      <c r="B1991" s="13"/>
      <c r="I1991" s="13"/>
      <c r="J1991" s="13" t="b">
        <v>0</v>
      </c>
    </row>
    <row r="1992">
      <c r="B1992" s="13"/>
      <c r="I1992" s="13"/>
      <c r="J1992" s="13" t="b">
        <v>0</v>
      </c>
    </row>
    <row r="1993">
      <c r="B1993" s="13"/>
      <c r="I1993" s="13"/>
      <c r="J1993" s="13" t="b">
        <v>0</v>
      </c>
    </row>
    <row r="1994">
      <c r="B1994" s="13"/>
      <c r="I1994" s="13"/>
      <c r="J1994" s="13" t="b">
        <v>0</v>
      </c>
    </row>
    <row r="1995">
      <c r="B1995" s="13"/>
      <c r="I1995" s="13"/>
      <c r="J1995" s="13" t="b">
        <v>0</v>
      </c>
    </row>
    <row r="1996">
      <c r="B1996" s="13"/>
      <c r="I1996" s="13"/>
      <c r="J1996" s="13" t="b">
        <v>0</v>
      </c>
    </row>
    <row r="1997">
      <c r="B1997" s="13"/>
      <c r="I1997" s="13"/>
      <c r="J1997" s="13" t="b">
        <v>0</v>
      </c>
    </row>
    <row r="1998">
      <c r="B1998" s="13"/>
      <c r="I1998" s="13"/>
      <c r="J1998" s="13" t="b">
        <v>0</v>
      </c>
    </row>
    <row r="1999">
      <c r="B1999" s="13"/>
      <c r="I1999" s="13"/>
      <c r="J1999" s="13" t="b">
        <v>0</v>
      </c>
    </row>
    <row r="2000">
      <c r="B2000" s="13"/>
      <c r="I2000" s="13"/>
      <c r="J2000" s="13" t="b">
        <v>0</v>
      </c>
    </row>
  </sheetData>
  <autoFilter ref="$A$6:$AA$1000">
    <filterColumn colId="6">
      <filters>
        <filter val="Training"/>
        <filter val="kulit"/>
        <filter val="daun"/>
      </filters>
    </filterColumn>
  </autoFilter>
  <mergeCells count="4">
    <mergeCell ref="A1:J1"/>
    <mergeCell ref="A2:J2"/>
    <mergeCell ref="A3:J3"/>
    <mergeCell ref="A4:J4"/>
  </mergeCells>
  <dataValidations>
    <dataValidation type="list" allowBlank="1" showDropDown="1" showErrorMessage="1" sqref="B7:B2000">
      <formula1>'MASTER DATA'!$A$2:$A$215</formula1>
    </dataValidation>
    <dataValidation type="list" allowBlank="1" showErrorMessage="1" sqref="I7:I2000">
      <formula1>"Waste,Spoil,Training,Discontinued,Test food/kalibrasi"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7" max="7" width="17.29"/>
    <col customWidth="1" min="9" max="9" width="23.71"/>
  </cols>
  <sheetData>
    <row r="1">
      <c r="A1" s="11">
        <v>2.0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1118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 t="s">
        <v>6</v>
      </c>
      <c r="C6" s="16" t="s">
        <v>7</v>
      </c>
      <c r="D6" s="16" t="s">
        <v>8</v>
      </c>
      <c r="E6" s="16" t="s">
        <v>10</v>
      </c>
      <c r="F6" s="16" t="s">
        <v>9</v>
      </c>
      <c r="G6" s="16" t="s">
        <v>11</v>
      </c>
      <c r="H6" s="16" t="s">
        <v>12</v>
      </c>
      <c r="I6" s="16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6">
        <v>46235.0</v>
      </c>
      <c r="B7" s="18" t="s">
        <v>53</v>
      </c>
      <c r="C7" s="17" t="str">
        <f>IFERROR(VLOOKUP(B7,'MASTER DATA'!$A$1:$E$212,2,FALSE),"")</f>
        <v>BB-100502</v>
      </c>
      <c r="D7" s="17" t="str">
        <f>IFERROR(VLOOKUP(B7,'MASTER DATA'!$A$1:$E$212,5,FALSE),"")</f>
        <v>BAHAN BAKU LUUCA</v>
      </c>
      <c r="E7" s="44">
        <f>39+76</f>
        <v>115</v>
      </c>
      <c r="F7" s="17" t="str">
        <f>IFERROR(VLOOKUP(B7,'MASTER DATA'!$A$1:$E$212,4,FALSE),"")</f>
        <v>GR</v>
      </c>
      <c r="G7" s="18" t="s">
        <v>921</v>
      </c>
      <c r="H7" s="44" t="s">
        <v>1114</v>
      </c>
      <c r="I7" s="18" t="s">
        <v>1034</v>
      </c>
      <c r="J7" s="17" t="b">
        <v>0</v>
      </c>
    </row>
    <row r="8">
      <c r="A8" s="17"/>
      <c r="B8" s="18" t="s">
        <v>109</v>
      </c>
      <c r="C8" s="17" t="str">
        <f>IFERROR(VLOOKUP(B8,'MASTER DATA'!$A$1:$E$212,2,FALSE),"")</f>
        <v>BB-100501</v>
      </c>
      <c r="D8" s="17" t="str">
        <f>IFERROR(VLOOKUP(B8,'MASTER DATA'!$A$1:$E$212,5,FALSE),"")</f>
        <v>BAHAN BAKU LUUCA</v>
      </c>
      <c r="E8" s="44" t="s">
        <v>1119</v>
      </c>
      <c r="F8" s="17" t="str">
        <f>IFERROR(VLOOKUP(B8,'MASTER DATA'!$A$1:$E$212,4,FALSE),"")</f>
        <v>GR</v>
      </c>
      <c r="G8" s="18" t="s">
        <v>1120</v>
      </c>
      <c r="H8" s="44" t="s">
        <v>1016</v>
      </c>
      <c r="I8" s="18" t="s">
        <v>1034</v>
      </c>
      <c r="J8" s="17" t="b">
        <v>0</v>
      </c>
    </row>
    <row r="9">
      <c r="A9" s="17"/>
      <c r="B9" s="18" t="s">
        <v>33</v>
      </c>
      <c r="C9" s="17" t="str">
        <f>IFERROR(VLOOKUP(B9,'MASTER DATA'!$A$1:$E$212,2,FALSE),"")</f>
        <v>BB-100022</v>
      </c>
      <c r="D9" s="17" t="str">
        <f>IFERROR(VLOOKUP(B9,'MASTER DATA'!$A$1:$E$212,5,FALSE),"")</f>
        <v>BAHAN BAKU LUUCA</v>
      </c>
      <c r="E9" s="44">
        <v>599.0</v>
      </c>
      <c r="F9" s="17" t="str">
        <f>IFERROR(VLOOKUP(B9,'MASTER DATA'!$A$1:$E$212,4,FALSE),"")</f>
        <v>GR</v>
      </c>
      <c r="G9" s="18" t="s">
        <v>703</v>
      </c>
      <c r="H9" s="44" t="s">
        <v>522</v>
      </c>
      <c r="I9" s="18" t="s">
        <v>1034</v>
      </c>
      <c r="J9" s="17" t="b">
        <v>0</v>
      </c>
    </row>
    <row r="10">
      <c r="A10" s="17"/>
      <c r="B10" s="18" t="s">
        <v>108</v>
      </c>
      <c r="C10" s="17" t="str">
        <f>IFERROR(VLOOKUP(B10,'MASTER DATA'!$A$1:$E$212,2,FALSE),"")</f>
        <v>BB-100500</v>
      </c>
      <c r="D10" s="17" t="str">
        <f>IFERROR(VLOOKUP(B10,'MASTER DATA'!$A$1:$E$212,5,FALSE),"")</f>
        <v>BAHAN BAKU LUUCA</v>
      </c>
      <c r="E10" s="44">
        <f>12+15</f>
        <v>27</v>
      </c>
      <c r="F10" s="17" t="str">
        <f>IFERROR(VLOOKUP(B10,'MASTER DATA'!$A$1:$E$212,4,FALSE),"")</f>
        <v>GR</v>
      </c>
      <c r="G10" s="18" t="s">
        <v>797</v>
      </c>
      <c r="H10" s="44" t="s">
        <v>522</v>
      </c>
      <c r="I10" s="18" t="s">
        <v>1034</v>
      </c>
      <c r="J10" s="17" t="b">
        <v>0</v>
      </c>
    </row>
    <row r="11">
      <c r="A11" s="36">
        <v>46236.0</v>
      </c>
      <c r="B11" s="18" t="s">
        <v>238</v>
      </c>
      <c r="C11" s="17" t="str">
        <f>IFERROR(VLOOKUP(B11,'MASTER DATA'!$A$1:$E$212,2,FALSE),"")</f>
        <v>BB-100517</v>
      </c>
      <c r="D11" s="17" t="str">
        <f>IFERROR(VLOOKUP(B11,'MASTER DATA'!$A$1:$E$212,5,FALSE),"")</f>
        <v>PRODUKSI STOK LUUCA</v>
      </c>
      <c r="E11" s="44">
        <v>2.0</v>
      </c>
      <c r="F11" s="17" t="str">
        <f>IFERROR(VLOOKUP(B11,'MASTER DATA'!$A$1:$E$212,4,FALSE),"")</f>
        <v>PCS</v>
      </c>
      <c r="G11" s="18" t="s">
        <v>1089</v>
      </c>
      <c r="H11" s="44" t="s">
        <v>595</v>
      </c>
      <c r="I11" s="18" t="s">
        <v>1034</v>
      </c>
      <c r="J11" s="17" t="b">
        <v>0</v>
      </c>
    </row>
    <row r="12">
      <c r="A12" s="17"/>
      <c r="B12" s="18" t="s">
        <v>108</v>
      </c>
      <c r="C12" s="17" t="str">
        <f>IFERROR(VLOOKUP(B12,'MASTER DATA'!$A$1:$E$212,2,FALSE),"")</f>
        <v>BB-100500</v>
      </c>
      <c r="D12" s="17" t="str">
        <f>IFERROR(VLOOKUP(B12,'MASTER DATA'!$A$1:$E$212,5,FALSE),"")</f>
        <v>BAHAN BAKU LUUCA</v>
      </c>
      <c r="E12" s="44" t="s">
        <v>1121</v>
      </c>
      <c r="F12" s="17" t="str">
        <f>IFERROR(VLOOKUP(B12,'MASTER DATA'!$A$1:$E$212,4,FALSE),"")</f>
        <v>GR</v>
      </c>
      <c r="G12" s="18" t="s">
        <v>819</v>
      </c>
      <c r="H12" s="44" t="s">
        <v>1079</v>
      </c>
      <c r="I12" s="18" t="s">
        <v>1041</v>
      </c>
      <c r="J12" s="17" t="b">
        <v>0</v>
      </c>
    </row>
    <row r="13">
      <c r="A13" s="17"/>
      <c r="B13" s="18" t="s">
        <v>34</v>
      </c>
      <c r="C13" s="17" t="str">
        <f>IFERROR(VLOOKUP(B13,'MASTER DATA'!$A$1:$E$212,2,FALSE),"")</f>
        <v>BB-100023</v>
      </c>
      <c r="D13" s="17" t="str">
        <f>IFERROR(VLOOKUP(B13,'MASTER DATA'!$A$1:$E$212,5,FALSE),"")</f>
        <v>BAHAN BAKU LUUCA</v>
      </c>
      <c r="E13" s="44" t="s">
        <v>1122</v>
      </c>
      <c r="F13" s="17" t="str">
        <f>IFERROR(VLOOKUP(B13,'MASTER DATA'!$A$1:$E$212,4,FALSE),"")</f>
        <v>GR</v>
      </c>
      <c r="G13" s="18" t="s">
        <v>703</v>
      </c>
      <c r="H13" s="44" t="s">
        <v>1079</v>
      </c>
      <c r="I13" s="18" t="s">
        <v>1034</v>
      </c>
      <c r="J13" s="17" t="b">
        <v>0</v>
      </c>
    </row>
    <row r="14">
      <c r="A14" s="17"/>
      <c r="B14" s="18" t="s">
        <v>33</v>
      </c>
      <c r="C14" s="17" t="str">
        <f>IFERROR(VLOOKUP(B14,'MASTER DATA'!$A$1:$E$212,2,FALSE),"")</f>
        <v>BB-100022</v>
      </c>
      <c r="D14" s="17" t="str">
        <f>IFERROR(VLOOKUP(B14,'MASTER DATA'!$A$1:$E$212,5,FALSE),"")</f>
        <v>BAHAN BAKU LUUCA</v>
      </c>
      <c r="E14" s="44">
        <v>602.0</v>
      </c>
      <c r="F14" s="17" t="str">
        <f>IFERROR(VLOOKUP(B14,'MASTER DATA'!$A$1:$E$212,4,FALSE),"")</f>
        <v>GR</v>
      </c>
      <c r="G14" s="18" t="s">
        <v>591</v>
      </c>
      <c r="H14" s="44" t="s">
        <v>522</v>
      </c>
      <c r="I14" s="18" t="s">
        <v>1034</v>
      </c>
      <c r="J14" s="17" t="b">
        <v>0</v>
      </c>
    </row>
    <row r="15">
      <c r="A15" s="17"/>
      <c r="B15" s="18" t="s">
        <v>109</v>
      </c>
      <c r="C15" s="17" t="str">
        <f>IFERROR(VLOOKUP(B15,'MASTER DATA'!$A$1:$E$212,2,FALSE),"")</f>
        <v>BB-100501</v>
      </c>
      <c r="D15" s="17" t="str">
        <f>IFERROR(VLOOKUP(B15,'MASTER DATA'!$A$1:$E$212,5,FALSE),"")</f>
        <v>BAHAN BAKU LUUCA</v>
      </c>
      <c r="E15" s="44" t="s">
        <v>1123</v>
      </c>
      <c r="F15" s="17" t="str">
        <f>IFERROR(VLOOKUP(B15,'MASTER DATA'!$A$1:$E$212,4,FALSE),"")</f>
        <v>GR</v>
      </c>
      <c r="G15" s="18" t="s">
        <v>1120</v>
      </c>
      <c r="H15" s="44" t="s">
        <v>522</v>
      </c>
      <c r="I15" s="18" t="s">
        <v>1034</v>
      </c>
      <c r="J15" s="17" t="b">
        <v>0</v>
      </c>
    </row>
    <row r="16">
      <c r="A16" s="17"/>
      <c r="B16" s="18" t="s">
        <v>108</v>
      </c>
      <c r="C16" s="17" t="str">
        <f>IFERROR(VLOOKUP(B16,'MASTER DATA'!$A$1:$E$212,2,FALSE),"")</f>
        <v>BB-100500</v>
      </c>
      <c r="D16" s="17" t="str">
        <f>IFERROR(VLOOKUP(B16,'MASTER DATA'!$A$1:$E$212,5,FALSE),"")</f>
        <v>BAHAN BAKU LUUCA</v>
      </c>
      <c r="E16" s="44" t="s">
        <v>1124</v>
      </c>
      <c r="F16" s="17" t="str">
        <f>IFERROR(VLOOKUP(B16,'MASTER DATA'!$A$1:$E$212,4,FALSE),"")</f>
        <v>GR</v>
      </c>
      <c r="G16" s="18" t="s">
        <v>797</v>
      </c>
      <c r="H16" s="44" t="s">
        <v>522</v>
      </c>
      <c r="I16" s="18" t="s">
        <v>1034</v>
      </c>
      <c r="J16" s="17" t="b">
        <v>0</v>
      </c>
    </row>
    <row r="17">
      <c r="A17" s="17"/>
      <c r="B17" s="18" t="s">
        <v>53</v>
      </c>
      <c r="C17" s="17" t="str">
        <f>IFERROR(VLOOKUP(B17,'MASTER DATA'!$A$1:$E$212,2,FALSE),"")</f>
        <v>BB-100502</v>
      </c>
      <c r="D17" s="17" t="str">
        <f>IFERROR(VLOOKUP(B17,'MASTER DATA'!$A$1:$E$212,5,FALSE),"")</f>
        <v>BAHAN BAKU LUUCA</v>
      </c>
      <c r="E17" s="44" t="s">
        <v>1125</v>
      </c>
      <c r="F17" s="17" t="str">
        <f>IFERROR(VLOOKUP(B17,'MASTER DATA'!$A$1:$E$212,4,FALSE),"")</f>
        <v>GR</v>
      </c>
      <c r="G17" s="18" t="s">
        <v>921</v>
      </c>
      <c r="H17" s="44" t="s">
        <v>522</v>
      </c>
      <c r="I17" s="18" t="s">
        <v>1034</v>
      </c>
      <c r="J17" s="17" t="b">
        <v>0</v>
      </c>
    </row>
    <row r="18">
      <c r="A18" s="36">
        <v>46237.0</v>
      </c>
      <c r="B18" s="18" t="s">
        <v>27</v>
      </c>
      <c r="C18" s="17" t="str">
        <f>IFERROR(VLOOKUP(B18,'MASTER DATA'!$A$1:$E$212,2,FALSE),"")</f>
        <v>BB-100007</v>
      </c>
      <c r="D18" s="17" t="str">
        <f>IFERROR(VLOOKUP(B18,'MASTER DATA'!$A$1:$E$212,5,FALSE),"")</f>
        <v>PRODUKSI STOK LUUCA</v>
      </c>
      <c r="E18" s="38">
        <f>43+30</f>
        <v>73</v>
      </c>
      <c r="F18" s="17" t="str">
        <f>IFERROR(VLOOKUP(B18,'MASTER DATA'!$A$1:$E$212,4,FALSE),"")</f>
        <v>GR</v>
      </c>
      <c r="G18" s="18" t="s">
        <v>1126</v>
      </c>
      <c r="H18" s="44" t="s">
        <v>522</v>
      </c>
      <c r="I18" s="18" t="s">
        <v>1034</v>
      </c>
      <c r="J18" s="17" t="b">
        <v>0</v>
      </c>
    </row>
    <row r="19">
      <c r="A19" s="17"/>
      <c r="B19" s="18" t="s">
        <v>38</v>
      </c>
      <c r="C19" s="17" t="str">
        <f>IFERROR(VLOOKUP(B19,'MASTER DATA'!$A$1:$E$212,2,FALSE),"")</f>
        <v>BB-100025</v>
      </c>
      <c r="D19" s="17" t="str">
        <f>IFERROR(VLOOKUP(B19,'MASTER DATA'!$A$1:$E$212,5,FALSE),"")</f>
        <v>PRODUKSI STOK LUUCA</v>
      </c>
      <c r="E19" s="44">
        <v>2.0</v>
      </c>
      <c r="F19" s="17" t="str">
        <f>IFERROR(VLOOKUP(B19,'MASTER DATA'!$A$1:$E$212,4,FALSE),"")</f>
        <v>PCS</v>
      </c>
      <c r="G19" s="18" t="s">
        <v>1127</v>
      </c>
      <c r="H19" s="44" t="s">
        <v>522</v>
      </c>
      <c r="I19" s="18" t="s">
        <v>293</v>
      </c>
      <c r="J19" s="17" t="b">
        <v>0</v>
      </c>
    </row>
    <row r="20">
      <c r="A20" s="17"/>
      <c r="B20" s="18" t="s">
        <v>36</v>
      </c>
      <c r="C20" s="17" t="str">
        <f>IFERROR(VLOOKUP(B20,'MASTER DATA'!$A$1:$E$212,2,FALSE),"")</f>
        <v>BB-100024</v>
      </c>
      <c r="D20" s="17" t="str">
        <f>IFERROR(VLOOKUP(B20,'MASTER DATA'!$A$1:$E$212,5,FALSE),"")</f>
        <v>PRODUKSI STOK LUUCA</v>
      </c>
      <c r="E20" s="44">
        <v>2.0</v>
      </c>
      <c r="F20" s="17" t="str">
        <f>IFERROR(VLOOKUP(B20,'MASTER DATA'!$A$1:$E$212,4,FALSE),"")</f>
        <v>PCS</v>
      </c>
      <c r="G20" s="18" t="s">
        <v>1127</v>
      </c>
      <c r="H20" s="44" t="s">
        <v>1114</v>
      </c>
      <c r="I20" s="18" t="s">
        <v>293</v>
      </c>
      <c r="J20" s="17" t="b">
        <v>0</v>
      </c>
    </row>
    <row r="21">
      <c r="A21" s="17"/>
      <c r="B21" s="18" t="s">
        <v>65</v>
      </c>
      <c r="C21" s="17" t="str">
        <f>IFERROR(VLOOKUP(B21,'MASTER DATA'!$A$1:$E$212,2,FALSE),"")</f>
        <v>BB-100136</v>
      </c>
      <c r="D21" s="17" t="str">
        <f>IFERROR(VLOOKUP(B21,'MASTER DATA'!$A$1:$E$212,5,FALSE),"")</f>
        <v>BAHAN BAKU LUUCA</v>
      </c>
      <c r="E21" s="44">
        <v>1.0</v>
      </c>
      <c r="F21" s="17" t="str">
        <f>IFERROR(VLOOKUP(B21,'MASTER DATA'!$A$1:$E$212,4,FALSE),"")</f>
        <v>PCS</v>
      </c>
      <c r="G21" s="18" t="s">
        <v>1126</v>
      </c>
      <c r="H21" s="44" t="s">
        <v>1114</v>
      </c>
      <c r="I21" s="18" t="s">
        <v>1034</v>
      </c>
      <c r="J21" s="17" t="b">
        <v>0</v>
      </c>
    </row>
    <row r="22">
      <c r="A22" s="36"/>
      <c r="B22" s="18" t="s">
        <v>108</v>
      </c>
      <c r="C22" s="17" t="str">
        <f>IFERROR(VLOOKUP(B22,'MASTER DATA'!$A$1:$E$212,2,FALSE),"")</f>
        <v>BB-100500</v>
      </c>
      <c r="D22" s="17" t="str">
        <f>IFERROR(VLOOKUP(B22,'MASTER DATA'!$A$1:$E$212,5,FALSE),"")</f>
        <v>BAHAN BAKU LUUCA</v>
      </c>
      <c r="E22" s="44" t="s">
        <v>1128</v>
      </c>
      <c r="F22" s="17" t="str">
        <f>IFERROR(VLOOKUP(B22,'MASTER DATA'!$A$1:$E$212,4,FALSE),"")</f>
        <v>GR</v>
      </c>
      <c r="G22" s="18" t="s">
        <v>797</v>
      </c>
      <c r="H22" s="44" t="s">
        <v>888</v>
      </c>
      <c r="I22" s="18" t="s">
        <v>1034</v>
      </c>
      <c r="J22" s="17" t="b">
        <v>0</v>
      </c>
    </row>
    <row r="23">
      <c r="A23" s="17"/>
      <c r="B23" s="18" t="s">
        <v>53</v>
      </c>
      <c r="C23" s="17" t="str">
        <f>IFERROR(VLOOKUP(B23,'MASTER DATA'!$A$1:$E$212,2,FALSE),"")</f>
        <v>BB-100502</v>
      </c>
      <c r="D23" s="17" t="str">
        <f>IFERROR(VLOOKUP(B23,'MASTER DATA'!$A$1:$E$212,5,FALSE),"")</f>
        <v>BAHAN BAKU LUUCA</v>
      </c>
      <c r="E23" s="44" t="s">
        <v>1129</v>
      </c>
      <c r="F23" s="17" t="str">
        <f>IFERROR(VLOOKUP(B23,'MASTER DATA'!$A$1:$E$212,4,FALSE),"")</f>
        <v>GR</v>
      </c>
      <c r="G23" s="18" t="s">
        <v>921</v>
      </c>
      <c r="H23" s="44" t="s">
        <v>888</v>
      </c>
      <c r="I23" s="18" t="s">
        <v>1034</v>
      </c>
      <c r="J23" s="17" t="b">
        <v>0</v>
      </c>
    </row>
    <row r="24">
      <c r="A24" s="36">
        <v>46238.0</v>
      </c>
      <c r="B24" s="18" t="s">
        <v>33</v>
      </c>
      <c r="C24" s="17" t="str">
        <f>IFERROR(VLOOKUP(B24,'MASTER DATA'!$A$1:$E$212,2,FALSE),"")</f>
        <v>BB-100022</v>
      </c>
      <c r="D24" s="17" t="str">
        <f>IFERROR(VLOOKUP(B24,'MASTER DATA'!$A$1:$E$212,5,FALSE),"")</f>
        <v>BAHAN BAKU LUUCA</v>
      </c>
      <c r="E24" s="44">
        <v>676.0</v>
      </c>
      <c r="F24" s="17" t="str">
        <f>IFERROR(VLOOKUP(B24,'MASTER DATA'!$A$1:$E$212,4,FALSE),"")</f>
        <v>GR</v>
      </c>
      <c r="G24" s="18" t="s">
        <v>591</v>
      </c>
      <c r="H24" s="44" t="s">
        <v>1114</v>
      </c>
      <c r="I24" s="18" t="s">
        <v>1034</v>
      </c>
      <c r="J24" s="17" t="b">
        <v>0</v>
      </c>
    </row>
    <row r="25">
      <c r="A25" s="17"/>
      <c r="B25" s="18" t="s">
        <v>220</v>
      </c>
      <c r="C25" s="17" t="str">
        <f>IFERROR(VLOOKUP(B25,'MASTER DATA'!$A$1:$E$212,2,FALSE),"")</f>
        <v>BB-100507</v>
      </c>
      <c r="D25" s="17" t="str">
        <f>IFERROR(VLOOKUP(B25,'MASTER DATA'!$A$1:$E$212,5,FALSE),"")</f>
        <v>PRODUKSI STOK LUUCA</v>
      </c>
      <c r="E25" s="44">
        <v>5.0</v>
      </c>
      <c r="F25" s="17" t="str">
        <f>IFERROR(VLOOKUP(B25,'MASTER DATA'!$A$1:$E$212,4,FALSE),"")</f>
        <v>PCS</v>
      </c>
      <c r="G25" s="18" t="s">
        <v>830</v>
      </c>
      <c r="H25" s="44" t="s">
        <v>1114</v>
      </c>
      <c r="I25" s="18" t="s">
        <v>1041</v>
      </c>
      <c r="J25" s="17" t="b">
        <v>0</v>
      </c>
    </row>
    <row r="26">
      <c r="A26" s="17"/>
      <c r="B26" s="18" t="s">
        <v>53</v>
      </c>
      <c r="C26" s="17" t="str">
        <f>IFERROR(VLOOKUP(B26,'MASTER DATA'!$A$1:$E$212,2,FALSE),"")</f>
        <v>BB-100502</v>
      </c>
      <c r="D26" s="17" t="str">
        <f>IFERROR(VLOOKUP(B26,'MASTER DATA'!$A$1:$E$212,5,FALSE),"")</f>
        <v>BAHAN BAKU LUUCA</v>
      </c>
      <c r="E26" s="44" t="s">
        <v>1124</v>
      </c>
      <c r="F26" s="17" t="str">
        <f>IFERROR(VLOOKUP(B26,'MASTER DATA'!$A$1:$E$212,4,FALSE),"")</f>
        <v>GR</v>
      </c>
      <c r="G26" s="18" t="s">
        <v>921</v>
      </c>
      <c r="H26" s="44" t="s">
        <v>1079</v>
      </c>
      <c r="I26" s="18" t="s">
        <v>1034</v>
      </c>
      <c r="J26" s="17" t="b">
        <v>0</v>
      </c>
    </row>
    <row r="27">
      <c r="A27" s="17"/>
      <c r="B27" s="18" t="s">
        <v>108</v>
      </c>
      <c r="C27" s="17" t="str">
        <f>IFERROR(VLOOKUP(B27,'MASTER DATA'!$A$1:$E$212,2,FALSE),"")</f>
        <v>BB-100500</v>
      </c>
      <c r="D27" s="17" t="str">
        <f>IFERROR(VLOOKUP(B27,'MASTER DATA'!$A$1:$E$212,5,FALSE),"")</f>
        <v>BAHAN BAKU LUUCA</v>
      </c>
      <c r="E27" s="44" t="s">
        <v>897</v>
      </c>
      <c r="F27" s="17" t="str">
        <f>IFERROR(VLOOKUP(B27,'MASTER DATA'!$A$1:$E$212,4,FALSE),"")</f>
        <v>GR</v>
      </c>
      <c r="G27" s="18" t="s">
        <v>819</v>
      </c>
      <c r="H27" s="44" t="s">
        <v>1079</v>
      </c>
      <c r="I27" s="18" t="s">
        <v>1041</v>
      </c>
      <c r="J27" s="17" t="b">
        <v>0</v>
      </c>
    </row>
    <row r="28">
      <c r="A28" s="36">
        <v>46239.0</v>
      </c>
      <c r="B28" s="18" t="s">
        <v>34</v>
      </c>
      <c r="C28" s="17" t="str">
        <f>IFERROR(VLOOKUP(B28,'MASTER DATA'!$A$1:$E$212,2,FALSE),"")</f>
        <v>BB-100023</v>
      </c>
      <c r="D28" s="17" t="str">
        <f>IFERROR(VLOOKUP(B28,'MASTER DATA'!$A$1:$E$212,5,FALSE),"")</f>
        <v>BAHAN BAKU LUUCA</v>
      </c>
      <c r="E28" s="44" t="s">
        <v>1130</v>
      </c>
      <c r="F28" s="17" t="str">
        <f>IFERROR(VLOOKUP(B28,'MASTER DATA'!$A$1:$E$212,4,FALSE),"")</f>
        <v>GR</v>
      </c>
      <c r="G28" s="18" t="s">
        <v>703</v>
      </c>
      <c r="H28" s="44" t="s">
        <v>1071</v>
      </c>
      <c r="I28" s="18" t="s">
        <v>1034</v>
      </c>
      <c r="J28" s="17" t="b">
        <v>0</v>
      </c>
    </row>
    <row r="29">
      <c r="A29" s="36">
        <v>46240.0</v>
      </c>
      <c r="B29" s="18" t="s">
        <v>108</v>
      </c>
      <c r="C29" s="17" t="str">
        <f>IFERROR(VLOOKUP(B29,'MASTER DATA'!$A$1:$E$212,2,FALSE),"")</f>
        <v>BB-100500</v>
      </c>
      <c r="D29" s="17" t="str">
        <f>IFERROR(VLOOKUP(B29,'MASTER DATA'!$A$1:$E$212,5,FALSE),"")</f>
        <v>BAHAN BAKU LUUCA</v>
      </c>
      <c r="E29" s="44" t="s">
        <v>1131</v>
      </c>
      <c r="F29" s="17" t="str">
        <f>IFERROR(VLOOKUP(B29,'MASTER DATA'!$A$1:$E$212,4,FALSE),"")</f>
        <v>GR</v>
      </c>
      <c r="G29" s="18" t="s">
        <v>819</v>
      </c>
      <c r="H29" s="44" t="s">
        <v>522</v>
      </c>
      <c r="I29" s="18" t="s">
        <v>1041</v>
      </c>
      <c r="J29" s="17" t="b">
        <v>0</v>
      </c>
    </row>
    <row r="30">
      <c r="A30" s="17"/>
      <c r="B30" s="18" t="s">
        <v>238</v>
      </c>
      <c r="C30" s="17" t="str">
        <f>IFERROR(VLOOKUP(B30,'MASTER DATA'!$A$1:$E$212,2,FALSE),"")</f>
        <v>BB-100517</v>
      </c>
      <c r="D30" s="17" t="str">
        <f>IFERROR(VLOOKUP(B30,'MASTER DATA'!$A$1:$E$212,5,FALSE),"")</f>
        <v>PRODUKSI STOK LUUCA</v>
      </c>
      <c r="E30" s="44">
        <v>2.0</v>
      </c>
      <c r="F30" s="17" t="str">
        <f>IFERROR(VLOOKUP(B30,'MASTER DATA'!$A$1:$E$212,4,FALSE),"")</f>
        <v>PCS</v>
      </c>
      <c r="G30" s="18" t="s">
        <v>1089</v>
      </c>
      <c r="H30" s="44" t="s">
        <v>522</v>
      </c>
      <c r="I30" s="18" t="s">
        <v>1034</v>
      </c>
      <c r="J30" s="17" t="b">
        <v>0</v>
      </c>
    </row>
    <row r="31">
      <c r="A31" s="36">
        <v>46241.0</v>
      </c>
      <c r="B31" s="18" t="s">
        <v>108</v>
      </c>
      <c r="C31" s="17" t="str">
        <f>IFERROR(VLOOKUP(B31,'MASTER DATA'!$A$1:$E$212,2,FALSE),"")</f>
        <v>BB-100500</v>
      </c>
      <c r="D31" s="17" t="str">
        <f>IFERROR(VLOOKUP(B31,'MASTER DATA'!$A$1:$E$212,5,FALSE),"")</f>
        <v>BAHAN BAKU LUUCA</v>
      </c>
      <c r="E31" s="44">
        <v>84.0</v>
      </c>
      <c r="F31" s="17" t="str">
        <f>IFERROR(VLOOKUP(B31,'MASTER DATA'!$A$1:$E$212,4,FALSE),"")</f>
        <v>GR</v>
      </c>
      <c r="G31" s="18" t="s">
        <v>797</v>
      </c>
      <c r="H31" s="44" t="s">
        <v>522</v>
      </c>
      <c r="I31" s="18" t="s">
        <v>1034</v>
      </c>
      <c r="J31" s="17" t="b">
        <v>0</v>
      </c>
    </row>
    <row r="32">
      <c r="A32" s="17"/>
      <c r="B32" s="18" t="s">
        <v>109</v>
      </c>
      <c r="C32" s="17" t="str">
        <f>IFERROR(VLOOKUP(B32,'MASTER DATA'!$A$1:$E$212,2,FALSE),"")</f>
        <v>BB-100501</v>
      </c>
      <c r="D32" s="17" t="str">
        <f>IFERROR(VLOOKUP(B32,'MASTER DATA'!$A$1:$E$212,5,FALSE),"")</f>
        <v>BAHAN BAKU LUUCA</v>
      </c>
      <c r="E32" s="44" t="s">
        <v>686</v>
      </c>
      <c r="F32" s="17" t="str">
        <f>IFERROR(VLOOKUP(B32,'MASTER DATA'!$A$1:$E$212,4,FALSE),"")</f>
        <v>GR</v>
      </c>
      <c r="G32" s="18" t="s">
        <v>1120</v>
      </c>
      <c r="H32" s="44" t="s">
        <v>595</v>
      </c>
      <c r="I32" s="18" t="s">
        <v>1034</v>
      </c>
      <c r="J32" s="17" t="b">
        <v>0</v>
      </c>
    </row>
    <row r="33">
      <c r="A33" s="17"/>
      <c r="B33" s="18" t="s">
        <v>34</v>
      </c>
      <c r="C33" s="17" t="str">
        <f>IFERROR(VLOOKUP(B33,'MASTER DATA'!$A$1:$E$212,2,FALSE),"")</f>
        <v>BB-100023</v>
      </c>
      <c r="D33" s="17" t="str">
        <f>IFERROR(VLOOKUP(B33,'MASTER DATA'!$A$1:$E$212,5,FALSE),"")</f>
        <v>BAHAN BAKU LUUCA</v>
      </c>
      <c r="E33" s="44" t="s">
        <v>1134</v>
      </c>
      <c r="F33" s="17" t="str">
        <f>IFERROR(VLOOKUP(B33,'MASTER DATA'!$A$1:$E$212,4,FALSE),"")</f>
        <v>GR</v>
      </c>
      <c r="G33" s="18" t="s">
        <v>703</v>
      </c>
      <c r="H33" s="44" t="s">
        <v>595</v>
      </c>
      <c r="I33" s="18" t="s">
        <v>1034</v>
      </c>
      <c r="J33" s="17" t="b">
        <v>0</v>
      </c>
    </row>
    <row r="34">
      <c r="A34" s="57">
        <v>46242.0</v>
      </c>
      <c r="B34" s="18" t="s">
        <v>108</v>
      </c>
      <c r="C34" s="17" t="str">
        <f>IFERROR(VLOOKUP(B34,'MASTER DATA'!$A$1:$E$212,2,FALSE),"")</f>
        <v>BB-100500</v>
      </c>
      <c r="D34" s="17" t="str">
        <f>IFERROR(VLOOKUP(B34,'MASTER DATA'!$A$1:$E$212,5,FALSE),"")</f>
        <v>BAHAN BAKU LUUCA</v>
      </c>
      <c r="E34" s="38">
        <f>4+56</f>
        <v>60</v>
      </c>
      <c r="F34" s="17" t="str">
        <f>IFERROR(VLOOKUP(B34,'MASTER DATA'!$A$1:$E$212,4,FALSE),"")</f>
        <v>GR</v>
      </c>
      <c r="G34" s="18" t="s">
        <v>797</v>
      </c>
      <c r="H34" s="44" t="s">
        <v>1016</v>
      </c>
      <c r="I34" s="18" t="s">
        <v>1034</v>
      </c>
      <c r="J34" s="17" t="b">
        <v>0</v>
      </c>
    </row>
    <row r="35">
      <c r="A35" s="17"/>
      <c r="B35" s="18" t="s">
        <v>53</v>
      </c>
      <c r="C35" s="17" t="str">
        <f>IFERROR(VLOOKUP(B35,'MASTER DATA'!$A$1:$E$212,2,FALSE),"")</f>
        <v>BB-100502</v>
      </c>
      <c r="D35" s="17" t="str">
        <f>IFERROR(VLOOKUP(B35,'MASTER DATA'!$A$1:$E$212,5,FALSE),"")</f>
        <v>BAHAN BAKU LUUCA</v>
      </c>
      <c r="E35" s="44">
        <f>73+37</f>
        <v>110</v>
      </c>
      <c r="F35" s="17" t="str">
        <f>IFERROR(VLOOKUP(B35,'MASTER DATA'!$A$1:$E$212,4,FALSE),"")</f>
        <v>GR</v>
      </c>
      <c r="G35" s="18" t="s">
        <v>921</v>
      </c>
      <c r="H35" s="44" t="s">
        <v>1079</v>
      </c>
      <c r="I35" s="18" t="s">
        <v>1034</v>
      </c>
      <c r="J35" s="17" t="b">
        <v>0</v>
      </c>
    </row>
    <row r="36">
      <c r="A36" s="17"/>
      <c r="B36" s="18" t="s">
        <v>33</v>
      </c>
      <c r="C36" s="17" t="str">
        <f>IFERROR(VLOOKUP(B36,'MASTER DATA'!$A$1:$E$212,2,FALSE),"")</f>
        <v>BB-100022</v>
      </c>
      <c r="D36" s="17" t="str">
        <f>IFERROR(VLOOKUP(B36,'MASTER DATA'!$A$1:$E$212,5,FALSE),"")</f>
        <v>BAHAN BAKU LUUCA</v>
      </c>
      <c r="E36" s="44">
        <v>508.0</v>
      </c>
      <c r="F36" s="17" t="str">
        <f>IFERROR(VLOOKUP(B36,'MASTER DATA'!$A$1:$E$212,4,FALSE),"")</f>
        <v>GR</v>
      </c>
      <c r="G36" s="18" t="s">
        <v>703</v>
      </c>
      <c r="H36" s="44" t="s">
        <v>1114</v>
      </c>
      <c r="I36" s="18" t="s">
        <v>1034</v>
      </c>
      <c r="J36" s="17" t="b">
        <v>0</v>
      </c>
    </row>
    <row r="37">
      <c r="A37" s="17"/>
      <c r="B37" s="18" t="s">
        <v>34</v>
      </c>
      <c r="C37" s="17" t="str">
        <f>IFERROR(VLOOKUP(B37,'MASTER DATA'!$A$1:$E$212,2,FALSE),"")</f>
        <v>BB-100023</v>
      </c>
      <c r="D37" s="17" t="str">
        <f>IFERROR(VLOOKUP(B37,'MASTER DATA'!$A$1:$E$212,5,FALSE),"")</f>
        <v>BAHAN BAKU LUUCA</v>
      </c>
      <c r="E37" s="44">
        <v>503.0</v>
      </c>
      <c r="F37" s="17" t="str">
        <f>IFERROR(VLOOKUP(B37,'MASTER DATA'!$A$1:$E$212,4,FALSE),"")</f>
        <v>GR</v>
      </c>
      <c r="G37" s="18" t="s">
        <v>703</v>
      </c>
      <c r="H37" s="44" t="s">
        <v>1071</v>
      </c>
      <c r="I37" s="18" t="s">
        <v>1034</v>
      </c>
      <c r="J37" s="17" t="b">
        <v>0</v>
      </c>
    </row>
    <row r="38">
      <c r="A38" s="17"/>
      <c r="B38" s="18" t="s">
        <v>238</v>
      </c>
      <c r="C38" s="17" t="str">
        <f>IFERROR(VLOOKUP(B38,'MASTER DATA'!$A$1:$E$212,2,FALSE),"")</f>
        <v>BB-100517</v>
      </c>
      <c r="D38" s="17" t="str">
        <f>IFERROR(VLOOKUP(B38,'MASTER DATA'!$A$1:$E$212,5,FALSE),"")</f>
        <v>PRODUKSI STOK LUUCA</v>
      </c>
      <c r="E38" s="44">
        <v>1.0</v>
      </c>
      <c r="F38" s="17" t="str">
        <f>IFERROR(VLOOKUP(B38,'MASTER DATA'!$A$1:$E$212,4,FALSE),"")</f>
        <v>PCS</v>
      </c>
      <c r="G38" s="18" t="s">
        <v>1089</v>
      </c>
      <c r="H38" s="44" t="s">
        <v>1068</v>
      </c>
      <c r="I38" s="18" t="s">
        <v>1034</v>
      </c>
      <c r="J38" s="17" t="b">
        <v>0</v>
      </c>
    </row>
    <row r="39">
      <c r="A39" s="57">
        <v>46243.0</v>
      </c>
      <c r="B39" s="18" t="s">
        <v>34</v>
      </c>
      <c r="C39" s="17" t="str">
        <f>IFERROR(VLOOKUP(B39,'MASTER DATA'!$A$1:$E$212,2,FALSE),"")</f>
        <v>BB-100023</v>
      </c>
      <c r="D39" s="17" t="str">
        <f>IFERROR(VLOOKUP(B39,'MASTER DATA'!$A$1:$E$212,5,FALSE),"")</f>
        <v>BAHAN BAKU LUUCA</v>
      </c>
      <c r="E39" s="38">
        <f>186</f>
        <v>186</v>
      </c>
      <c r="F39" s="17" t="str">
        <f>IFERROR(VLOOKUP(B39,'MASTER DATA'!$A$1:$E$212,4,FALSE),"")</f>
        <v>GR</v>
      </c>
      <c r="G39" s="18" t="s">
        <v>591</v>
      </c>
      <c r="H39" s="44" t="s">
        <v>1079</v>
      </c>
      <c r="I39" s="18" t="s">
        <v>1034</v>
      </c>
      <c r="J39" s="17" t="b">
        <v>0</v>
      </c>
    </row>
    <row r="40">
      <c r="A40" s="17"/>
      <c r="B40" s="18" t="s">
        <v>108</v>
      </c>
      <c r="C40" s="17" t="str">
        <f>IFERROR(VLOOKUP(B40,'MASTER DATA'!$A$1:$E$212,2,FALSE),"")</f>
        <v>BB-100500</v>
      </c>
      <c r="D40" s="17" t="str">
        <f>IFERROR(VLOOKUP(B40,'MASTER DATA'!$A$1:$E$212,5,FALSE),"")</f>
        <v>BAHAN BAKU LUUCA</v>
      </c>
      <c r="E40" s="44">
        <v>56.0</v>
      </c>
      <c r="F40" s="17" t="str">
        <f>IFERROR(VLOOKUP(B40,'MASTER DATA'!$A$1:$E$212,4,FALSE),"")</f>
        <v>GR</v>
      </c>
      <c r="G40" s="18" t="s">
        <v>819</v>
      </c>
      <c r="H40" s="44" t="s">
        <v>522</v>
      </c>
      <c r="I40" s="18" t="s">
        <v>1041</v>
      </c>
      <c r="J40" s="17" t="b">
        <v>0</v>
      </c>
    </row>
    <row r="41">
      <c r="A41" s="17"/>
      <c r="B41" s="18" t="s">
        <v>53</v>
      </c>
      <c r="C41" s="17" t="str">
        <f>IFERROR(VLOOKUP(B41,'MASTER DATA'!$A$1:$E$212,2,FALSE),"")</f>
        <v>BB-100502</v>
      </c>
      <c r="D41" s="17" t="str">
        <f>IFERROR(VLOOKUP(B41,'MASTER DATA'!$A$1:$E$212,5,FALSE),"")</f>
        <v>BAHAN BAKU LUUCA</v>
      </c>
      <c r="E41" s="44">
        <v>88.5</v>
      </c>
      <c r="F41" s="17" t="str">
        <f>IFERROR(VLOOKUP(B41,'MASTER DATA'!$A$1:$E$212,4,FALSE),"")</f>
        <v>GR</v>
      </c>
      <c r="G41" s="18" t="s">
        <v>921</v>
      </c>
      <c r="H41" s="44" t="s">
        <v>1071</v>
      </c>
      <c r="I41" s="18" t="s">
        <v>1034</v>
      </c>
      <c r="J41" s="17" t="b">
        <v>0</v>
      </c>
    </row>
    <row r="42">
      <c r="A42" s="57">
        <v>46244.0</v>
      </c>
      <c r="B42" s="18" t="s">
        <v>34</v>
      </c>
      <c r="C42" s="17" t="str">
        <f>IFERROR(VLOOKUP(B42,'MASTER DATA'!$A$1:$E$212,2,FALSE),"")</f>
        <v>BB-100023</v>
      </c>
      <c r="D42" s="17" t="str">
        <f>IFERROR(VLOOKUP(B42,'MASTER DATA'!$A$1:$E$212,5,FALSE),"")</f>
        <v>BAHAN BAKU LUUCA</v>
      </c>
      <c r="E42" s="44">
        <v>278.4</v>
      </c>
      <c r="F42" s="17" t="str">
        <f>IFERROR(VLOOKUP(B42,'MASTER DATA'!$A$1:$E$212,4,FALSE),"")</f>
        <v>GR</v>
      </c>
      <c r="G42" s="18" t="s">
        <v>591</v>
      </c>
      <c r="H42" s="44" t="s">
        <v>1016</v>
      </c>
      <c r="I42" s="18" t="s">
        <v>1034</v>
      </c>
      <c r="J42" s="17" t="b">
        <v>0</v>
      </c>
    </row>
    <row r="43">
      <c r="A43" s="57">
        <v>46245.0</v>
      </c>
      <c r="B43" s="18" t="s">
        <v>179</v>
      </c>
      <c r="C43" s="17" t="str">
        <f>IFERROR(VLOOKUP(B43,'MASTER DATA'!$A$1:$E$212,2,FALSE),"")</f>
        <v>P006-003</v>
      </c>
      <c r="D43" s="17" t="str">
        <f>IFERROR(VLOOKUP(B43,'MASTER DATA'!$A$1:$E$212,5,FALSE),"")</f>
        <v>PRODUKSI STOK LUUCA</v>
      </c>
      <c r="E43" s="44">
        <v>1074.0</v>
      </c>
      <c r="F43" s="17" t="str">
        <f>IFERROR(VLOOKUP(B43,'MASTER DATA'!$A$1:$E$212,4,FALSE),"")</f>
        <v>GR</v>
      </c>
      <c r="G43" s="18" t="s">
        <v>1081</v>
      </c>
      <c r="H43" s="44" t="s">
        <v>522</v>
      </c>
      <c r="I43" s="18" t="s">
        <v>1041</v>
      </c>
      <c r="J43" s="17" t="b">
        <v>0</v>
      </c>
    </row>
    <row r="44">
      <c r="A44" s="17"/>
      <c r="B44" s="18" t="s">
        <v>108</v>
      </c>
      <c r="C44" s="17" t="str">
        <f>IFERROR(VLOOKUP(B44,'MASTER DATA'!$A$1:$E$212,2,FALSE),"")</f>
        <v>BB-100500</v>
      </c>
      <c r="D44" s="17" t="str">
        <f>IFERROR(VLOOKUP(B44,'MASTER DATA'!$A$1:$E$212,5,FALSE),"")</f>
        <v>BAHAN BAKU LUUCA</v>
      </c>
      <c r="E44" s="44">
        <v>91.2</v>
      </c>
      <c r="F44" s="17" t="str">
        <f>IFERROR(VLOOKUP(B44,'MASTER DATA'!$A$1:$E$212,4,FALSE),"")</f>
        <v>GR</v>
      </c>
      <c r="G44" s="18" t="s">
        <v>797</v>
      </c>
      <c r="H44" s="44" t="s">
        <v>1114</v>
      </c>
      <c r="I44" s="18" t="s">
        <v>1034</v>
      </c>
      <c r="J44" s="17" t="b">
        <v>0</v>
      </c>
    </row>
    <row r="45">
      <c r="A45" s="17"/>
      <c r="B45" s="18" t="s">
        <v>258</v>
      </c>
      <c r="C45" s="17" t="str">
        <f>IFERROR(VLOOKUP(B45,'MASTER DATA'!$A$1:$E$212,2,FALSE),"")</f>
        <v>BB-100527</v>
      </c>
      <c r="D45" s="17" t="str">
        <f>IFERROR(VLOOKUP(B45,'MASTER DATA'!$A$1:$E$212,5,FALSE),"")</f>
        <v>BAHAN BAKU LUUCA</v>
      </c>
      <c r="E45" s="44">
        <v>198.7</v>
      </c>
      <c r="F45" s="17" t="str">
        <f>IFERROR(VLOOKUP(B45,'MASTER DATA'!$A$1:$E$212,4,FALSE),"")</f>
        <v>ML</v>
      </c>
      <c r="G45" s="18" t="s">
        <v>1139</v>
      </c>
      <c r="H45" s="44" t="s">
        <v>1114</v>
      </c>
      <c r="I45" s="18" t="s">
        <v>1041</v>
      </c>
      <c r="J45" s="17" t="b">
        <v>0</v>
      </c>
    </row>
    <row r="46">
      <c r="A46" s="57">
        <v>46246.0</v>
      </c>
      <c r="B46" s="18" t="s">
        <v>53</v>
      </c>
      <c r="C46" s="17" t="str">
        <f>IFERROR(VLOOKUP(B46,'MASTER DATA'!$A$1:$E$212,2,FALSE),"")</f>
        <v>BB-100502</v>
      </c>
      <c r="D46" s="17" t="str">
        <f>IFERROR(VLOOKUP(B46,'MASTER DATA'!$A$1:$E$212,5,FALSE),"")</f>
        <v>BAHAN BAKU LUUCA</v>
      </c>
      <c r="E46" s="44">
        <v>30.7</v>
      </c>
      <c r="F46" s="17" t="str">
        <f>IFERROR(VLOOKUP(B46,'MASTER DATA'!$A$1:$E$212,4,FALSE),"")</f>
        <v>GR</v>
      </c>
      <c r="G46" s="18" t="s">
        <v>819</v>
      </c>
      <c r="H46" s="44" t="s">
        <v>1068</v>
      </c>
      <c r="I46" s="18" t="s">
        <v>1041</v>
      </c>
      <c r="J46" s="17" t="b">
        <v>0</v>
      </c>
    </row>
    <row r="47">
      <c r="A47" s="17"/>
      <c r="B47" s="18" t="s">
        <v>33</v>
      </c>
      <c r="C47" s="17" t="str">
        <f>IFERROR(VLOOKUP(B47,'MASTER DATA'!$A$1:$E$212,2,FALSE),"")</f>
        <v>BB-100022</v>
      </c>
      <c r="D47" s="17" t="str">
        <f>IFERROR(VLOOKUP(B47,'MASTER DATA'!$A$1:$E$212,5,FALSE),"")</f>
        <v>BAHAN BAKU LUUCA</v>
      </c>
      <c r="E47" s="44">
        <v>697.0</v>
      </c>
      <c r="F47" s="17" t="str">
        <f>IFERROR(VLOOKUP(B47,'MASTER DATA'!$A$1:$E$212,4,FALSE),"")</f>
        <v>GR</v>
      </c>
      <c r="G47" s="18" t="s">
        <v>591</v>
      </c>
      <c r="H47" s="44" t="s">
        <v>1071</v>
      </c>
      <c r="I47" s="18" t="s">
        <v>1034</v>
      </c>
      <c r="J47" s="17" t="b">
        <v>0</v>
      </c>
    </row>
    <row r="48">
      <c r="A48" s="17"/>
      <c r="B48" s="18" t="s">
        <v>109</v>
      </c>
      <c r="C48" s="17" t="str">
        <f>IFERROR(VLOOKUP(B48,'MASTER DATA'!$A$1:$E$212,2,FALSE),"")</f>
        <v>BB-100501</v>
      </c>
      <c r="D48" s="17" t="str">
        <f>IFERROR(VLOOKUP(B48,'MASTER DATA'!$A$1:$E$212,5,FALSE),"")</f>
        <v>BAHAN BAKU LUUCA</v>
      </c>
      <c r="E48" s="44">
        <v>8.3</v>
      </c>
      <c r="F48" s="17" t="str">
        <f>IFERROR(VLOOKUP(B48,'MASTER DATA'!$A$1:$E$212,4,FALSE),"")</f>
        <v>GR</v>
      </c>
      <c r="G48" s="18" t="s">
        <v>1120</v>
      </c>
      <c r="H48" s="44" t="s">
        <v>1114</v>
      </c>
      <c r="I48" s="18" t="s">
        <v>1034</v>
      </c>
      <c r="J48" s="17" t="b">
        <v>0</v>
      </c>
    </row>
    <row r="49">
      <c r="A49" s="17"/>
      <c r="B49" s="18" t="s">
        <v>108</v>
      </c>
      <c r="C49" s="17" t="str">
        <f>IFERROR(VLOOKUP(B49,'MASTER DATA'!$A$1:$E$212,2,FALSE),"")</f>
        <v>BB-100500</v>
      </c>
      <c r="D49" s="17" t="str">
        <f>IFERROR(VLOOKUP(B49,'MASTER DATA'!$A$1:$E$212,5,FALSE),"")</f>
        <v>BAHAN BAKU LUUCA</v>
      </c>
      <c r="E49" s="44">
        <v>41.2</v>
      </c>
      <c r="F49" s="17" t="str">
        <f>IFERROR(VLOOKUP(B49,'MASTER DATA'!$A$1:$E$212,4,FALSE),"")</f>
        <v>GR</v>
      </c>
      <c r="G49" s="18" t="s">
        <v>819</v>
      </c>
      <c r="H49" s="44" t="s">
        <v>1114</v>
      </c>
      <c r="I49" s="18" t="s">
        <v>1041</v>
      </c>
      <c r="J49" s="17" t="b">
        <v>0</v>
      </c>
    </row>
    <row r="50">
      <c r="A50" s="17"/>
      <c r="B50" s="18" t="s">
        <v>80</v>
      </c>
      <c r="C50" s="17" t="str">
        <f>IFERROR(VLOOKUP(B50,'MASTER DATA'!$A$1:$E$212,2,FALSE),"")</f>
        <v>BB-100253</v>
      </c>
      <c r="D50" s="17" t="str">
        <f>IFERROR(VLOOKUP(B50,'MASTER DATA'!$A$1:$E$212,5,FALSE),"")</f>
        <v>BAHAN BAKU LUUCA</v>
      </c>
      <c r="E50" s="44">
        <v>2.0</v>
      </c>
      <c r="F50" s="17" t="str">
        <f>IFERROR(VLOOKUP(B50,'MASTER DATA'!$A$1:$E$212,4,FALSE),"")</f>
        <v>PCS</v>
      </c>
      <c r="G50" s="18" t="s">
        <v>1110</v>
      </c>
      <c r="H50" s="44" t="s">
        <v>1114</v>
      </c>
      <c r="I50" s="18" t="s">
        <v>1041</v>
      </c>
      <c r="J50" s="17" t="b">
        <v>0</v>
      </c>
    </row>
    <row r="51">
      <c r="A51" s="57">
        <v>46247.0</v>
      </c>
      <c r="B51" s="18" t="s">
        <v>53</v>
      </c>
      <c r="C51" s="17" t="str">
        <f>IFERROR(VLOOKUP(B51,'MASTER DATA'!$A$1:$E$212,2,FALSE),"")</f>
        <v>BB-100502</v>
      </c>
      <c r="D51" s="17" t="str">
        <f>IFERROR(VLOOKUP(B51,'MASTER DATA'!$A$1:$E$212,5,FALSE),"")</f>
        <v>BAHAN BAKU LUUCA</v>
      </c>
      <c r="E51" s="44">
        <v>63.6</v>
      </c>
      <c r="F51" s="17" t="str">
        <f>IFERROR(VLOOKUP(B51,'MASTER DATA'!$A$1:$E$212,4,FALSE),"")</f>
        <v>GR</v>
      </c>
      <c r="G51" s="18" t="s">
        <v>921</v>
      </c>
      <c r="H51" s="44" t="s">
        <v>1071</v>
      </c>
      <c r="I51" s="18" t="s">
        <v>1034</v>
      </c>
      <c r="J51" s="17" t="b">
        <v>0</v>
      </c>
    </row>
    <row r="52">
      <c r="A52" s="17"/>
      <c r="B52" s="18" t="s">
        <v>108</v>
      </c>
      <c r="C52" s="17" t="str">
        <f>IFERROR(VLOOKUP(B52,'MASTER DATA'!$A$1:$E$212,2,FALSE),"")</f>
        <v>BB-100500</v>
      </c>
      <c r="D52" s="17" t="str">
        <f>IFERROR(VLOOKUP(B52,'MASTER DATA'!$A$1:$E$212,5,FALSE),"")</f>
        <v>BAHAN BAKU LUUCA</v>
      </c>
      <c r="E52" s="44">
        <v>24.6</v>
      </c>
      <c r="F52" s="17" t="str">
        <f>IFERROR(VLOOKUP(B52,'MASTER DATA'!$A$1:$E$212,4,FALSE),"")</f>
        <v>GR</v>
      </c>
      <c r="G52" s="18" t="s">
        <v>797</v>
      </c>
      <c r="H52" s="44" t="s">
        <v>1071</v>
      </c>
      <c r="I52" s="18" t="s">
        <v>1034</v>
      </c>
      <c r="J52" s="17" t="b">
        <v>0</v>
      </c>
    </row>
    <row r="53">
      <c r="A53" s="17"/>
      <c r="B53" s="18" t="s">
        <v>33</v>
      </c>
      <c r="C53" s="17" t="str">
        <f>IFERROR(VLOOKUP(B53,'MASTER DATA'!$A$1:$E$212,2,FALSE),"")</f>
        <v>BB-100022</v>
      </c>
      <c r="D53" s="17" t="str">
        <f>IFERROR(VLOOKUP(B53,'MASTER DATA'!$A$1:$E$212,5,FALSE),"")</f>
        <v>BAHAN BAKU LUUCA</v>
      </c>
      <c r="E53" s="44">
        <v>244.4</v>
      </c>
      <c r="F53" s="17" t="str">
        <f>IFERROR(VLOOKUP(B53,'MASTER DATA'!$A$1:$E$212,4,FALSE),"")</f>
        <v>GR</v>
      </c>
      <c r="G53" s="18" t="s">
        <v>703</v>
      </c>
      <c r="H53" s="44" t="s">
        <v>1114</v>
      </c>
      <c r="I53" s="18" t="s">
        <v>1034</v>
      </c>
      <c r="J53" s="17" t="b">
        <v>0</v>
      </c>
    </row>
    <row r="54">
      <c r="A54" s="17"/>
      <c r="B54" s="18" t="s">
        <v>512</v>
      </c>
      <c r="C54" s="17" t="str">
        <f>IFERROR(VLOOKUP(B54,'MASTER DATA'!$A$1:$E$212,2,FALSE),"")</f>
        <v>P006-010</v>
      </c>
      <c r="D54" s="17" t="str">
        <f>IFERROR(VLOOKUP(B54,'MASTER DATA'!$A$1:$E$212,5,FALSE),"")</f>
        <v>PRODUKSI STOK LUUCA</v>
      </c>
      <c r="E54" s="44">
        <v>50.0</v>
      </c>
      <c r="F54" s="17" t="str">
        <f>IFERROR(VLOOKUP(B54,'MASTER DATA'!$A$1:$E$212,4,FALSE),"")</f>
        <v>GR</v>
      </c>
      <c r="G54" s="18" t="s">
        <v>1127</v>
      </c>
      <c r="H54" s="44" t="s">
        <v>1141</v>
      </c>
      <c r="I54" s="18" t="s">
        <v>293</v>
      </c>
      <c r="J54" s="17" t="b">
        <v>0</v>
      </c>
    </row>
    <row r="55">
      <c r="A55" s="17"/>
      <c r="B55" s="18" t="s">
        <v>258</v>
      </c>
      <c r="C55" s="17" t="str">
        <f>IFERROR(VLOOKUP(B55,'MASTER DATA'!$A$1:$E$212,2,FALSE),"")</f>
        <v>BB-100527</v>
      </c>
      <c r="D55" s="17" t="str">
        <f>IFERROR(VLOOKUP(B55,'MASTER DATA'!$A$1:$E$212,5,FALSE),"")</f>
        <v>BAHAN BAKU LUUCA</v>
      </c>
      <c r="E55" s="44">
        <v>130.0</v>
      </c>
      <c r="F55" s="17" t="str">
        <f>IFERROR(VLOOKUP(B55,'MASTER DATA'!$A$1:$E$212,4,FALSE),"")</f>
        <v>ML</v>
      </c>
      <c r="G55" s="18" t="s">
        <v>1127</v>
      </c>
      <c r="H55" s="18" t="s">
        <v>1141</v>
      </c>
      <c r="I55" s="18" t="s">
        <v>293</v>
      </c>
      <c r="J55" s="17" t="b">
        <v>0</v>
      </c>
    </row>
    <row r="56">
      <c r="A56" s="17"/>
      <c r="B56" s="18" t="s">
        <v>102</v>
      </c>
      <c r="C56" s="17" t="str">
        <f>IFERROR(VLOOKUP(B56,'MASTER DATA'!$A$1:$E$212,2,FALSE),"")</f>
        <v>BB-100342</v>
      </c>
      <c r="D56" s="17" t="str">
        <f>IFERROR(VLOOKUP(B56,'MASTER DATA'!$A$1:$E$212,5,FALSE),"")</f>
        <v>BAHAN BAKU LUUCA</v>
      </c>
      <c r="E56" s="44">
        <v>1.0</v>
      </c>
      <c r="F56" s="17" t="str">
        <f>IFERROR(VLOOKUP(B56,'MASTER DATA'!$A$1:$E$212,4,FALSE),"")</f>
        <v>PCS</v>
      </c>
      <c r="G56" s="18" t="s">
        <v>1127</v>
      </c>
      <c r="H56" s="18" t="s">
        <v>1141</v>
      </c>
      <c r="I56" s="18" t="s">
        <v>293</v>
      </c>
      <c r="J56" s="17" t="b">
        <v>0</v>
      </c>
    </row>
    <row r="57">
      <c r="A57" s="17"/>
      <c r="B57" s="18" t="s">
        <v>182</v>
      </c>
      <c r="C57" s="17" t="str">
        <f>IFERROR(VLOOKUP(B57,'MASTER DATA'!$A$1:$E$212,2,FALSE),"")</f>
        <v>P006-005</v>
      </c>
      <c r="D57" s="17" t="str">
        <f>IFERROR(VLOOKUP(B57,'MASTER DATA'!$A$1:$E$212,5,FALSE),"")</f>
        <v>PRODUKSI STOK LUUCA</v>
      </c>
      <c r="E57" s="44">
        <v>20.0</v>
      </c>
      <c r="F57" s="17" t="str">
        <f>IFERROR(VLOOKUP(B57,'MASTER DATA'!$A$1:$E$212,4,FALSE),"")</f>
        <v>GR</v>
      </c>
      <c r="G57" s="18" t="s">
        <v>1127</v>
      </c>
      <c r="H57" s="18" t="s">
        <v>522</v>
      </c>
      <c r="I57" s="18" t="s">
        <v>293</v>
      </c>
      <c r="J57" s="17" t="b">
        <v>0</v>
      </c>
    </row>
    <row r="58">
      <c r="A58" s="17"/>
      <c r="B58" s="18" t="s">
        <v>106</v>
      </c>
      <c r="C58" s="17" t="str">
        <f>IFERROR(VLOOKUP(B58,'MASTER DATA'!$A$1:$E$212,2,FALSE),"")</f>
        <v>BB-100389</v>
      </c>
      <c r="D58" s="17" t="str">
        <f>IFERROR(VLOOKUP(B58,'MASTER DATA'!$A$1:$E$212,5,FALSE),"")</f>
        <v>BAHAN BAKU LUUCA</v>
      </c>
      <c r="E58" s="44">
        <v>2.0</v>
      </c>
      <c r="F58" s="17" t="str">
        <f>IFERROR(VLOOKUP(B58,'MASTER DATA'!$A$1:$E$212,4,FALSE),"")</f>
        <v>GR</v>
      </c>
      <c r="G58" s="18" t="s">
        <v>1127</v>
      </c>
      <c r="H58" s="18" t="s">
        <v>522</v>
      </c>
      <c r="I58" s="18" t="s">
        <v>293</v>
      </c>
      <c r="J58" s="17" t="b">
        <v>0</v>
      </c>
    </row>
    <row r="59">
      <c r="A59" s="17"/>
      <c r="B59" s="18" t="s">
        <v>108</v>
      </c>
      <c r="C59" s="17" t="str">
        <f>IFERROR(VLOOKUP(B59,'MASTER DATA'!$A$1:$E$212,2,FALSE),"")</f>
        <v>BB-100500</v>
      </c>
      <c r="D59" s="17" t="str">
        <f>IFERROR(VLOOKUP(B59,'MASTER DATA'!$A$1:$E$212,5,FALSE),"")</f>
        <v>BAHAN BAKU LUUCA</v>
      </c>
      <c r="E59" s="44">
        <v>26.5</v>
      </c>
      <c r="F59" s="17" t="str">
        <f>IFERROR(VLOOKUP(B59,'MASTER DATA'!$A$1:$E$212,4,FALSE),"")</f>
        <v>GR</v>
      </c>
      <c r="G59" s="18" t="s">
        <v>792</v>
      </c>
      <c r="H59" s="18" t="s">
        <v>522</v>
      </c>
      <c r="I59" s="18" t="s">
        <v>1034</v>
      </c>
      <c r="J59" s="17" t="b">
        <v>0</v>
      </c>
    </row>
    <row r="60">
      <c r="A60" s="17"/>
      <c r="B60" s="18" t="s">
        <v>1144</v>
      </c>
      <c r="C60" s="17"/>
      <c r="D60" s="17"/>
      <c r="E60" s="44">
        <v>2.0</v>
      </c>
      <c r="F60" s="18" t="s">
        <v>1145</v>
      </c>
      <c r="G60" s="18" t="s">
        <v>1127</v>
      </c>
      <c r="H60" s="18" t="s">
        <v>522</v>
      </c>
      <c r="I60" s="18" t="s">
        <v>293</v>
      </c>
      <c r="J60" s="17" t="b">
        <v>0</v>
      </c>
    </row>
    <row r="61">
      <c r="A61" s="17"/>
      <c r="B61" s="18" t="s">
        <v>108</v>
      </c>
      <c r="C61" s="17" t="str">
        <f>IFERROR(VLOOKUP(B61,'MASTER DATA'!$A$1:$E$212,2,FALSE),"")</f>
        <v>BB-100500</v>
      </c>
      <c r="D61" s="17" t="str">
        <f>IFERROR(VLOOKUP(B61,'MASTER DATA'!$A$1:$E$212,5,FALSE),"")</f>
        <v>BAHAN BAKU LUUCA</v>
      </c>
      <c r="E61" s="18">
        <v>113.3</v>
      </c>
      <c r="F61" s="17" t="str">
        <f>IFERROR(VLOOKUP(B61,'MASTER DATA'!$A$1:$E$212,4,FALSE),"")</f>
        <v>GR</v>
      </c>
      <c r="G61" s="18" t="s">
        <v>819</v>
      </c>
      <c r="H61" s="18" t="s">
        <v>1141</v>
      </c>
      <c r="I61" s="18" t="s">
        <v>1041</v>
      </c>
      <c r="J61" s="17" t="b">
        <v>0</v>
      </c>
    </row>
    <row r="62">
      <c r="A62" s="17"/>
      <c r="B62" s="18" t="s">
        <v>108</v>
      </c>
      <c r="C62" s="17" t="str">
        <f>IFERROR(VLOOKUP(B62,'MASTER DATA'!$A$1:$E$212,2,FALSE),"")</f>
        <v>BB-100500</v>
      </c>
      <c r="D62" s="17" t="str">
        <f>IFERROR(VLOOKUP(B62,'MASTER DATA'!$A$1:$E$212,5,FALSE),"")</f>
        <v>BAHAN BAKU LUUCA</v>
      </c>
      <c r="E62" s="18">
        <v>7.5</v>
      </c>
      <c r="F62" s="17" t="str">
        <f>IFERROR(VLOOKUP(B62,'MASTER DATA'!$A$1:$E$212,4,FALSE),"")</f>
        <v>GR</v>
      </c>
      <c r="G62" s="18" t="s">
        <v>819</v>
      </c>
      <c r="H62" s="18" t="s">
        <v>1079</v>
      </c>
      <c r="I62" s="18" t="s">
        <v>1041</v>
      </c>
      <c r="J62" s="17" t="b">
        <v>0</v>
      </c>
    </row>
    <row r="63">
      <c r="A63" s="57">
        <v>46248.0</v>
      </c>
      <c r="B63" s="18" t="s">
        <v>34</v>
      </c>
      <c r="C63" s="17" t="str">
        <f>IFERROR(VLOOKUP(B63,'MASTER DATA'!$A$1:$E$212,2,FALSE),"")</f>
        <v>BB-100023</v>
      </c>
      <c r="D63" s="17" t="str">
        <f>IFERROR(VLOOKUP(B63,'MASTER DATA'!$A$1:$E$212,5,FALSE),"")</f>
        <v>BAHAN BAKU LUUCA</v>
      </c>
      <c r="E63" s="18">
        <v>529.5</v>
      </c>
      <c r="F63" s="17" t="str">
        <f>IFERROR(VLOOKUP(B63,'MASTER DATA'!$A$1:$E$212,4,FALSE),"")</f>
        <v>GR</v>
      </c>
      <c r="G63" s="18" t="s">
        <v>591</v>
      </c>
      <c r="H63" s="18" t="s">
        <v>888</v>
      </c>
      <c r="I63" s="18" t="s">
        <v>1034</v>
      </c>
      <c r="J63" s="17" t="b">
        <v>0</v>
      </c>
    </row>
    <row r="64">
      <c r="A64" s="17"/>
      <c r="B64" s="18" t="s">
        <v>108</v>
      </c>
      <c r="C64" s="17" t="str">
        <f>IFERROR(VLOOKUP(B64,'MASTER DATA'!$A$1:$E$212,2,FALSE),"")</f>
        <v>BB-100500</v>
      </c>
      <c r="D64" s="17" t="str">
        <f>IFERROR(VLOOKUP(B64,'MASTER DATA'!$A$1:$E$212,5,FALSE),"")</f>
        <v>BAHAN BAKU LUUCA</v>
      </c>
      <c r="E64" s="18">
        <v>9.0</v>
      </c>
      <c r="F64" s="17" t="str">
        <f>IFERROR(VLOOKUP(B64,'MASTER DATA'!$A$1:$E$212,4,FALSE),"")</f>
        <v>GR</v>
      </c>
      <c r="G64" s="18" t="s">
        <v>797</v>
      </c>
      <c r="H64" s="18" t="s">
        <v>888</v>
      </c>
      <c r="I64" s="18" t="s">
        <v>1034</v>
      </c>
      <c r="J64" s="17" t="b">
        <v>0</v>
      </c>
    </row>
    <row r="65">
      <c r="A65" s="17"/>
      <c r="B65" s="18" t="s">
        <v>108</v>
      </c>
      <c r="C65" s="17" t="str">
        <f>IFERROR(VLOOKUP(B65,'MASTER DATA'!$A$1:$E$212,2,FALSE),"")</f>
        <v>BB-100500</v>
      </c>
      <c r="D65" s="17" t="str">
        <f>IFERROR(VLOOKUP(B65,'MASTER DATA'!$A$1:$E$212,5,FALSE),"")</f>
        <v>BAHAN BAKU LUUCA</v>
      </c>
      <c r="E65" s="18">
        <v>34.8</v>
      </c>
      <c r="F65" s="17" t="str">
        <f>IFERROR(VLOOKUP(B65,'MASTER DATA'!$A$1:$E$212,4,FALSE),"")</f>
        <v>GR</v>
      </c>
      <c r="G65" s="18" t="s">
        <v>797</v>
      </c>
      <c r="H65" s="18" t="s">
        <v>1079</v>
      </c>
      <c r="I65" s="18" t="s">
        <v>1034</v>
      </c>
      <c r="J65" s="17" t="b">
        <v>0</v>
      </c>
    </row>
    <row r="66">
      <c r="A66" s="17"/>
      <c r="B66" s="18" t="s">
        <v>111</v>
      </c>
      <c r="C66" s="17" t="str">
        <f>IFERROR(VLOOKUP(B66,'MASTER DATA'!$A$1:$E$212,2,FALSE),"")</f>
        <v>BB-100503</v>
      </c>
      <c r="D66" s="17" t="str">
        <f>IFERROR(VLOOKUP(B66,'MASTER DATA'!$A$1:$E$212,5,FALSE),"")</f>
        <v>BAHAN BAKU LUUCA</v>
      </c>
      <c r="E66" s="18">
        <v>8.2</v>
      </c>
      <c r="F66" s="17" t="str">
        <f>IFERROR(VLOOKUP(B66,'MASTER DATA'!$A$1:$E$212,4,FALSE),"")</f>
        <v>GR</v>
      </c>
      <c r="G66" s="18" t="s">
        <v>1146</v>
      </c>
      <c r="H66" s="18" t="s">
        <v>1079</v>
      </c>
      <c r="I66" s="18" t="s">
        <v>1034</v>
      </c>
      <c r="J66" s="17" t="b">
        <v>0</v>
      </c>
    </row>
    <row r="67">
      <c r="A67" s="18" t="s">
        <v>1147</v>
      </c>
      <c r="B67" s="18" t="s">
        <v>108</v>
      </c>
      <c r="C67" s="17" t="str">
        <f>IFERROR(VLOOKUP(B67,'MASTER DATA'!$A$1:$E$212,2,FALSE),"")</f>
        <v>BB-100500</v>
      </c>
      <c r="D67" s="17" t="str">
        <f>IFERROR(VLOOKUP(B67,'MASTER DATA'!$A$1:$E$212,5,FALSE),"")</f>
        <v>BAHAN BAKU LUUCA</v>
      </c>
      <c r="E67" s="18">
        <v>42.9</v>
      </c>
      <c r="F67" s="17" t="str">
        <f>IFERROR(VLOOKUP(B67,'MASTER DATA'!$A$1:$E$212,4,FALSE),"")</f>
        <v>GR</v>
      </c>
      <c r="G67" s="18" t="s">
        <v>797</v>
      </c>
      <c r="H67" s="18" t="s">
        <v>1071</v>
      </c>
      <c r="I67" s="18" t="s">
        <v>1034</v>
      </c>
      <c r="J67" s="17" t="b">
        <v>0</v>
      </c>
    </row>
    <row r="68">
      <c r="A68" s="17"/>
      <c r="B68" s="18" t="s">
        <v>53</v>
      </c>
      <c r="C68" s="17" t="str">
        <f>IFERROR(VLOOKUP(B68,'MASTER DATA'!$A$1:$E$212,2,FALSE),"")</f>
        <v>BB-100502</v>
      </c>
      <c r="D68" s="17" t="str">
        <f>IFERROR(VLOOKUP(B68,'MASTER DATA'!$A$1:$E$212,5,FALSE),"")</f>
        <v>BAHAN BAKU LUUCA</v>
      </c>
      <c r="E68" s="18">
        <v>29.8</v>
      </c>
      <c r="F68" s="17" t="str">
        <f>IFERROR(VLOOKUP(B68,'MASTER DATA'!$A$1:$E$212,4,FALSE),"")</f>
        <v>GR</v>
      </c>
      <c r="G68" s="18" t="s">
        <v>819</v>
      </c>
      <c r="H68" s="18" t="s">
        <v>1141</v>
      </c>
      <c r="I68" s="18" t="s">
        <v>1041</v>
      </c>
      <c r="J68" s="17" t="b">
        <v>0</v>
      </c>
    </row>
    <row r="69">
      <c r="A69" s="17"/>
      <c r="B69" s="18" t="s">
        <v>108</v>
      </c>
      <c r="C69" s="17" t="str">
        <f>IFERROR(VLOOKUP(B69,'MASTER DATA'!$A$1:$E$212,2,FALSE),"")</f>
        <v>BB-100500</v>
      </c>
      <c r="D69" s="17" t="str">
        <f>IFERROR(VLOOKUP(B69,'MASTER DATA'!$A$1:$E$212,5,FALSE),"")</f>
        <v>BAHAN BAKU LUUCA</v>
      </c>
      <c r="E69" s="18">
        <v>46.0</v>
      </c>
      <c r="F69" s="17" t="str">
        <f>IFERROR(VLOOKUP(B69,'MASTER DATA'!$A$1:$E$212,4,FALSE),"")</f>
        <v>GR</v>
      </c>
      <c r="G69" s="18" t="s">
        <v>1149</v>
      </c>
      <c r="H69" s="18" t="s">
        <v>1079</v>
      </c>
      <c r="I69" s="18" t="s">
        <v>1041</v>
      </c>
      <c r="J69" s="17" t="b">
        <v>0</v>
      </c>
    </row>
    <row r="70">
      <c r="A70" s="17"/>
      <c r="B70" s="18" t="s">
        <v>53</v>
      </c>
      <c r="C70" s="17" t="str">
        <f>IFERROR(VLOOKUP(B70,'MASTER DATA'!$A$1:$E$212,2,FALSE),"")</f>
        <v>BB-100502</v>
      </c>
      <c r="D70" s="17" t="str">
        <f>IFERROR(VLOOKUP(B70,'MASTER DATA'!$A$1:$E$212,5,FALSE),"")</f>
        <v>BAHAN BAKU LUUCA</v>
      </c>
      <c r="E70" s="18">
        <v>47.6</v>
      </c>
      <c r="F70" s="17" t="str">
        <f>IFERROR(VLOOKUP(B70,'MASTER DATA'!$A$1:$E$212,4,FALSE),"")</f>
        <v>GR</v>
      </c>
      <c r="G70" s="18" t="s">
        <v>921</v>
      </c>
      <c r="H70" s="18" t="s">
        <v>1141</v>
      </c>
      <c r="I70" s="18" t="s">
        <v>1034</v>
      </c>
      <c r="J70" s="17" t="b">
        <v>0</v>
      </c>
    </row>
    <row r="71">
      <c r="A71" s="17"/>
      <c r="B71" s="18" t="s">
        <v>108</v>
      </c>
      <c r="C71" s="17" t="str">
        <f>IFERROR(VLOOKUP(B71,'MASTER DATA'!$A$1:$E$212,2,FALSE),"")</f>
        <v>BB-100500</v>
      </c>
      <c r="D71" s="17" t="str">
        <f>IFERROR(VLOOKUP(B71,'MASTER DATA'!$A$1:$E$212,5,FALSE),"")</f>
        <v>BAHAN BAKU LUUCA</v>
      </c>
      <c r="E71" s="18">
        <v>18.3</v>
      </c>
      <c r="F71" s="17" t="str">
        <f>IFERROR(VLOOKUP(B71,'MASTER DATA'!$A$1:$E$212,4,FALSE),"")</f>
        <v>GR</v>
      </c>
      <c r="G71" s="18" t="s">
        <v>797</v>
      </c>
      <c r="H71" s="18" t="s">
        <v>888</v>
      </c>
      <c r="I71" s="18" t="s">
        <v>1034</v>
      </c>
      <c r="J71" s="17" t="b">
        <v>0</v>
      </c>
    </row>
    <row r="72">
      <c r="A72" s="17"/>
      <c r="B72" s="18" t="s">
        <v>53</v>
      </c>
      <c r="C72" s="17" t="str">
        <f>IFERROR(VLOOKUP(B72,'MASTER DATA'!$A$1:$E$212,2,FALSE),"")</f>
        <v>BB-100502</v>
      </c>
      <c r="D72" s="17" t="str">
        <f>IFERROR(VLOOKUP(B72,'MASTER DATA'!$A$1:$E$212,5,FALSE),"")</f>
        <v>BAHAN BAKU LUUCA</v>
      </c>
      <c r="E72" s="18">
        <v>16.3</v>
      </c>
      <c r="F72" s="17" t="str">
        <f>IFERROR(VLOOKUP(B72,'MASTER DATA'!$A$1:$E$212,4,FALSE),"")</f>
        <v>GR</v>
      </c>
      <c r="G72" s="18" t="s">
        <v>921</v>
      </c>
      <c r="H72" s="18" t="s">
        <v>888</v>
      </c>
      <c r="I72" s="18" t="s">
        <v>1034</v>
      </c>
      <c r="J72" s="17" t="b">
        <v>0</v>
      </c>
    </row>
    <row r="73">
      <c r="A73" s="17"/>
      <c r="B73" s="18" t="s">
        <v>108</v>
      </c>
      <c r="C73" s="17" t="str">
        <f>IFERROR(VLOOKUP(B73,'MASTER DATA'!$A$1:$E$212,2,FALSE),"")</f>
        <v>BB-100500</v>
      </c>
      <c r="D73" s="17" t="str">
        <f>IFERROR(VLOOKUP(B73,'MASTER DATA'!$A$1:$E$212,5,FALSE),"")</f>
        <v>BAHAN BAKU LUUCA</v>
      </c>
      <c r="E73" s="18">
        <v>11.4</v>
      </c>
      <c r="F73" s="17" t="str">
        <f>IFERROR(VLOOKUP(B73,'MASTER DATA'!$A$1:$E$212,4,FALSE),"")</f>
        <v>GR</v>
      </c>
      <c r="G73" s="18" t="s">
        <v>797</v>
      </c>
      <c r="H73" s="18" t="s">
        <v>1141</v>
      </c>
      <c r="I73" s="18" t="s">
        <v>1034</v>
      </c>
      <c r="J73" s="17" t="b">
        <v>0</v>
      </c>
    </row>
    <row r="74">
      <c r="A74" s="17"/>
      <c r="B74" s="18" t="s">
        <v>109</v>
      </c>
      <c r="C74" s="17" t="str">
        <f>IFERROR(VLOOKUP(B74,'MASTER DATA'!$A$1:$E$212,2,FALSE),"")</f>
        <v>BB-100501</v>
      </c>
      <c r="D74" s="17" t="str">
        <f>IFERROR(VLOOKUP(B74,'MASTER DATA'!$A$1:$E$212,5,FALSE),"")</f>
        <v>BAHAN BAKU LUUCA</v>
      </c>
      <c r="E74" s="18">
        <v>75.1</v>
      </c>
      <c r="F74" s="17" t="str">
        <f>IFERROR(VLOOKUP(B74,'MASTER DATA'!$A$1:$E$212,4,FALSE),"")</f>
        <v>GR</v>
      </c>
      <c r="G74" s="18" t="s">
        <v>819</v>
      </c>
      <c r="H74" s="18" t="s">
        <v>1079</v>
      </c>
      <c r="I74" s="18" t="s">
        <v>1041</v>
      </c>
      <c r="J74" s="17" t="b">
        <v>0</v>
      </c>
    </row>
    <row r="75">
      <c r="A75" s="17"/>
      <c r="B75" s="18" t="s">
        <v>108</v>
      </c>
      <c r="C75" s="17" t="str">
        <f>IFERROR(VLOOKUP(B75,'MASTER DATA'!$A$1:$E$212,2,FALSE),"")</f>
        <v>BB-100500</v>
      </c>
      <c r="D75" s="17" t="str">
        <f>IFERROR(VLOOKUP(B75,'MASTER DATA'!$A$1:$E$212,5,FALSE),"")</f>
        <v>BAHAN BAKU LUUCA</v>
      </c>
      <c r="E75" s="18">
        <v>71.7</v>
      </c>
      <c r="F75" s="17" t="str">
        <f>IFERROR(VLOOKUP(B75,'MASTER DATA'!$A$1:$E$212,4,FALSE),"")</f>
        <v>GR</v>
      </c>
      <c r="G75" s="18" t="s">
        <v>797</v>
      </c>
      <c r="H75" s="18" t="s">
        <v>1079</v>
      </c>
      <c r="I75" s="18" t="s">
        <v>1034</v>
      </c>
      <c r="J75" s="17" t="b">
        <v>0</v>
      </c>
    </row>
    <row r="76">
      <c r="A76" s="17"/>
      <c r="B76" s="18" t="s">
        <v>108</v>
      </c>
      <c r="C76" s="17" t="str">
        <f>IFERROR(VLOOKUP(B76,'MASTER DATA'!$A$1:$E$212,2,FALSE),"")</f>
        <v>BB-100500</v>
      </c>
      <c r="D76" s="17" t="str">
        <f>IFERROR(VLOOKUP(B76,'MASTER DATA'!$A$1:$E$212,5,FALSE),"")</f>
        <v>BAHAN BAKU LUUCA</v>
      </c>
      <c r="E76" s="18">
        <v>22.7</v>
      </c>
      <c r="F76" s="17" t="str">
        <f>IFERROR(VLOOKUP(B76,'MASTER DATA'!$A$1:$E$212,4,FALSE),"")</f>
        <v>GR</v>
      </c>
      <c r="G76" s="18" t="s">
        <v>819</v>
      </c>
      <c r="H76" s="18" t="s">
        <v>1079</v>
      </c>
      <c r="I76" s="18" t="s">
        <v>1041</v>
      </c>
      <c r="J76" s="17" t="b">
        <v>0</v>
      </c>
    </row>
    <row r="77">
      <c r="A77" s="17"/>
      <c r="B77" s="18" t="s">
        <v>53</v>
      </c>
      <c r="C77" s="17" t="str">
        <f>IFERROR(VLOOKUP(B77,'MASTER DATA'!$A$1:$E$212,2,FALSE),"")</f>
        <v>BB-100502</v>
      </c>
      <c r="D77" s="17" t="str">
        <f>IFERROR(VLOOKUP(B77,'MASTER DATA'!$A$1:$E$212,5,FALSE),"")</f>
        <v>BAHAN BAKU LUUCA</v>
      </c>
      <c r="E77" s="18">
        <v>69.6</v>
      </c>
      <c r="F77" s="17" t="str">
        <f>IFERROR(VLOOKUP(B77,'MASTER DATA'!$A$1:$E$212,4,FALSE),"")</f>
        <v>GR</v>
      </c>
      <c r="G77" s="18" t="s">
        <v>921</v>
      </c>
      <c r="H77" s="18" t="s">
        <v>1079</v>
      </c>
      <c r="I77" s="18" t="s">
        <v>1034</v>
      </c>
      <c r="J77" s="17" t="b">
        <v>0</v>
      </c>
    </row>
    <row r="78">
      <c r="A78" s="17"/>
      <c r="B78" s="18" t="s">
        <v>34</v>
      </c>
      <c r="C78" s="17" t="str">
        <f>IFERROR(VLOOKUP(B78,'MASTER DATA'!$A$1:$E$212,2,FALSE),"")</f>
        <v>BB-100023</v>
      </c>
      <c r="D78" s="17" t="str">
        <f>IFERROR(VLOOKUP(B78,'MASTER DATA'!$A$1:$E$212,5,FALSE),"")</f>
        <v>BAHAN BAKU LUUCA</v>
      </c>
      <c r="E78" s="18">
        <v>513.5</v>
      </c>
      <c r="F78" s="17" t="str">
        <f>IFERROR(VLOOKUP(B78,'MASTER DATA'!$A$1:$E$212,4,FALSE),"")</f>
        <v>GR</v>
      </c>
      <c r="G78" s="18" t="s">
        <v>591</v>
      </c>
      <c r="H78" s="18" t="s">
        <v>1016</v>
      </c>
      <c r="I78" s="18" t="s">
        <v>1034</v>
      </c>
      <c r="J78" s="17" t="b">
        <v>0</v>
      </c>
    </row>
    <row r="79">
      <c r="A79" s="17"/>
      <c r="B79" s="18" t="s">
        <v>108</v>
      </c>
      <c r="C79" s="17" t="str">
        <f>IFERROR(VLOOKUP(B79,'MASTER DATA'!$A$1:$E$212,2,FALSE),"")</f>
        <v>BB-100500</v>
      </c>
      <c r="D79" s="17" t="str">
        <f>IFERROR(VLOOKUP(B79,'MASTER DATA'!$A$1:$E$212,5,FALSE),"")</f>
        <v>BAHAN BAKU LUUCA</v>
      </c>
      <c r="E79" s="18">
        <v>20.7</v>
      </c>
      <c r="F79" s="17" t="str">
        <f>IFERROR(VLOOKUP(B79,'MASTER DATA'!$A$1:$E$212,4,FALSE),"")</f>
        <v>GR</v>
      </c>
      <c r="G79" s="18" t="s">
        <v>819</v>
      </c>
      <c r="H79" s="18" t="s">
        <v>1079</v>
      </c>
      <c r="I79" s="18" t="s">
        <v>1041</v>
      </c>
      <c r="J79" s="17" t="b">
        <v>0</v>
      </c>
    </row>
    <row r="80">
      <c r="A80" s="17"/>
      <c r="B80" s="18" t="s">
        <v>108</v>
      </c>
      <c r="C80" s="17" t="str">
        <f>IFERROR(VLOOKUP(B80,'MASTER DATA'!$A$1:$E$212,2,FALSE),"")</f>
        <v>BB-100500</v>
      </c>
      <c r="D80" s="17" t="str">
        <f>IFERROR(VLOOKUP(B80,'MASTER DATA'!$A$1:$E$212,5,FALSE),"")</f>
        <v>BAHAN BAKU LUUCA</v>
      </c>
      <c r="E80" s="18">
        <v>56.4</v>
      </c>
      <c r="F80" s="17" t="str">
        <f>IFERROR(VLOOKUP(B80,'MASTER DATA'!$A$1:$E$212,4,FALSE),"")</f>
        <v>GR</v>
      </c>
      <c r="G80" s="18" t="s">
        <v>797</v>
      </c>
      <c r="H80" s="18" t="s">
        <v>1079</v>
      </c>
      <c r="I80" s="18" t="s">
        <v>1034</v>
      </c>
      <c r="J80" s="17" t="b">
        <v>0</v>
      </c>
    </row>
    <row r="81">
      <c r="A81" s="17"/>
      <c r="B81" s="18" t="s">
        <v>36</v>
      </c>
      <c r="C81" s="17" t="str">
        <f>IFERROR(VLOOKUP(B81,'MASTER DATA'!$A$1:$E$212,2,FALSE),"")</f>
        <v>BB-100024</v>
      </c>
      <c r="D81" s="17" t="str">
        <f>IFERROR(VLOOKUP(B81,'MASTER DATA'!$A$1:$E$212,5,FALSE),"")</f>
        <v>PRODUKSI STOK LUUCA</v>
      </c>
      <c r="E81" s="18">
        <v>1.0</v>
      </c>
      <c r="F81" s="17" t="str">
        <f>IFERROR(VLOOKUP(B81,'MASTER DATA'!$A$1:$E$212,4,FALSE),"")</f>
        <v>PCS</v>
      </c>
      <c r="G81" s="18" t="s">
        <v>1151</v>
      </c>
      <c r="H81" s="18" t="s">
        <v>1079</v>
      </c>
      <c r="I81" s="18" t="s">
        <v>1041</v>
      </c>
      <c r="J81" s="17" t="b">
        <v>0</v>
      </c>
    </row>
    <row r="82">
      <c r="A82" s="18" t="s">
        <v>1152</v>
      </c>
      <c r="B82" s="18" t="s">
        <v>33</v>
      </c>
      <c r="C82" s="17" t="str">
        <f>IFERROR(VLOOKUP(B82,'MASTER DATA'!$A$1:$E$212,2,FALSE),"")</f>
        <v>BB-100022</v>
      </c>
      <c r="D82" s="17" t="str">
        <f>IFERROR(VLOOKUP(B82,'MASTER DATA'!$A$1:$E$212,5,FALSE),"")</f>
        <v>BAHAN BAKU LUUCA</v>
      </c>
      <c r="E82" s="18">
        <v>660.5</v>
      </c>
      <c r="F82" s="17" t="str">
        <f>IFERROR(VLOOKUP(B82,'MASTER DATA'!$A$1:$E$212,4,FALSE),"")</f>
        <v>GR</v>
      </c>
      <c r="G82" s="18" t="s">
        <v>591</v>
      </c>
      <c r="H82" s="18" t="s">
        <v>1071</v>
      </c>
      <c r="I82" s="18" t="s">
        <v>1034</v>
      </c>
      <c r="J82" s="17" t="b">
        <v>0</v>
      </c>
    </row>
    <row r="83">
      <c r="A83" s="17"/>
      <c r="B83" s="18" t="s">
        <v>108</v>
      </c>
      <c r="C83" s="17" t="str">
        <f>IFERROR(VLOOKUP(B83,'MASTER DATA'!$A$1:$E$212,2,FALSE),"")</f>
        <v>BB-100500</v>
      </c>
      <c r="D83" s="17" t="str">
        <f>IFERROR(VLOOKUP(B83,'MASTER DATA'!$A$1:$E$212,5,FALSE),"")</f>
        <v>BAHAN BAKU LUUCA</v>
      </c>
      <c r="E83" s="18">
        <v>10.0</v>
      </c>
      <c r="F83" s="17" t="str">
        <f>IFERROR(VLOOKUP(B83,'MASTER DATA'!$A$1:$E$212,4,FALSE),"")</f>
        <v>GR</v>
      </c>
      <c r="G83" s="18" t="s">
        <v>797</v>
      </c>
      <c r="H83" s="18" t="s">
        <v>1071</v>
      </c>
      <c r="I83" s="18" t="s">
        <v>1034</v>
      </c>
      <c r="J83" s="17" t="b">
        <v>0</v>
      </c>
    </row>
    <row r="84">
      <c r="A84" s="17"/>
      <c r="B84" s="18" t="s">
        <v>109</v>
      </c>
      <c r="C84" s="17" t="str">
        <f>IFERROR(VLOOKUP(B84,'MASTER DATA'!$A$1:$E$212,2,FALSE),"")</f>
        <v>BB-100501</v>
      </c>
      <c r="D84" s="17" t="str">
        <f>IFERROR(VLOOKUP(B84,'MASTER DATA'!$A$1:$E$212,5,FALSE),"")</f>
        <v>BAHAN BAKU LUUCA</v>
      </c>
      <c r="E84" s="18">
        <v>10.9</v>
      </c>
      <c r="F84" s="17" t="str">
        <f>IFERROR(VLOOKUP(B84,'MASTER DATA'!$A$1:$E$212,4,FALSE),"")</f>
        <v>GR</v>
      </c>
      <c r="G84" s="18" t="s">
        <v>1120</v>
      </c>
      <c r="H84" s="18" t="s">
        <v>1071</v>
      </c>
      <c r="I84" s="18" t="s">
        <v>1034</v>
      </c>
      <c r="J84" s="17" t="b">
        <v>0</v>
      </c>
    </row>
    <row r="85">
      <c r="A85" s="17"/>
      <c r="B85" s="18" t="s">
        <v>109</v>
      </c>
      <c r="C85" s="17" t="str">
        <f>IFERROR(VLOOKUP(B85,'MASTER DATA'!$A$1:$E$212,2,FALSE),"")</f>
        <v>BB-100501</v>
      </c>
      <c r="D85" s="17" t="str">
        <f>IFERROR(VLOOKUP(B85,'MASTER DATA'!$A$1:$E$212,5,FALSE),"")</f>
        <v>BAHAN BAKU LUUCA</v>
      </c>
      <c r="E85" s="18">
        <v>31.9</v>
      </c>
      <c r="F85" s="17" t="str">
        <f>IFERROR(VLOOKUP(B85,'MASTER DATA'!$A$1:$E$212,4,FALSE),"")</f>
        <v>GR</v>
      </c>
      <c r="G85" s="18" t="s">
        <v>819</v>
      </c>
      <c r="H85" s="18" t="s">
        <v>1071</v>
      </c>
      <c r="I85" s="18" t="s">
        <v>1041</v>
      </c>
      <c r="J85" s="17" t="b">
        <v>0</v>
      </c>
    </row>
    <row r="86">
      <c r="A86" s="17"/>
      <c r="B86" s="18" t="s">
        <v>34</v>
      </c>
      <c r="C86" s="17" t="str">
        <f>IFERROR(VLOOKUP(B86,'MASTER DATA'!$A$1:$E$212,2,FALSE),"")</f>
        <v>BB-100023</v>
      </c>
      <c r="D86" s="17" t="str">
        <f>IFERROR(VLOOKUP(B86,'MASTER DATA'!$A$1:$E$212,5,FALSE),"")</f>
        <v>BAHAN BAKU LUUCA</v>
      </c>
      <c r="E86" s="18">
        <f>288+595+566+672</f>
        <v>2121</v>
      </c>
      <c r="F86" s="17" t="str">
        <f>IFERROR(VLOOKUP(B86,'MASTER DATA'!$A$1:$E$212,4,FALSE),"")</f>
        <v>GR</v>
      </c>
      <c r="G86" s="18" t="s">
        <v>703</v>
      </c>
      <c r="H86" s="18" t="s">
        <v>1071</v>
      </c>
      <c r="I86" s="18" t="s">
        <v>1034</v>
      </c>
      <c r="J86" s="17" t="b">
        <v>0</v>
      </c>
    </row>
    <row r="87">
      <c r="A87" s="17"/>
      <c r="B87" s="18" t="s">
        <v>108</v>
      </c>
      <c r="C87" s="17" t="str">
        <f>IFERROR(VLOOKUP(B87,'MASTER DATA'!$A$1:$E$212,2,FALSE),"")</f>
        <v>BB-100500</v>
      </c>
      <c r="D87" s="17" t="str">
        <f>IFERROR(VLOOKUP(B87,'MASTER DATA'!$A$1:$E$212,5,FALSE),"")</f>
        <v>BAHAN BAKU LUUCA</v>
      </c>
      <c r="E87" s="18">
        <f>8+66</f>
        <v>74</v>
      </c>
      <c r="F87" s="17" t="str">
        <f>IFERROR(VLOOKUP(B87,'MASTER DATA'!$A$1:$E$212,4,FALSE),"")</f>
        <v>GR</v>
      </c>
      <c r="G87" s="18" t="s">
        <v>797</v>
      </c>
      <c r="H87" s="18" t="s">
        <v>1141</v>
      </c>
      <c r="I87" s="18" t="s">
        <v>1034</v>
      </c>
      <c r="J87" s="17" t="b">
        <v>0</v>
      </c>
    </row>
    <row r="88">
      <c r="A88" s="17"/>
      <c r="B88" s="18" t="s">
        <v>53</v>
      </c>
      <c r="C88" s="17" t="str">
        <f>IFERROR(VLOOKUP(B88,'MASTER DATA'!$A$1:$E$212,2,FALSE),"")</f>
        <v>BB-100502</v>
      </c>
      <c r="D88" s="17" t="str">
        <f>IFERROR(VLOOKUP(B88,'MASTER DATA'!$A$1:$E$212,5,FALSE),"")</f>
        <v>BAHAN BAKU LUUCA</v>
      </c>
      <c r="E88" s="18">
        <v>283.0</v>
      </c>
      <c r="F88" s="17" t="str">
        <f>IFERROR(VLOOKUP(B88,'MASTER DATA'!$A$1:$E$212,4,FALSE),"")</f>
        <v>GR</v>
      </c>
      <c r="G88" s="18" t="s">
        <v>819</v>
      </c>
      <c r="H88" s="18" t="s">
        <v>1114</v>
      </c>
      <c r="I88" s="18" t="s">
        <v>1041</v>
      </c>
      <c r="J88" s="17" t="b">
        <v>0</v>
      </c>
    </row>
    <row r="89">
      <c r="A89" s="18" t="s">
        <v>1156</v>
      </c>
      <c r="B89" s="18" t="s">
        <v>53</v>
      </c>
      <c r="C89" s="17" t="str">
        <f>IFERROR(VLOOKUP(B89,'MASTER DATA'!$A$1:$E$212,2,FALSE),"")</f>
        <v>BB-100502</v>
      </c>
      <c r="D89" s="17" t="str">
        <f>IFERROR(VLOOKUP(B89,'MASTER DATA'!$A$1:$E$212,5,FALSE),"")</f>
        <v>BAHAN BAKU LUUCA</v>
      </c>
      <c r="E89" s="17">
        <f>26+56</f>
        <v>82</v>
      </c>
      <c r="F89" s="17" t="str">
        <f>IFERROR(VLOOKUP(B89,'MASTER DATA'!$A$1:$E$212,4,FALSE),"")</f>
        <v>GR</v>
      </c>
      <c r="G89" s="18" t="s">
        <v>819</v>
      </c>
      <c r="H89" s="18" t="s">
        <v>888</v>
      </c>
      <c r="I89" s="18" t="s">
        <v>1041</v>
      </c>
      <c r="J89" s="17" t="b">
        <v>0</v>
      </c>
    </row>
    <row r="90">
      <c r="A90" s="17"/>
      <c r="B90" s="18" t="s">
        <v>53</v>
      </c>
      <c r="C90" s="17" t="str">
        <f>IFERROR(VLOOKUP(B90,'MASTER DATA'!$A$1:$E$212,2,FALSE),"")</f>
        <v>BB-100502</v>
      </c>
      <c r="D90" s="17" t="str">
        <f>IFERROR(VLOOKUP(B90,'MASTER DATA'!$A$1:$E$212,5,FALSE),"")</f>
        <v>BAHAN BAKU LUUCA</v>
      </c>
      <c r="E90" s="17">
        <f>37+75</f>
        <v>112</v>
      </c>
      <c r="F90" s="17" t="str">
        <f>IFERROR(VLOOKUP(B90,'MASTER DATA'!$A$1:$E$212,4,FALSE),"")</f>
        <v>GR</v>
      </c>
      <c r="G90" s="18" t="s">
        <v>921</v>
      </c>
      <c r="H90" s="18" t="s">
        <v>1071</v>
      </c>
      <c r="I90" s="18" t="s">
        <v>1034</v>
      </c>
      <c r="J90" s="17" t="b">
        <v>0</v>
      </c>
    </row>
    <row r="91">
      <c r="A91" s="17"/>
      <c r="B91" s="18" t="s">
        <v>108</v>
      </c>
      <c r="C91" s="17" t="str">
        <f>IFERROR(VLOOKUP(B91,'MASTER DATA'!$A$1:$E$212,2,FALSE),"")</f>
        <v>BB-100500</v>
      </c>
      <c r="D91" s="17" t="str">
        <f>IFERROR(VLOOKUP(B91,'MASTER DATA'!$A$1:$E$212,5,FALSE),"")</f>
        <v>BAHAN BAKU LUUCA</v>
      </c>
      <c r="E91" s="17">
        <f>26+24</f>
        <v>50</v>
      </c>
      <c r="F91" s="17" t="str">
        <f>IFERROR(VLOOKUP(B91,'MASTER DATA'!$A$1:$E$212,4,FALSE),"")</f>
        <v>GR</v>
      </c>
      <c r="G91" s="18" t="s">
        <v>797</v>
      </c>
      <c r="H91" s="18" t="s">
        <v>1079</v>
      </c>
      <c r="I91" s="18" t="s">
        <v>1034</v>
      </c>
      <c r="J91" s="17" t="b">
        <v>0</v>
      </c>
    </row>
    <row r="92">
      <c r="A92" s="17"/>
      <c r="B92" s="18" t="s">
        <v>108</v>
      </c>
      <c r="C92" s="17" t="str">
        <f>IFERROR(VLOOKUP(B92,'MASTER DATA'!$A$1:$E$212,2,FALSE),"")</f>
        <v>BB-100500</v>
      </c>
      <c r="D92" s="17" t="str">
        <f>IFERROR(VLOOKUP(B92,'MASTER DATA'!$A$1:$E$212,5,FALSE),"")</f>
        <v>BAHAN BAKU LUUCA</v>
      </c>
      <c r="E92" s="17">
        <f>155+102</f>
        <v>257</v>
      </c>
      <c r="F92" s="17" t="str">
        <f>IFERROR(VLOOKUP(B92,'MASTER DATA'!$A$1:$E$212,4,FALSE),"")</f>
        <v>GR</v>
      </c>
      <c r="G92" s="18" t="s">
        <v>819</v>
      </c>
      <c r="H92" s="18" t="s">
        <v>1079</v>
      </c>
      <c r="I92" s="18" t="s">
        <v>1041</v>
      </c>
      <c r="J92" s="17" t="b">
        <v>0</v>
      </c>
    </row>
    <row r="93">
      <c r="A93" s="17"/>
      <c r="B93" s="18" t="s">
        <v>33</v>
      </c>
      <c r="C93" s="17" t="str">
        <f>IFERROR(VLOOKUP(B93,'MASTER DATA'!$A$1:$E$212,2,FALSE),"")</f>
        <v>BB-100022</v>
      </c>
      <c r="D93" s="17" t="str">
        <f>IFERROR(VLOOKUP(B93,'MASTER DATA'!$A$1:$E$212,5,FALSE),"")</f>
        <v>BAHAN BAKU LUUCA</v>
      </c>
      <c r="E93" s="18">
        <v>626.0</v>
      </c>
      <c r="F93" s="17" t="str">
        <f>IFERROR(VLOOKUP(B93,'MASTER DATA'!$A$1:$E$212,4,FALSE),"")</f>
        <v>GR</v>
      </c>
      <c r="G93" s="18" t="s">
        <v>591</v>
      </c>
      <c r="H93" s="18" t="s">
        <v>888</v>
      </c>
      <c r="I93" s="18" t="s">
        <v>1034</v>
      </c>
      <c r="J93" s="17" t="b">
        <v>0</v>
      </c>
    </row>
    <row r="94">
      <c r="A94" s="17"/>
      <c r="B94" s="18" t="s">
        <v>175</v>
      </c>
      <c r="C94" s="17" t="str">
        <f>IFERROR(VLOOKUP(B94,'MASTER DATA'!$A$1:$E$212,2,FALSE),"")</f>
        <v>P006-001</v>
      </c>
      <c r="D94" s="17" t="str">
        <f>IFERROR(VLOOKUP(B94,'MASTER DATA'!$A$1:$E$212,5,FALSE),"")</f>
        <v>PRODUKSI STOK LUUCA</v>
      </c>
      <c r="E94" s="18">
        <v>63.2</v>
      </c>
      <c r="F94" s="17" t="str">
        <f>IFERROR(VLOOKUP(B94,'MASTER DATA'!$A$1:$E$212,4,FALSE),"")</f>
        <v>GR</v>
      </c>
      <c r="G94" s="18" t="s">
        <v>532</v>
      </c>
      <c r="H94" s="18" t="s">
        <v>1079</v>
      </c>
      <c r="I94" s="18" t="s">
        <v>1041</v>
      </c>
      <c r="J94" s="17" t="b">
        <v>0</v>
      </c>
    </row>
    <row r="95">
      <c r="A95" s="18" t="s">
        <v>1160</v>
      </c>
      <c r="B95" s="18" t="s">
        <v>108</v>
      </c>
      <c r="C95" s="17" t="str">
        <f>IFERROR(VLOOKUP(B95,'MASTER DATA'!$A$1:$E$212,2,FALSE),"")</f>
        <v>BB-100500</v>
      </c>
      <c r="D95" s="17" t="str">
        <f>IFERROR(VLOOKUP(B95,'MASTER DATA'!$A$1:$E$212,5,FALSE),"")</f>
        <v>BAHAN BAKU LUUCA</v>
      </c>
      <c r="E95" s="17">
        <f>27+9</f>
        <v>36</v>
      </c>
      <c r="F95" s="17" t="str">
        <f>IFERROR(VLOOKUP(B95,'MASTER DATA'!$A$1:$E$212,4,FALSE),"")</f>
        <v>GR</v>
      </c>
      <c r="G95" s="18" t="s">
        <v>819</v>
      </c>
      <c r="H95" s="18" t="s">
        <v>1141</v>
      </c>
      <c r="I95" s="18" t="s">
        <v>1041</v>
      </c>
      <c r="J95" s="17" t="b">
        <v>0</v>
      </c>
    </row>
    <row r="96">
      <c r="A96" s="17"/>
      <c r="B96" s="18" t="s">
        <v>77</v>
      </c>
      <c r="C96" s="17" t="str">
        <f>IFERROR(VLOOKUP(B96,'MASTER DATA'!$A$1:$E$212,2,FALSE),"")</f>
        <v>BB-100251</v>
      </c>
      <c r="D96" s="17" t="str">
        <f>IFERROR(VLOOKUP(B96,'MASTER DATA'!$A$1:$E$212,5,FALSE),"")</f>
        <v>BAHAN BAKU LUUCA</v>
      </c>
      <c r="E96" s="18">
        <v>1.0</v>
      </c>
      <c r="F96" s="17" t="str">
        <f>IFERROR(VLOOKUP(B96,'MASTER DATA'!$A$1:$E$212,4,FALSE),"")</f>
        <v>PCS</v>
      </c>
      <c r="G96" s="18" t="s">
        <v>1110</v>
      </c>
      <c r="H96" s="18" t="s">
        <v>1141</v>
      </c>
      <c r="I96" s="18" t="s">
        <v>1041</v>
      </c>
      <c r="J96" s="17" t="b">
        <v>0</v>
      </c>
    </row>
    <row r="97">
      <c r="A97" s="17"/>
      <c r="B97" s="18" t="s">
        <v>108</v>
      </c>
      <c r="C97" s="17" t="str">
        <f>IFERROR(VLOOKUP(B97,'MASTER DATA'!$A$1:$E$212,2,FALSE),"")</f>
        <v>BB-100500</v>
      </c>
      <c r="D97" s="17" t="str">
        <f>IFERROR(VLOOKUP(B97,'MASTER DATA'!$A$1:$E$212,5,FALSE),"")</f>
        <v>BAHAN BAKU LUUCA</v>
      </c>
      <c r="E97" s="17">
        <f>26</f>
        <v>26</v>
      </c>
      <c r="F97" s="17" t="str">
        <f>IFERROR(VLOOKUP(B97,'MASTER DATA'!$A$1:$E$212,4,FALSE),"")</f>
        <v>GR</v>
      </c>
      <c r="G97" s="18" t="s">
        <v>797</v>
      </c>
      <c r="H97" s="18" t="s">
        <v>888</v>
      </c>
      <c r="I97" s="18" t="s">
        <v>1034</v>
      </c>
      <c r="J97" s="17" t="b">
        <v>0</v>
      </c>
    </row>
    <row r="98">
      <c r="A98" s="18" t="s">
        <v>1164</v>
      </c>
      <c r="B98" s="18" t="s">
        <v>108</v>
      </c>
      <c r="C98" s="17" t="str">
        <f>IFERROR(VLOOKUP(B98,'MASTER DATA'!$A$1:$E$212,2,FALSE),"")</f>
        <v>BB-100500</v>
      </c>
      <c r="D98" s="17" t="str">
        <f>IFERROR(VLOOKUP(B98,'MASTER DATA'!$A$1:$E$212,5,FALSE),"")</f>
        <v>BAHAN BAKU LUUCA</v>
      </c>
      <c r="E98" s="17">
        <f>9+38+9</f>
        <v>56</v>
      </c>
      <c r="F98" s="17" t="str">
        <f>IFERROR(VLOOKUP(B98,'MASTER DATA'!$A$1:$E$212,4,FALSE),"")</f>
        <v>GR</v>
      </c>
      <c r="G98" s="18" t="s">
        <v>797</v>
      </c>
      <c r="H98" s="18" t="s">
        <v>1141</v>
      </c>
      <c r="I98" s="18" t="s">
        <v>1034</v>
      </c>
      <c r="J98" s="17" t="b">
        <v>0</v>
      </c>
    </row>
    <row r="99">
      <c r="A99" s="17"/>
      <c r="B99" s="18" t="s">
        <v>53</v>
      </c>
      <c r="C99" s="17" t="str">
        <f>IFERROR(VLOOKUP(B99,'MASTER DATA'!$A$1:$E$212,2,FALSE),"")</f>
        <v>BB-100502</v>
      </c>
      <c r="D99" s="17" t="str">
        <f>IFERROR(VLOOKUP(B99,'MASTER DATA'!$A$1:$E$212,5,FALSE),"")</f>
        <v>BAHAN BAKU LUUCA</v>
      </c>
      <c r="E99" s="17">
        <f>52</f>
        <v>52</v>
      </c>
      <c r="F99" s="17" t="str">
        <f>IFERROR(VLOOKUP(B99,'MASTER DATA'!$A$1:$E$212,4,FALSE),"")</f>
        <v>GR</v>
      </c>
      <c r="G99" s="18" t="s">
        <v>921</v>
      </c>
      <c r="H99" s="18" t="s">
        <v>1141</v>
      </c>
      <c r="I99" s="18" t="s">
        <v>1034</v>
      </c>
      <c r="J99" s="17" t="b">
        <v>0</v>
      </c>
    </row>
    <row r="100">
      <c r="A100" s="17"/>
      <c r="B100" s="18" t="s">
        <v>108</v>
      </c>
      <c r="C100" s="17" t="str">
        <f>IFERROR(VLOOKUP(B100,'MASTER DATA'!$A$1:$E$212,2,FALSE),"")</f>
        <v>BB-100500</v>
      </c>
      <c r="D100" s="17" t="str">
        <f>IFERROR(VLOOKUP(B100,'MASTER DATA'!$A$1:$E$212,5,FALSE),"")</f>
        <v>BAHAN BAKU LUUCA</v>
      </c>
      <c r="E100" s="17">
        <f>104+58</f>
        <v>162</v>
      </c>
      <c r="F100" s="17" t="str">
        <f>IFERROR(VLOOKUP(B100,'MASTER DATA'!$A$1:$E$212,4,FALSE),"")</f>
        <v>GR</v>
      </c>
      <c r="G100" s="18" t="s">
        <v>819</v>
      </c>
      <c r="H100" s="18" t="s">
        <v>1079</v>
      </c>
      <c r="I100" s="18" t="s">
        <v>1041</v>
      </c>
      <c r="J100" s="17" t="b">
        <v>0</v>
      </c>
    </row>
    <row r="101">
      <c r="A101" s="18" t="s">
        <v>1167</v>
      </c>
      <c r="B101" s="18" t="s">
        <v>76</v>
      </c>
      <c r="C101" s="17" t="str">
        <f>IFERROR(VLOOKUP(B101,'MASTER DATA'!$A$1:$E$212,2,FALSE),"")</f>
        <v>BB-100250</v>
      </c>
      <c r="D101" s="17" t="str">
        <f>IFERROR(VLOOKUP(B101,'MASTER DATA'!$A$1:$E$212,5,FALSE),"")</f>
        <v>BAHAN BAKU LUUCA</v>
      </c>
      <c r="E101" s="18">
        <v>2.0</v>
      </c>
      <c r="F101" s="17" t="str">
        <f>IFERROR(VLOOKUP(B101,'MASTER DATA'!$A$1:$E$212,4,FALSE),"")</f>
        <v>PCS</v>
      </c>
      <c r="G101" s="18" t="s">
        <v>1110</v>
      </c>
      <c r="H101" s="18" t="s">
        <v>888</v>
      </c>
      <c r="I101" s="18" t="s">
        <v>1041</v>
      </c>
      <c r="J101" s="17" t="b">
        <v>0</v>
      </c>
    </row>
    <row r="102">
      <c r="A102" s="17"/>
      <c r="B102" s="18" t="s">
        <v>186</v>
      </c>
      <c r="C102" s="17" t="str">
        <f>IFERROR(VLOOKUP(B102,'MASTER DATA'!$A$1:$E$212,2,FALSE),"")</f>
        <v>P006-008</v>
      </c>
      <c r="D102" s="17" t="str">
        <f>IFERROR(VLOOKUP(B102,'MASTER DATA'!$A$1:$E$212,5,FALSE),"")</f>
        <v>PRODUKSI STOK LUUCA</v>
      </c>
      <c r="E102" s="18">
        <v>11.5</v>
      </c>
      <c r="F102" s="17" t="str">
        <f>IFERROR(VLOOKUP(B102,'MASTER DATA'!$A$1:$E$212,4,FALSE),"")</f>
        <v>GR</v>
      </c>
      <c r="G102" s="18" t="s">
        <v>1169</v>
      </c>
      <c r="H102" s="18" t="s">
        <v>888</v>
      </c>
      <c r="I102" s="18" t="s">
        <v>1041</v>
      </c>
      <c r="J102" s="17" t="b">
        <v>0</v>
      </c>
    </row>
    <row r="103">
      <c r="A103" s="17"/>
      <c r="B103" s="18" t="s">
        <v>108</v>
      </c>
      <c r="C103" s="17" t="str">
        <f>IFERROR(VLOOKUP(B103,'MASTER DATA'!$A$1:$E$212,2,FALSE),"")</f>
        <v>BB-100500</v>
      </c>
      <c r="D103" s="17" t="str">
        <f>IFERROR(VLOOKUP(B103,'MASTER DATA'!$A$1:$E$212,5,FALSE),"")</f>
        <v>BAHAN BAKU LUUCA</v>
      </c>
      <c r="E103" s="17">
        <f>15+145</f>
        <v>160</v>
      </c>
      <c r="F103" s="17" t="str">
        <f>IFERROR(VLOOKUP(B103,'MASTER DATA'!$A$1:$E$212,4,FALSE),"")</f>
        <v>GR</v>
      </c>
      <c r="G103" s="18" t="s">
        <v>797</v>
      </c>
      <c r="H103" s="18" t="s">
        <v>1071</v>
      </c>
      <c r="I103" s="18" t="s">
        <v>1034</v>
      </c>
      <c r="J103" s="17" t="b">
        <v>0</v>
      </c>
    </row>
    <row r="104">
      <c r="A104" s="17"/>
      <c r="B104" s="18" t="s">
        <v>238</v>
      </c>
      <c r="C104" s="17" t="str">
        <f>IFERROR(VLOOKUP(B104,'MASTER DATA'!$A$1:$E$212,2,FALSE),"")</f>
        <v>BB-100517</v>
      </c>
      <c r="D104" s="17" t="str">
        <f>IFERROR(VLOOKUP(B104,'MASTER DATA'!$A$1:$E$212,5,FALSE),"")</f>
        <v>PRODUKSI STOK LUUCA</v>
      </c>
      <c r="E104" s="18">
        <v>1.0</v>
      </c>
      <c r="F104" s="17" t="str">
        <f>IFERROR(VLOOKUP(B104,'MASTER DATA'!$A$1:$E$212,4,FALSE),"")</f>
        <v>PCS</v>
      </c>
      <c r="G104" s="18" t="s">
        <v>1089</v>
      </c>
      <c r="H104" s="18" t="s">
        <v>1079</v>
      </c>
      <c r="I104" s="18" t="s">
        <v>1034</v>
      </c>
      <c r="J104" s="17" t="b">
        <v>0</v>
      </c>
    </row>
    <row r="105">
      <c r="A105" s="17"/>
      <c r="B105" s="18" t="s">
        <v>34</v>
      </c>
      <c r="C105" s="17" t="str">
        <f>IFERROR(VLOOKUP(B105,'MASTER DATA'!$A$1:$E$212,2,FALSE),"")</f>
        <v>BB-100023</v>
      </c>
      <c r="D105" s="17" t="str">
        <f>IFERROR(VLOOKUP(B105,'MASTER DATA'!$A$1:$E$212,5,FALSE),"")</f>
        <v>BAHAN BAKU LUUCA</v>
      </c>
      <c r="E105" s="18">
        <v>631.5</v>
      </c>
      <c r="F105" s="17" t="str">
        <f>IFERROR(VLOOKUP(B105,'MASTER DATA'!$A$1:$E$212,4,FALSE),"")</f>
        <v>GR</v>
      </c>
      <c r="G105" s="18" t="s">
        <v>703</v>
      </c>
      <c r="H105" s="18" t="s">
        <v>1016</v>
      </c>
      <c r="I105" s="18" t="s">
        <v>1034</v>
      </c>
      <c r="J105" s="17" t="b">
        <v>0</v>
      </c>
    </row>
    <row r="106">
      <c r="A106" s="17"/>
      <c r="B106" s="18" t="s">
        <v>53</v>
      </c>
      <c r="C106" s="17" t="str">
        <f>IFERROR(VLOOKUP(B106,'MASTER DATA'!$A$1:$E$212,2,FALSE),"")</f>
        <v>BB-100502</v>
      </c>
      <c r="D106" s="17" t="str">
        <f>IFERROR(VLOOKUP(B106,'MASTER DATA'!$A$1:$E$212,5,FALSE),"")</f>
        <v>BAHAN BAKU LUUCA</v>
      </c>
      <c r="E106" s="18">
        <v>72.9</v>
      </c>
      <c r="F106" s="17" t="str">
        <f>IFERROR(VLOOKUP(B106,'MASTER DATA'!$A$1:$E$212,4,FALSE),"")</f>
        <v>GR</v>
      </c>
      <c r="G106" s="18" t="s">
        <v>921</v>
      </c>
      <c r="H106" s="18" t="s">
        <v>1079</v>
      </c>
      <c r="I106" s="18" t="s">
        <v>1034</v>
      </c>
      <c r="J106" s="17" t="b">
        <v>0</v>
      </c>
    </row>
    <row r="107">
      <c r="A107" s="17"/>
      <c r="B107" s="18" t="s">
        <v>109</v>
      </c>
      <c r="C107" s="17" t="str">
        <f>IFERROR(VLOOKUP(B107,'MASTER DATA'!$A$1:$E$212,2,FALSE),"")</f>
        <v>BB-100501</v>
      </c>
      <c r="D107" s="17" t="str">
        <f>IFERROR(VLOOKUP(B107,'MASTER DATA'!$A$1:$E$212,5,FALSE),"")</f>
        <v>BAHAN BAKU LUUCA</v>
      </c>
      <c r="E107" s="18">
        <v>7.4</v>
      </c>
      <c r="F107" s="17" t="str">
        <f>IFERROR(VLOOKUP(B107,'MASTER DATA'!$A$1:$E$212,4,FALSE),"")</f>
        <v>GR</v>
      </c>
      <c r="G107" s="18" t="s">
        <v>1120</v>
      </c>
      <c r="H107" s="18" t="s">
        <v>1079</v>
      </c>
      <c r="I107" s="18" t="s">
        <v>1034</v>
      </c>
      <c r="J107" s="17" t="b">
        <v>0</v>
      </c>
    </row>
    <row r="108">
      <c r="A108" s="17"/>
      <c r="B108" s="18" t="s">
        <v>108</v>
      </c>
      <c r="C108" s="17" t="str">
        <f>IFERROR(VLOOKUP(B108,'MASTER DATA'!$A$1:$E$212,2,FALSE),"")</f>
        <v>BB-100500</v>
      </c>
      <c r="D108" s="17" t="str">
        <f>IFERROR(VLOOKUP(B108,'MASTER DATA'!$A$1:$E$212,5,FALSE),"")</f>
        <v>BAHAN BAKU LUUCA</v>
      </c>
      <c r="E108" s="18">
        <v>209.0</v>
      </c>
      <c r="F108" s="17" t="str">
        <f>IFERROR(VLOOKUP(B108,'MASTER DATA'!$A$1:$E$212,4,FALSE),"")</f>
        <v>GR</v>
      </c>
      <c r="G108" s="18" t="s">
        <v>819</v>
      </c>
      <c r="H108" s="18" t="s">
        <v>522</v>
      </c>
      <c r="I108" s="18" t="s">
        <v>1041</v>
      </c>
      <c r="J108" s="17" t="b">
        <v>0</v>
      </c>
    </row>
    <row r="109">
      <c r="A109" s="17"/>
      <c r="B109" s="18" t="s">
        <v>33</v>
      </c>
      <c r="C109" s="17" t="str">
        <f>IFERROR(VLOOKUP(B109,'MASTER DATA'!$A$1:$E$212,2,FALSE),"")</f>
        <v>BB-100022</v>
      </c>
      <c r="D109" s="17" t="str">
        <f>IFERROR(VLOOKUP(B109,'MASTER DATA'!$A$1:$E$212,5,FALSE),"")</f>
        <v>BAHAN BAKU LUUCA</v>
      </c>
      <c r="E109" s="18">
        <v>625.0</v>
      </c>
      <c r="F109" s="17" t="str">
        <f>IFERROR(VLOOKUP(B109,'MASTER DATA'!$A$1:$E$212,4,FALSE),"")</f>
        <v>GR</v>
      </c>
      <c r="G109" s="18" t="s">
        <v>591</v>
      </c>
      <c r="H109" s="18" t="s">
        <v>522</v>
      </c>
      <c r="I109" s="18" t="s">
        <v>1034</v>
      </c>
      <c r="J109" s="17" t="b">
        <v>0</v>
      </c>
    </row>
    <row r="110">
      <c r="A110" s="18" t="s">
        <v>1173</v>
      </c>
      <c r="B110" s="18" t="s">
        <v>53</v>
      </c>
      <c r="C110" s="17" t="str">
        <f>IFERROR(VLOOKUP(B110,'MASTER DATA'!$A$1:$E$212,2,FALSE),"")</f>
        <v>BB-100502</v>
      </c>
      <c r="D110" s="17" t="str">
        <f>IFERROR(VLOOKUP(B110,'MASTER DATA'!$A$1:$E$212,5,FALSE),"")</f>
        <v>BAHAN BAKU LUUCA</v>
      </c>
      <c r="E110" s="17">
        <f>28+83</f>
        <v>111</v>
      </c>
      <c r="F110" s="17" t="str">
        <f>IFERROR(VLOOKUP(B110,'MASTER DATA'!$A$1:$E$212,4,FALSE),"")</f>
        <v>GR</v>
      </c>
      <c r="G110" s="18" t="s">
        <v>921</v>
      </c>
      <c r="H110" s="18" t="s">
        <v>595</v>
      </c>
      <c r="I110" s="18" t="s">
        <v>1034</v>
      </c>
      <c r="J110" s="17" t="b">
        <v>0</v>
      </c>
    </row>
    <row r="111">
      <c r="A111" s="17"/>
      <c r="B111" s="18" t="s">
        <v>34</v>
      </c>
      <c r="C111" s="17" t="str">
        <f>IFERROR(VLOOKUP(B111,'MASTER DATA'!$A$1:$E$212,2,FALSE),"")</f>
        <v>BB-100023</v>
      </c>
      <c r="D111" s="17" t="str">
        <f>IFERROR(VLOOKUP(B111,'MASTER DATA'!$A$1:$E$212,5,FALSE),"")</f>
        <v>BAHAN BAKU LUUCA</v>
      </c>
      <c r="E111" s="17">
        <f>1145</f>
        <v>1145</v>
      </c>
      <c r="F111" s="17" t="str">
        <f>IFERROR(VLOOKUP(B111,'MASTER DATA'!$A$1:$E$212,4,FALSE),"")</f>
        <v>GR</v>
      </c>
      <c r="G111" s="18" t="s">
        <v>591</v>
      </c>
      <c r="H111" s="18" t="s">
        <v>595</v>
      </c>
      <c r="I111" s="18" t="s">
        <v>1034</v>
      </c>
      <c r="J111" s="17" t="b">
        <v>0</v>
      </c>
    </row>
    <row r="112">
      <c r="A112" s="17"/>
      <c r="B112" s="18" t="s">
        <v>53</v>
      </c>
      <c r="C112" s="17" t="str">
        <f>IFERROR(VLOOKUP(B112,'MASTER DATA'!$A$1:$E$212,2,FALSE),"")</f>
        <v>BB-100502</v>
      </c>
      <c r="D112" s="17" t="str">
        <f>IFERROR(VLOOKUP(B112,'MASTER DATA'!$A$1:$E$212,5,FALSE),"")</f>
        <v>BAHAN BAKU LUUCA</v>
      </c>
      <c r="E112" s="18">
        <f>46+122+102</f>
        <v>270</v>
      </c>
      <c r="F112" s="17" t="str">
        <f>IFERROR(VLOOKUP(B112,'MASTER DATA'!$A$1:$E$212,4,FALSE),"")</f>
        <v>GR</v>
      </c>
      <c r="G112" s="18" t="s">
        <v>1174</v>
      </c>
      <c r="H112" s="18" t="s">
        <v>1016</v>
      </c>
      <c r="I112" s="18" t="s">
        <v>1041</v>
      </c>
      <c r="J112" s="17" t="b">
        <v>0</v>
      </c>
    </row>
    <row r="113">
      <c r="A113" s="17"/>
      <c r="B113" s="18" t="s">
        <v>108</v>
      </c>
      <c r="C113" s="17" t="str">
        <f>IFERROR(VLOOKUP(B113,'MASTER DATA'!$A$1:$E$212,2,FALSE),"")</f>
        <v>BB-100500</v>
      </c>
      <c r="D113" s="17" t="str">
        <f>IFERROR(VLOOKUP(B113,'MASTER DATA'!$A$1:$E$212,5,FALSE),"")</f>
        <v>BAHAN BAKU LUUCA</v>
      </c>
      <c r="E113" s="17">
        <f>7+77</f>
        <v>84</v>
      </c>
      <c r="F113" s="17" t="str">
        <f>IFERROR(VLOOKUP(B113,'MASTER DATA'!$A$1:$E$212,4,FALSE),"")</f>
        <v>GR</v>
      </c>
      <c r="G113" s="18" t="s">
        <v>819</v>
      </c>
      <c r="H113" s="18" t="s">
        <v>1016</v>
      </c>
      <c r="I113" s="18" t="s">
        <v>1041</v>
      </c>
      <c r="J113" s="17" t="b">
        <v>0</v>
      </c>
    </row>
    <row r="114">
      <c r="A114" s="17"/>
      <c r="B114" s="18" t="s">
        <v>108</v>
      </c>
      <c r="C114" s="17" t="str">
        <f>IFERROR(VLOOKUP(B114,'MASTER DATA'!$A$1:$E$212,2,FALSE),"")</f>
        <v>BB-100500</v>
      </c>
      <c r="D114" s="17" t="str">
        <f>IFERROR(VLOOKUP(B114,'MASTER DATA'!$A$1:$E$212,5,FALSE),"")</f>
        <v>BAHAN BAKU LUUCA</v>
      </c>
      <c r="E114" s="17">
        <f>52</f>
        <v>52</v>
      </c>
      <c r="F114" s="17" t="str">
        <f>IFERROR(VLOOKUP(B114,'MASTER DATA'!$A$1:$E$212,4,FALSE),"")</f>
        <v>GR</v>
      </c>
      <c r="G114" s="18" t="s">
        <v>797</v>
      </c>
      <c r="H114" s="18" t="s">
        <v>522</v>
      </c>
      <c r="I114" s="18" t="s">
        <v>1034</v>
      </c>
      <c r="J114" s="17" t="b">
        <v>0</v>
      </c>
    </row>
    <row r="115">
      <c r="A115" s="18" t="s">
        <v>1175</v>
      </c>
      <c r="B115" s="18" t="s">
        <v>108</v>
      </c>
      <c r="C115" s="17" t="str">
        <f>IFERROR(VLOOKUP(B115,'MASTER DATA'!$A$1:$E$212,2,FALSE),"")</f>
        <v>BB-100500</v>
      </c>
      <c r="D115" s="17" t="str">
        <f>IFERROR(VLOOKUP(B115,'MASTER DATA'!$A$1:$E$212,5,FALSE),"")</f>
        <v>BAHAN BAKU LUUCA</v>
      </c>
      <c r="E115" s="17">
        <f>10+27</f>
        <v>37</v>
      </c>
      <c r="F115" s="17" t="str">
        <f>IFERROR(VLOOKUP(B115,'MASTER DATA'!$A$1:$E$212,4,FALSE),"")</f>
        <v>GR</v>
      </c>
      <c r="G115" s="18" t="s">
        <v>797</v>
      </c>
      <c r="H115" s="18" t="s">
        <v>888</v>
      </c>
      <c r="I115" s="18" t="s">
        <v>1034</v>
      </c>
      <c r="J115" s="17" t="b">
        <v>0</v>
      </c>
    </row>
    <row r="116">
      <c r="A116" s="17"/>
      <c r="B116" s="18" t="s">
        <v>34</v>
      </c>
      <c r="C116" s="17" t="str">
        <f>IFERROR(VLOOKUP(B116,'MASTER DATA'!$A$1:$E$212,2,FALSE),"")</f>
        <v>BB-100023</v>
      </c>
      <c r="D116" s="17" t="str">
        <f>IFERROR(VLOOKUP(B116,'MASTER DATA'!$A$1:$E$212,5,FALSE),"")</f>
        <v>BAHAN BAKU LUUCA</v>
      </c>
      <c r="E116" s="18">
        <v>352.3</v>
      </c>
      <c r="F116" s="17" t="str">
        <f>IFERROR(VLOOKUP(B116,'MASTER DATA'!$A$1:$E$212,4,FALSE),"")</f>
        <v>GR</v>
      </c>
      <c r="G116" s="18" t="s">
        <v>703</v>
      </c>
      <c r="H116" s="18" t="s">
        <v>888</v>
      </c>
      <c r="I116" s="18" t="s">
        <v>1034</v>
      </c>
      <c r="J116" s="17" t="b">
        <v>0</v>
      </c>
    </row>
    <row r="117">
      <c r="A117" s="18" t="s">
        <v>1176</v>
      </c>
      <c r="B117" s="18" t="s">
        <v>33</v>
      </c>
      <c r="C117" s="17" t="str">
        <f>IFERROR(VLOOKUP(B117,'MASTER DATA'!$A$1:$E$212,2,FALSE),"")</f>
        <v>BB-100022</v>
      </c>
      <c r="D117" s="17" t="str">
        <f>IFERROR(VLOOKUP(B117,'MASTER DATA'!$A$1:$E$212,5,FALSE),"")</f>
        <v>BAHAN BAKU LUUCA</v>
      </c>
      <c r="E117" s="18">
        <v>635.0</v>
      </c>
      <c r="F117" s="17" t="str">
        <f>IFERROR(VLOOKUP(B117,'MASTER DATA'!$A$1:$E$212,4,FALSE),"")</f>
        <v>GR</v>
      </c>
      <c r="G117" s="18" t="s">
        <v>703</v>
      </c>
      <c r="H117" s="18" t="s">
        <v>888</v>
      </c>
      <c r="I117" s="18" t="s">
        <v>1034</v>
      </c>
      <c r="J117" s="17" t="b">
        <v>0</v>
      </c>
    </row>
    <row r="118">
      <c r="A118" s="18"/>
      <c r="B118" s="18" t="s">
        <v>108</v>
      </c>
      <c r="C118" s="17" t="str">
        <f>IFERROR(VLOOKUP(B118,'MASTER DATA'!$A$1:$E$212,2,FALSE),"")</f>
        <v>BB-100500</v>
      </c>
      <c r="D118" s="17" t="str">
        <f>IFERROR(VLOOKUP(B118,'MASTER DATA'!$A$1:$E$212,5,FALSE),"")</f>
        <v>BAHAN BAKU LUUCA</v>
      </c>
      <c r="E118" s="17">
        <f>47+41</f>
        <v>88</v>
      </c>
      <c r="F118" s="17" t="str">
        <f>IFERROR(VLOOKUP(B118,'MASTER DATA'!$A$1:$E$212,4,FALSE),"")</f>
        <v>GR</v>
      </c>
      <c r="G118" s="18" t="s">
        <v>797</v>
      </c>
      <c r="H118" s="18" t="s">
        <v>888</v>
      </c>
      <c r="I118" s="18" t="s">
        <v>1034</v>
      </c>
      <c r="J118" s="17" t="b">
        <v>0</v>
      </c>
    </row>
    <row r="119">
      <c r="A119" s="17"/>
      <c r="B119" s="18" t="s">
        <v>53</v>
      </c>
      <c r="C119" s="17" t="str">
        <f>IFERROR(VLOOKUP(B119,'MASTER DATA'!$A$1:$E$212,2,FALSE),"")</f>
        <v>BB-100502</v>
      </c>
      <c r="D119" s="17" t="str">
        <f>IFERROR(VLOOKUP(B119,'MASTER DATA'!$A$1:$E$212,5,FALSE),"")</f>
        <v>BAHAN BAKU LUUCA</v>
      </c>
      <c r="E119" s="17">
        <f>109</f>
        <v>109</v>
      </c>
      <c r="F119" s="17" t="str">
        <f>IFERROR(VLOOKUP(B119,'MASTER DATA'!$A$1:$E$212,4,FALSE),"")</f>
        <v>GR</v>
      </c>
      <c r="G119" s="18" t="s">
        <v>921</v>
      </c>
      <c r="H119" s="18" t="s">
        <v>522</v>
      </c>
      <c r="I119" s="18" t="s">
        <v>1034</v>
      </c>
      <c r="J119" s="17" t="b">
        <v>0</v>
      </c>
    </row>
    <row r="120">
      <c r="A120" s="17"/>
      <c r="B120" s="18" t="s">
        <v>109</v>
      </c>
      <c r="C120" s="17" t="str">
        <f>IFERROR(VLOOKUP(B120,'MASTER DATA'!$A$1:$E$212,2,FALSE),"")</f>
        <v>BB-100501</v>
      </c>
      <c r="D120" s="17" t="str">
        <f>IFERROR(VLOOKUP(B120,'MASTER DATA'!$A$1:$E$212,5,FALSE),"")</f>
        <v>BAHAN BAKU LUUCA</v>
      </c>
      <c r="E120" s="18">
        <v>42.3</v>
      </c>
      <c r="F120" s="17" t="str">
        <f>IFERROR(VLOOKUP(B120,'MASTER DATA'!$A$1:$E$212,4,FALSE),"")</f>
        <v>GR</v>
      </c>
      <c r="G120" s="18" t="s">
        <v>496</v>
      </c>
      <c r="H120" s="18" t="s">
        <v>522</v>
      </c>
      <c r="I120" s="18" t="s">
        <v>1041</v>
      </c>
      <c r="J120" s="17" t="b">
        <v>0</v>
      </c>
    </row>
    <row r="121">
      <c r="A121" s="17"/>
      <c r="B121" s="18" t="s">
        <v>109</v>
      </c>
      <c r="C121" s="17" t="str">
        <f>IFERROR(VLOOKUP(B121,'MASTER DATA'!$A$1:$E$212,2,FALSE),"")</f>
        <v>BB-100501</v>
      </c>
      <c r="D121" s="17" t="str">
        <f>IFERROR(VLOOKUP(B121,'MASTER DATA'!$A$1:$E$212,5,FALSE),"")</f>
        <v>BAHAN BAKU LUUCA</v>
      </c>
      <c r="E121" s="18">
        <v>10.0</v>
      </c>
      <c r="F121" s="17" t="str">
        <f>IFERROR(VLOOKUP(B121,'MASTER DATA'!$A$1:$E$212,4,FALSE),"")</f>
        <v>GR</v>
      </c>
      <c r="G121" s="18" t="s">
        <v>1120</v>
      </c>
      <c r="H121" s="18" t="s">
        <v>522</v>
      </c>
      <c r="I121" s="18" t="s">
        <v>1034</v>
      </c>
      <c r="J121" s="17" t="b">
        <v>0</v>
      </c>
    </row>
    <row r="122">
      <c r="A122" s="18" t="s">
        <v>1177</v>
      </c>
      <c r="B122" s="18" t="s">
        <v>34</v>
      </c>
      <c r="C122" s="17" t="str">
        <f>IFERROR(VLOOKUP(B122,'MASTER DATA'!$A$1:$E$212,2,FALSE),"")</f>
        <v>BB-100023</v>
      </c>
      <c r="D122" s="17" t="str">
        <f>IFERROR(VLOOKUP(B122,'MASTER DATA'!$A$1:$E$212,5,FALSE),"")</f>
        <v>BAHAN BAKU LUUCA</v>
      </c>
      <c r="E122" s="18">
        <v>465.4</v>
      </c>
      <c r="F122" s="17" t="str">
        <f>IFERROR(VLOOKUP(B122,'MASTER DATA'!$A$1:$E$212,4,FALSE),"")</f>
        <v>GR</v>
      </c>
      <c r="G122" s="18" t="s">
        <v>591</v>
      </c>
      <c r="H122" s="18" t="s">
        <v>1079</v>
      </c>
      <c r="I122" s="18" t="s">
        <v>1034</v>
      </c>
      <c r="J122" s="17" t="b">
        <v>0</v>
      </c>
    </row>
    <row r="123">
      <c r="A123" s="17"/>
      <c r="B123" s="18" t="s">
        <v>108</v>
      </c>
      <c r="C123" s="17" t="str">
        <f>IFERROR(VLOOKUP(B123,'MASTER DATA'!$A$1:$E$212,2,FALSE),"")</f>
        <v>BB-100500</v>
      </c>
      <c r="D123" s="17" t="str">
        <f>IFERROR(VLOOKUP(B123,'MASTER DATA'!$A$1:$E$212,5,FALSE),"")</f>
        <v>BAHAN BAKU LUUCA</v>
      </c>
      <c r="E123" s="17">
        <f>26</f>
        <v>26</v>
      </c>
      <c r="F123" s="17" t="str">
        <f>IFERROR(VLOOKUP(B123,'MASTER DATA'!$A$1:$E$212,4,FALSE),"")</f>
        <v>GR</v>
      </c>
      <c r="G123" s="18" t="s">
        <v>797</v>
      </c>
      <c r="H123" s="18" t="s">
        <v>1071</v>
      </c>
      <c r="I123" s="18" t="s">
        <v>1034</v>
      </c>
      <c r="J123" s="17" t="b">
        <v>0</v>
      </c>
    </row>
    <row r="124">
      <c r="A124" s="17"/>
      <c r="B124" s="18" t="s">
        <v>108</v>
      </c>
      <c r="C124" s="17" t="str">
        <f>IFERROR(VLOOKUP(B124,'MASTER DATA'!$A$1:$E$212,2,FALSE),"")</f>
        <v>BB-100500</v>
      </c>
      <c r="D124" s="17" t="str">
        <f>IFERROR(VLOOKUP(B124,'MASTER DATA'!$A$1:$E$212,5,FALSE),"")</f>
        <v>BAHAN BAKU LUUCA</v>
      </c>
      <c r="E124" s="17">
        <f>14</f>
        <v>14</v>
      </c>
      <c r="F124" s="17" t="str">
        <f>IFERROR(VLOOKUP(B124,'MASTER DATA'!$A$1:$E$212,4,FALSE),"")</f>
        <v>GR</v>
      </c>
      <c r="G124" s="18" t="s">
        <v>819</v>
      </c>
      <c r="H124" s="18" t="s">
        <v>1071</v>
      </c>
      <c r="I124" s="18" t="s">
        <v>1041</v>
      </c>
      <c r="J124" s="17" t="b">
        <v>0</v>
      </c>
    </row>
    <row r="125">
      <c r="A125" s="18" t="s">
        <v>1178</v>
      </c>
      <c r="B125" s="18" t="s">
        <v>33</v>
      </c>
      <c r="C125" s="17" t="str">
        <f>IFERROR(VLOOKUP(B125,'MASTER DATA'!$A$1:$E$212,2,FALSE),"")</f>
        <v>BB-100022</v>
      </c>
      <c r="D125" s="17" t="str">
        <f>IFERROR(VLOOKUP(B125,'MASTER DATA'!$A$1:$E$212,5,FALSE),"")</f>
        <v>BAHAN BAKU LUUCA</v>
      </c>
      <c r="E125" s="18">
        <v>566.0</v>
      </c>
      <c r="F125" s="17" t="str">
        <f>IFERROR(VLOOKUP(B125,'MASTER DATA'!$A$1:$E$212,4,FALSE),"")</f>
        <v>GR</v>
      </c>
      <c r="G125" s="18" t="s">
        <v>591</v>
      </c>
      <c r="H125" s="18" t="s">
        <v>1114</v>
      </c>
      <c r="I125" s="18" t="s">
        <v>1034</v>
      </c>
      <c r="J125" s="17" t="b">
        <v>0</v>
      </c>
    </row>
    <row r="126">
      <c r="A126" s="18" t="s">
        <v>1179</v>
      </c>
      <c r="B126" s="18" t="s">
        <v>108</v>
      </c>
      <c r="C126" s="17" t="str">
        <f>IFERROR(VLOOKUP(B126,'MASTER DATA'!$A$1:$E$212,2,FALSE),"")</f>
        <v>BB-100500</v>
      </c>
      <c r="D126" s="17" t="str">
        <f>IFERROR(VLOOKUP(B126,'MASTER DATA'!$A$1:$E$212,5,FALSE),"")</f>
        <v>BAHAN BAKU LUUCA</v>
      </c>
      <c r="E126" s="18">
        <v>6.3</v>
      </c>
      <c r="F126" s="17" t="str">
        <f>IFERROR(VLOOKUP(B126,'MASTER DATA'!$A$1:$E$212,4,FALSE),"")</f>
        <v>GR</v>
      </c>
      <c r="G126" s="18" t="s">
        <v>819</v>
      </c>
      <c r="H126" s="18" t="s">
        <v>1016</v>
      </c>
      <c r="I126" s="18" t="s">
        <v>1041</v>
      </c>
      <c r="J126" s="17" t="b">
        <v>0</v>
      </c>
    </row>
    <row r="127">
      <c r="A127" s="17"/>
      <c r="B127" s="18" t="s">
        <v>34</v>
      </c>
      <c r="C127" s="17" t="str">
        <f>IFERROR(VLOOKUP(B127,'MASTER DATA'!$A$1:$E$212,2,FALSE),"")</f>
        <v>BB-100023</v>
      </c>
      <c r="D127" s="17" t="str">
        <f>IFERROR(VLOOKUP(B127,'MASTER DATA'!$A$1:$E$212,5,FALSE),"")</f>
        <v>BAHAN BAKU LUUCA</v>
      </c>
      <c r="E127" s="18">
        <v>522.5</v>
      </c>
      <c r="F127" s="17" t="str">
        <f>IFERROR(VLOOKUP(B127,'MASTER DATA'!$A$1:$E$212,4,FALSE),"")</f>
        <v>GR</v>
      </c>
      <c r="G127" s="18" t="s">
        <v>591</v>
      </c>
      <c r="H127" s="18" t="s">
        <v>595</v>
      </c>
      <c r="I127" s="18" t="s">
        <v>1034</v>
      </c>
      <c r="J127" s="17" t="b">
        <v>0</v>
      </c>
    </row>
    <row r="128">
      <c r="A128" s="17"/>
      <c r="B128" s="18" t="s">
        <v>108</v>
      </c>
      <c r="C128" s="17" t="str">
        <f>IFERROR(VLOOKUP(B128,'MASTER DATA'!$A$1:$E$212,2,FALSE),"")</f>
        <v>BB-100500</v>
      </c>
      <c r="D128" s="17" t="str">
        <f>IFERROR(VLOOKUP(B128,'MASTER DATA'!$A$1:$E$212,5,FALSE),"")</f>
        <v>BAHAN BAKU LUUCA</v>
      </c>
      <c r="E128" s="18">
        <v>8.0</v>
      </c>
      <c r="F128" s="17" t="str">
        <f>IFERROR(VLOOKUP(B128,'MASTER DATA'!$A$1:$E$212,4,FALSE),"")</f>
        <v>GR</v>
      </c>
      <c r="G128" s="18" t="s">
        <v>797</v>
      </c>
      <c r="H128" s="18" t="s">
        <v>522</v>
      </c>
      <c r="I128" s="18" t="s">
        <v>1034</v>
      </c>
      <c r="J128" s="17" t="b">
        <v>0</v>
      </c>
    </row>
    <row r="129">
      <c r="A129" s="17"/>
      <c r="B129" s="18" t="s">
        <v>109</v>
      </c>
      <c r="C129" s="17" t="str">
        <f>IFERROR(VLOOKUP(B129,'MASTER DATA'!$A$1:$E$212,2,FALSE),"")</f>
        <v>BB-100501</v>
      </c>
      <c r="D129" s="17" t="str">
        <f>IFERROR(VLOOKUP(B129,'MASTER DATA'!$A$1:$E$212,5,FALSE),"")</f>
        <v>BAHAN BAKU LUUCA</v>
      </c>
      <c r="E129" s="18" t="s">
        <v>924</v>
      </c>
      <c r="F129" s="17" t="str">
        <f>IFERROR(VLOOKUP(B129,'MASTER DATA'!$A$1:$E$212,4,FALSE),"")</f>
        <v>GR</v>
      </c>
      <c r="G129" s="18" t="s">
        <v>1120</v>
      </c>
      <c r="H129" s="18" t="s">
        <v>595</v>
      </c>
      <c r="I129" s="18" t="s">
        <v>1034</v>
      </c>
      <c r="J129" s="17" t="b">
        <v>0</v>
      </c>
    </row>
    <row r="130">
      <c r="A130" s="17"/>
      <c r="B130" s="18" t="s">
        <v>108</v>
      </c>
      <c r="C130" s="17" t="str">
        <f>IFERROR(VLOOKUP(B130,'MASTER DATA'!$A$1:$E$212,2,FALSE),"")</f>
        <v>BB-100500</v>
      </c>
      <c r="D130" s="17" t="str">
        <f>IFERROR(VLOOKUP(B130,'MASTER DATA'!$A$1:$E$212,5,FALSE),"")</f>
        <v>BAHAN BAKU LUUCA</v>
      </c>
      <c r="E130" s="18" t="s">
        <v>1180</v>
      </c>
      <c r="F130" s="17" t="str">
        <f>IFERROR(VLOOKUP(B130,'MASTER DATA'!$A$1:$E$212,4,FALSE),"")</f>
        <v>GR</v>
      </c>
      <c r="G130" s="18" t="s">
        <v>797</v>
      </c>
      <c r="H130" s="18" t="s">
        <v>595</v>
      </c>
      <c r="I130" s="18" t="s">
        <v>1034</v>
      </c>
      <c r="J130" s="17" t="b">
        <v>0</v>
      </c>
    </row>
    <row r="131">
      <c r="A131" s="17"/>
      <c r="B131" s="18" t="s">
        <v>108</v>
      </c>
      <c r="C131" s="17" t="str">
        <f>IFERROR(VLOOKUP(B131,'MASTER DATA'!$A$1:$E$212,2,FALSE),"")</f>
        <v>BB-100500</v>
      </c>
      <c r="D131" s="17" t="str">
        <f>IFERROR(VLOOKUP(B131,'MASTER DATA'!$A$1:$E$212,5,FALSE),"")</f>
        <v>BAHAN BAKU LUUCA</v>
      </c>
      <c r="E131" s="18" t="s">
        <v>1181</v>
      </c>
      <c r="F131" s="17" t="str">
        <f>IFERROR(VLOOKUP(B131,'MASTER DATA'!$A$1:$E$212,4,FALSE),"")</f>
        <v>GR</v>
      </c>
      <c r="G131" s="18" t="s">
        <v>496</v>
      </c>
      <c r="H131" s="18" t="s">
        <v>1141</v>
      </c>
      <c r="I131" s="18" t="s">
        <v>1041</v>
      </c>
      <c r="J131" s="17" t="b">
        <v>0</v>
      </c>
    </row>
    <row r="132">
      <c r="A132" s="17"/>
      <c r="B132" s="18" t="s">
        <v>53</v>
      </c>
      <c r="C132" s="17" t="str">
        <f>IFERROR(VLOOKUP(B132,'MASTER DATA'!$A$1:$E$212,2,FALSE),"")</f>
        <v>BB-100502</v>
      </c>
      <c r="D132" s="17" t="str">
        <f>IFERROR(VLOOKUP(B132,'MASTER DATA'!$A$1:$E$212,5,FALSE),"")</f>
        <v>BAHAN BAKU LUUCA</v>
      </c>
      <c r="E132" s="18" t="s">
        <v>612</v>
      </c>
      <c r="F132" s="17" t="str">
        <f>IFERROR(VLOOKUP(B132,'MASTER DATA'!$A$1:$E$212,4,FALSE),"")</f>
        <v>GR</v>
      </c>
      <c r="G132" s="18" t="s">
        <v>921</v>
      </c>
      <c r="H132" s="18" t="s">
        <v>1141</v>
      </c>
      <c r="I132" s="18" t="s">
        <v>1034</v>
      </c>
      <c r="J132" s="17" t="b">
        <v>0</v>
      </c>
    </row>
    <row r="133">
      <c r="A133" s="36">
        <v>46263.0</v>
      </c>
      <c r="B133" s="18" t="s">
        <v>108</v>
      </c>
      <c r="C133" s="17" t="str">
        <f>IFERROR(VLOOKUP(B133,'MASTER DATA'!$A$1:$E$212,2,FALSE),"")</f>
        <v>BB-100500</v>
      </c>
      <c r="D133" s="17" t="str">
        <f>IFERROR(VLOOKUP(B133,'MASTER DATA'!$A$1:$E$212,5,FALSE),"")</f>
        <v>BAHAN BAKU LUUCA</v>
      </c>
      <c r="E133" s="18" t="s">
        <v>1106</v>
      </c>
      <c r="F133" s="17" t="str">
        <f>IFERROR(VLOOKUP(B133,'MASTER DATA'!$A$1:$E$212,4,FALSE),"")</f>
        <v>GR</v>
      </c>
      <c r="G133" s="18" t="s">
        <v>792</v>
      </c>
      <c r="H133" s="18" t="s">
        <v>522</v>
      </c>
      <c r="I133" s="18" t="s">
        <v>1034</v>
      </c>
      <c r="J133" s="17" t="b">
        <v>0</v>
      </c>
    </row>
    <row r="134">
      <c r="A134" s="17"/>
      <c r="B134" s="18" t="s">
        <v>220</v>
      </c>
      <c r="C134" s="17" t="str">
        <f>IFERROR(VLOOKUP(B134,'MASTER DATA'!$A$1:$E$212,2,FALSE),"")</f>
        <v>BB-100507</v>
      </c>
      <c r="D134" s="17" t="str">
        <f>IFERROR(VLOOKUP(B134,'MASTER DATA'!$A$1:$E$212,5,FALSE),"")</f>
        <v>PRODUKSI STOK LUUCA</v>
      </c>
      <c r="E134" s="18">
        <v>7.0</v>
      </c>
      <c r="F134" s="17" t="str">
        <f>IFERROR(VLOOKUP(B134,'MASTER DATA'!$A$1:$E$212,4,FALSE),"")</f>
        <v>PCS</v>
      </c>
      <c r="G134" s="18" t="s">
        <v>830</v>
      </c>
      <c r="H134" s="18" t="s">
        <v>522</v>
      </c>
      <c r="I134" s="18" t="s">
        <v>1041</v>
      </c>
      <c r="J134" s="17" t="b">
        <v>0</v>
      </c>
    </row>
    <row r="135">
      <c r="A135" s="17"/>
      <c r="B135" s="18" t="s">
        <v>220</v>
      </c>
      <c r="C135" s="17" t="str">
        <f>IFERROR(VLOOKUP(B135,'MASTER DATA'!$A$1:$E$212,2,FALSE),"")</f>
        <v>BB-100507</v>
      </c>
      <c r="D135" s="17" t="str">
        <f>IFERROR(VLOOKUP(B135,'MASTER DATA'!$A$1:$E$212,5,FALSE),"")</f>
        <v>PRODUKSI STOK LUUCA</v>
      </c>
      <c r="E135" s="18">
        <v>3.0</v>
      </c>
      <c r="F135" s="17" t="str">
        <f>IFERROR(VLOOKUP(B135,'MASTER DATA'!$A$1:$E$212,4,FALSE),"")</f>
        <v>PCS</v>
      </c>
      <c r="G135" s="18" t="s">
        <v>830</v>
      </c>
      <c r="H135" s="18" t="s">
        <v>522</v>
      </c>
      <c r="I135" s="18" t="s">
        <v>1041</v>
      </c>
      <c r="J135" s="17" t="b">
        <v>0</v>
      </c>
    </row>
    <row r="136">
      <c r="A136" s="17"/>
      <c r="B136" s="18" t="s">
        <v>175</v>
      </c>
      <c r="C136" s="17" t="str">
        <f>IFERROR(VLOOKUP(B136,'MASTER DATA'!$A$1:$E$212,2,FALSE),"")</f>
        <v>P006-001</v>
      </c>
      <c r="D136" s="17" t="str">
        <f>IFERROR(VLOOKUP(B136,'MASTER DATA'!$A$1:$E$212,5,FALSE),"")</f>
        <v>PRODUKSI STOK LUUCA</v>
      </c>
      <c r="E136" s="18" t="s">
        <v>1182</v>
      </c>
      <c r="F136" s="17" t="str">
        <f>IFERROR(VLOOKUP(B136,'MASTER DATA'!$A$1:$E$212,4,FALSE),"")</f>
        <v>GR</v>
      </c>
      <c r="G136" s="18" t="s">
        <v>1183</v>
      </c>
      <c r="H136" s="18" t="s">
        <v>888</v>
      </c>
      <c r="I136" s="18" t="s">
        <v>1041</v>
      </c>
      <c r="J136" s="17" t="b">
        <v>0</v>
      </c>
    </row>
    <row r="137">
      <c r="A137" s="36">
        <v>46264.0</v>
      </c>
      <c r="B137" s="18" t="s">
        <v>34</v>
      </c>
      <c r="C137" s="17" t="str">
        <f>IFERROR(VLOOKUP(B137,'MASTER DATA'!$A$1:$E$212,2,FALSE),"")</f>
        <v>BB-100023</v>
      </c>
      <c r="D137" s="17" t="str">
        <f>IFERROR(VLOOKUP(B137,'MASTER DATA'!$A$1:$E$212,5,FALSE),"")</f>
        <v>BAHAN BAKU LUUCA</v>
      </c>
      <c r="E137" s="18">
        <v>723.0</v>
      </c>
      <c r="F137" s="17" t="str">
        <f>IFERROR(VLOOKUP(B137,'MASTER DATA'!$A$1:$E$212,4,FALSE),"")</f>
        <v>GR</v>
      </c>
      <c r="G137" s="18" t="s">
        <v>703</v>
      </c>
      <c r="H137" s="18" t="s">
        <v>1071</v>
      </c>
      <c r="I137" s="18" t="s">
        <v>1034</v>
      </c>
      <c r="J137" s="17" t="b">
        <v>0</v>
      </c>
    </row>
    <row r="138">
      <c r="A138" s="17"/>
      <c r="B138" s="18" t="s">
        <v>108</v>
      </c>
      <c r="C138" s="17" t="str">
        <f>IFERROR(VLOOKUP(B138,'MASTER DATA'!$A$1:$E$212,2,FALSE),"")</f>
        <v>BB-100500</v>
      </c>
      <c r="D138" s="17" t="str">
        <f>IFERROR(VLOOKUP(B138,'MASTER DATA'!$A$1:$E$212,5,FALSE),"")</f>
        <v>BAHAN BAKU LUUCA</v>
      </c>
      <c r="E138" s="18">
        <v>60.0</v>
      </c>
      <c r="F138" s="17" t="str">
        <f>IFERROR(VLOOKUP(B138,'MASTER DATA'!$A$1:$E$212,4,FALSE),"")</f>
        <v>GR</v>
      </c>
      <c r="G138" s="18" t="s">
        <v>792</v>
      </c>
      <c r="H138" s="18" t="s">
        <v>522</v>
      </c>
      <c r="I138" s="18" t="s">
        <v>1034</v>
      </c>
      <c r="J138" s="17" t="b">
        <v>0</v>
      </c>
    </row>
    <row r="139">
      <c r="A139" s="17"/>
      <c r="B139" s="18" t="s">
        <v>512</v>
      </c>
      <c r="C139" s="17" t="str">
        <f>IFERROR(VLOOKUP(B139,'MASTER DATA'!$A$1:$E$212,2,FALSE),"")</f>
        <v>P006-010</v>
      </c>
      <c r="D139" s="17" t="str">
        <f>IFERROR(VLOOKUP(B139,'MASTER DATA'!$A$1:$E$212,5,FALSE),"")</f>
        <v>PRODUKSI STOK LUUCA</v>
      </c>
      <c r="E139" s="18">
        <v>52.0</v>
      </c>
      <c r="F139" s="17" t="str">
        <f>IFERROR(VLOOKUP(B139,'MASTER DATA'!$A$1:$E$212,4,FALSE),"")</f>
        <v>GR</v>
      </c>
      <c r="G139" s="18" t="s">
        <v>1081</v>
      </c>
      <c r="H139" s="18" t="s">
        <v>522</v>
      </c>
      <c r="I139" s="18" t="s">
        <v>1041</v>
      </c>
      <c r="J139" s="17" t="b">
        <v>0</v>
      </c>
    </row>
    <row r="140">
      <c r="A140" s="17"/>
      <c r="B140" s="18" t="s">
        <v>34</v>
      </c>
      <c r="C140" s="17" t="str">
        <f>IFERROR(VLOOKUP(B140,'MASTER DATA'!$A$1:$E$212,2,FALSE),"")</f>
        <v>BB-100023</v>
      </c>
      <c r="D140" s="17" t="str">
        <f>IFERROR(VLOOKUP(B140,'MASTER DATA'!$A$1:$E$212,5,FALSE),"")</f>
        <v>BAHAN BAKU LUUCA</v>
      </c>
      <c r="E140" s="18" t="s">
        <v>1184</v>
      </c>
      <c r="F140" s="17" t="str">
        <f>IFERROR(VLOOKUP(B140,'MASTER DATA'!$A$1:$E$212,4,FALSE),"")</f>
        <v>GR</v>
      </c>
      <c r="G140" s="18" t="s">
        <v>703</v>
      </c>
      <c r="H140" s="18" t="s">
        <v>1016</v>
      </c>
      <c r="I140" s="18" t="s">
        <v>1034</v>
      </c>
      <c r="J140" s="17" t="b">
        <v>0</v>
      </c>
    </row>
    <row r="141">
      <c r="A141" s="17"/>
      <c r="B141" s="18" t="s">
        <v>108</v>
      </c>
      <c r="C141" s="17" t="str">
        <f>IFERROR(VLOOKUP(B141,'MASTER DATA'!$A$1:$E$212,2,FALSE),"")</f>
        <v>BB-100500</v>
      </c>
      <c r="D141" s="17" t="str">
        <f>IFERROR(VLOOKUP(B141,'MASTER DATA'!$A$1:$E$212,5,FALSE),"")</f>
        <v>BAHAN BAKU LUUCA</v>
      </c>
      <c r="E141" s="18" t="s">
        <v>1185</v>
      </c>
      <c r="F141" s="17" t="str">
        <f>IFERROR(VLOOKUP(B141,'MASTER DATA'!$A$1:$E$212,4,FALSE),"")</f>
        <v>GR</v>
      </c>
      <c r="G141" s="18" t="s">
        <v>797</v>
      </c>
      <c r="H141" s="18" t="s">
        <v>1079</v>
      </c>
      <c r="I141" s="18" t="s">
        <v>1034</v>
      </c>
      <c r="J141" s="17" t="b">
        <v>0</v>
      </c>
    </row>
    <row r="142">
      <c r="A142" s="17"/>
      <c r="B142" s="18" t="s">
        <v>108</v>
      </c>
      <c r="C142" s="17" t="str">
        <f>IFERROR(VLOOKUP(B142,'MASTER DATA'!$A$1:$E$212,2,FALSE),"")</f>
        <v>BB-100500</v>
      </c>
      <c r="D142" s="17" t="str">
        <f>IFERROR(VLOOKUP(B142,'MASTER DATA'!$A$1:$E$212,5,FALSE),"")</f>
        <v>BAHAN BAKU LUUCA</v>
      </c>
      <c r="E142" s="18" t="s">
        <v>981</v>
      </c>
      <c r="F142" s="17" t="str">
        <f>IFERROR(VLOOKUP(B142,'MASTER DATA'!$A$1:$E$212,4,FALSE),"")</f>
        <v>GR</v>
      </c>
      <c r="G142" s="18" t="s">
        <v>496</v>
      </c>
      <c r="H142" s="18" t="s">
        <v>1016</v>
      </c>
      <c r="I142" s="18" t="s">
        <v>1041</v>
      </c>
      <c r="J142" s="17" t="b">
        <v>0</v>
      </c>
    </row>
    <row r="143">
      <c r="A143" s="36">
        <v>46265.0</v>
      </c>
      <c r="B143" s="18" t="s">
        <v>108</v>
      </c>
      <c r="C143" s="17" t="str">
        <f>IFERROR(VLOOKUP(B143,'MASTER DATA'!$A$1:$E$212,2,FALSE),"")</f>
        <v>BB-100500</v>
      </c>
      <c r="D143" s="17" t="str">
        <f>IFERROR(VLOOKUP(B143,'MASTER DATA'!$A$1:$E$212,5,FALSE),"")</f>
        <v>BAHAN BAKU LUUCA</v>
      </c>
      <c r="E143" s="18">
        <f>8+12</f>
        <v>20</v>
      </c>
      <c r="F143" s="17" t="str">
        <f>IFERROR(VLOOKUP(B143,'MASTER DATA'!$A$1:$E$212,4,FALSE),"")</f>
        <v>GR</v>
      </c>
      <c r="G143" s="18" t="s">
        <v>797</v>
      </c>
      <c r="H143" s="18" t="s">
        <v>1079</v>
      </c>
      <c r="I143" s="18" t="s">
        <v>1034</v>
      </c>
      <c r="J143" s="17" t="b">
        <v>0</v>
      </c>
    </row>
    <row r="144">
      <c r="A144" s="17"/>
      <c r="B144" s="18" t="s">
        <v>108</v>
      </c>
      <c r="C144" s="17" t="str">
        <f>IFERROR(VLOOKUP(B144,'MASTER DATA'!$A$1:$E$212,2,FALSE),"")</f>
        <v>BB-100500</v>
      </c>
      <c r="D144" s="17" t="str">
        <f>IFERROR(VLOOKUP(B144,'MASTER DATA'!$A$1:$E$212,5,FALSE),"")</f>
        <v>BAHAN BAKU LUUCA</v>
      </c>
      <c r="E144" s="18">
        <f>57+9</f>
        <v>66</v>
      </c>
      <c r="F144" s="17" t="str">
        <f>IFERROR(VLOOKUP(B144,'MASTER DATA'!$A$1:$E$212,4,FALSE),"")</f>
        <v>GR</v>
      </c>
      <c r="G144" s="18" t="s">
        <v>819</v>
      </c>
      <c r="H144" s="18" t="s">
        <v>1079</v>
      </c>
      <c r="I144" s="18" t="s">
        <v>1041</v>
      </c>
      <c r="J144" s="17" t="b">
        <v>0</v>
      </c>
    </row>
    <row r="145">
      <c r="A145" s="17"/>
      <c r="B145" s="17"/>
      <c r="C145" s="17" t="str">
        <f>IFERROR(VLOOKUP(B145,'MASTER DATA'!$A$1:$E$212,2,FALSE),"")</f>
        <v/>
      </c>
      <c r="D145" s="17" t="str">
        <f>IFERROR(VLOOKUP(B145,'MASTER DATA'!$A$1:$E$212,5,FALSE),"")</f>
        <v/>
      </c>
      <c r="E145" s="17"/>
      <c r="F145" s="17" t="str">
        <f>IFERROR(VLOOKUP(B145,'MASTER DATA'!$A$1:$E$212,4,FALSE),"")</f>
        <v/>
      </c>
      <c r="G145" s="17"/>
      <c r="H145" s="17"/>
      <c r="I145" s="17"/>
      <c r="J145" s="17" t="b">
        <v>0</v>
      </c>
    </row>
    <row r="146">
      <c r="A146" s="17"/>
      <c r="B146" s="17"/>
      <c r="C146" s="17" t="str">
        <f>IFERROR(VLOOKUP(B146,'MASTER DATA'!$A$1:$E$212,2,FALSE),"")</f>
        <v/>
      </c>
      <c r="D146" s="17" t="str">
        <f>IFERROR(VLOOKUP(B146,'MASTER DATA'!$A$1:$E$212,5,FALSE),"")</f>
        <v/>
      </c>
      <c r="E146" s="17"/>
      <c r="F146" s="17" t="str">
        <f>IFERROR(VLOOKUP(B146,'MASTER DATA'!$A$1:$E$212,4,FALSE),"")</f>
        <v/>
      </c>
      <c r="G146" s="17"/>
      <c r="H146" s="17"/>
      <c r="I146" s="17"/>
      <c r="J146" s="17" t="b">
        <v>0</v>
      </c>
    </row>
    <row r="147">
      <c r="A147" s="17"/>
      <c r="B147" s="17"/>
      <c r="C147" s="17" t="str">
        <f>IFERROR(VLOOKUP(B147,'MASTER DATA'!$A$1:$E$212,2,FALSE),"")</f>
        <v/>
      </c>
      <c r="D147" s="17" t="str">
        <f>IFERROR(VLOOKUP(B147,'MASTER DATA'!$A$1:$E$212,5,FALSE),"")</f>
        <v/>
      </c>
      <c r="E147" s="17"/>
      <c r="F147" s="17" t="str">
        <f>IFERROR(VLOOKUP(B147,'MASTER DATA'!$A$1:$E$212,4,FALSE),"")</f>
        <v/>
      </c>
      <c r="G147" s="17"/>
      <c r="H147" s="17"/>
      <c r="I147" s="17"/>
      <c r="J147" s="17" t="b">
        <v>0</v>
      </c>
    </row>
    <row r="148">
      <c r="A148" s="17"/>
      <c r="B148" s="17"/>
      <c r="C148" s="17" t="str">
        <f>IFERROR(VLOOKUP(B148,'MASTER DATA'!$A$1:$E$212,2,FALSE),"")</f>
        <v/>
      </c>
      <c r="D148" s="17" t="str">
        <f>IFERROR(VLOOKUP(B148,'MASTER DATA'!$A$1:$E$212,5,FALSE),"")</f>
        <v/>
      </c>
      <c r="E148" s="17"/>
      <c r="F148" s="17" t="str">
        <f>IFERROR(VLOOKUP(B148,'MASTER DATA'!$A$1:$E$212,4,FALSE),"")</f>
        <v/>
      </c>
      <c r="G148" s="17"/>
      <c r="H148" s="17"/>
      <c r="I148" s="17"/>
      <c r="J148" s="17" t="b">
        <v>0</v>
      </c>
    </row>
    <row r="149">
      <c r="A149" s="17"/>
      <c r="B149" s="17"/>
      <c r="C149" s="17" t="str">
        <f>IFERROR(VLOOKUP(B149,'MASTER DATA'!$A$1:$E$212,2,FALSE),"")</f>
        <v/>
      </c>
      <c r="D149" s="17" t="str">
        <f>IFERROR(VLOOKUP(B149,'MASTER DATA'!$A$1:$E$212,5,FALSE),"")</f>
        <v/>
      </c>
      <c r="E149" s="17"/>
      <c r="F149" s="17" t="str">
        <f>IFERROR(VLOOKUP(B149,'MASTER DATA'!$A$1:$E$212,4,FALSE),"")</f>
        <v/>
      </c>
      <c r="G149" s="17"/>
      <c r="H149" s="17"/>
      <c r="I149" s="17"/>
      <c r="J149" s="17" t="b">
        <v>0</v>
      </c>
    </row>
    <row r="150">
      <c r="A150" s="17"/>
      <c r="B150" s="17"/>
      <c r="C150" s="17" t="str">
        <f>IFERROR(VLOOKUP(B150,'MASTER DATA'!$A$1:$E$212,2,FALSE),"")</f>
        <v/>
      </c>
      <c r="D150" s="17" t="str">
        <f>IFERROR(VLOOKUP(B150,'MASTER DATA'!$A$1:$E$212,5,FALSE),"")</f>
        <v/>
      </c>
      <c r="E150" s="17"/>
      <c r="F150" s="17" t="str">
        <f>IFERROR(VLOOKUP(B150,'MASTER DATA'!$A$1:$E$212,4,FALSE),"")</f>
        <v/>
      </c>
      <c r="G150" s="17"/>
      <c r="H150" s="17"/>
      <c r="I150" s="17"/>
      <c r="J150" s="17" t="b">
        <v>0</v>
      </c>
    </row>
    <row r="151">
      <c r="A151" s="17"/>
      <c r="B151" s="17"/>
      <c r="C151" s="17" t="str">
        <f>IFERROR(VLOOKUP(B151,'MASTER DATA'!$A$1:$E$212,2,FALSE),"")</f>
        <v/>
      </c>
      <c r="D151" s="17" t="str">
        <f>IFERROR(VLOOKUP(B151,'MASTER DATA'!$A$1:$E$212,5,FALSE),"")</f>
        <v/>
      </c>
      <c r="E151" s="17"/>
      <c r="F151" s="17" t="str">
        <f>IFERROR(VLOOKUP(B151,'MASTER DATA'!$A$1:$E$212,4,FALSE),"")</f>
        <v/>
      </c>
      <c r="G151" s="17"/>
      <c r="H151" s="17"/>
      <c r="I151" s="17"/>
      <c r="J151" s="17" t="b">
        <v>0</v>
      </c>
    </row>
    <row r="152">
      <c r="A152" s="17"/>
      <c r="B152" s="17"/>
      <c r="C152" s="17" t="str">
        <f>IFERROR(VLOOKUP(B152,'MASTER DATA'!$A$1:$E$212,2,FALSE),"")</f>
        <v/>
      </c>
      <c r="D152" s="17" t="str">
        <f>IFERROR(VLOOKUP(B152,'MASTER DATA'!$A$1:$E$212,5,FALSE),"")</f>
        <v/>
      </c>
      <c r="E152" s="17"/>
      <c r="F152" s="17" t="str">
        <f>IFERROR(VLOOKUP(B152,'MASTER DATA'!$A$1:$E$212,4,FALSE),"")</f>
        <v/>
      </c>
      <c r="G152" s="17"/>
      <c r="H152" s="17"/>
      <c r="I152" s="17"/>
      <c r="J152" s="17" t="b">
        <v>0</v>
      </c>
    </row>
    <row r="153">
      <c r="A153" s="17"/>
      <c r="B153" s="17"/>
      <c r="C153" s="17" t="str">
        <f>IFERROR(VLOOKUP(B153,'MASTER DATA'!$A$1:$E$212,2,FALSE),"")</f>
        <v/>
      </c>
      <c r="D153" s="17" t="str">
        <f>IFERROR(VLOOKUP(B153,'MASTER DATA'!$A$1:$E$212,5,FALSE),"")</f>
        <v/>
      </c>
      <c r="E153" s="17"/>
      <c r="F153" s="17" t="str">
        <f>IFERROR(VLOOKUP(B153,'MASTER DATA'!$A$1:$E$212,4,FALSE),"")</f>
        <v/>
      </c>
      <c r="G153" s="17"/>
      <c r="H153" s="17"/>
      <c r="I153" s="17"/>
      <c r="J153" s="17" t="b">
        <v>0</v>
      </c>
    </row>
    <row r="154">
      <c r="A154" s="17"/>
      <c r="B154" s="17"/>
      <c r="C154" s="17" t="str">
        <f>IFERROR(VLOOKUP(B154,'MASTER DATA'!$A$1:$E$212,2,FALSE),"")</f>
        <v/>
      </c>
      <c r="D154" s="17" t="str">
        <f>IFERROR(VLOOKUP(B154,'MASTER DATA'!$A$1:$E$212,5,FALSE),"")</f>
        <v/>
      </c>
      <c r="E154" s="17"/>
      <c r="F154" s="17" t="str">
        <f>IFERROR(VLOOKUP(B154,'MASTER DATA'!$A$1:$E$212,4,FALSE),"")</f>
        <v/>
      </c>
      <c r="G154" s="17"/>
      <c r="H154" s="17"/>
      <c r="I154" s="17"/>
      <c r="J154" s="17" t="b">
        <v>0</v>
      </c>
    </row>
    <row r="155">
      <c r="A155" s="17"/>
      <c r="B155" s="17"/>
      <c r="C155" s="17" t="str">
        <f>IFERROR(VLOOKUP(B155,'MASTER DATA'!$A$1:$E$212,2,FALSE),"")</f>
        <v/>
      </c>
      <c r="D155" s="17" t="str">
        <f>IFERROR(VLOOKUP(B155,'MASTER DATA'!$A$1:$E$212,5,FALSE),"")</f>
        <v/>
      </c>
      <c r="E155" s="17"/>
      <c r="F155" s="17" t="str">
        <f>IFERROR(VLOOKUP(B155,'MASTER DATA'!$A$1:$E$212,4,FALSE),"")</f>
        <v/>
      </c>
      <c r="G155" s="17"/>
      <c r="H155" s="17"/>
      <c r="I155" s="17"/>
      <c r="J155" s="17" t="b">
        <v>0</v>
      </c>
    </row>
    <row r="156">
      <c r="A156" s="17"/>
      <c r="B156" s="17"/>
      <c r="C156" s="17" t="str">
        <f>IFERROR(VLOOKUP(B156,'MASTER DATA'!$A$1:$E$212,2,FALSE),"")</f>
        <v/>
      </c>
      <c r="D156" s="17" t="str">
        <f>IFERROR(VLOOKUP(B156,'MASTER DATA'!$A$1:$E$212,5,FALSE),"")</f>
        <v/>
      </c>
      <c r="E156" s="17"/>
      <c r="F156" s="17" t="str">
        <f>IFERROR(VLOOKUP(B156,'MASTER DATA'!$A$1:$E$212,4,FALSE),"")</f>
        <v/>
      </c>
      <c r="G156" s="17"/>
      <c r="H156" s="17"/>
      <c r="I156" s="17"/>
      <c r="J156" s="17" t="b">
        <v>0</v>
      </c>
    </row>
    <row r="157">
      <c r="A157" s="17"/>
      <c r="B157" s="17"/>
      <c r="C157" s="17" t="str">
        <f>IFERROR(VLOOKUP(B157,'MASTER DATA'!$A$1:$E$212,2,FALSE),"")</f>
        <v/>
      </c>
      <c r="D157" s="17" t="str">
        <f>IFERROR(VLOOKUP(B157,'MASTER DATA'!$A$1:$E$212,5,FALSE),"")</f>
        <v/>
      </c>
      <c r="E157" s="17"/>
      <c r="F157" s="17" t="str">
        <f>IFERROR(VLOOKUP(B157,'MASTER DATA'!$A$1:$E$212,4,FALSE),"")</f>
        <v/>
      </c>
      <c r="G157" s="17"/>
      <c r="H157" s="17"/>
      <c r="I157" s="17"/>
      <c r="J157" s="17" t="b">
        <v>0</v>
      </c>
    </row>
    <row r="158">
      <c r="A158" s="17"/>
      <c r="B158" s="17"/>
      <c r="C158" s="17" t="str">
        <f>IFERROR(VLOOKUP(B158,'MASTER DATA'!$A$1:$E$212,2,FALSE),"")</f>
        <v/>
      </c>
      <c r="D158" s="17" t="str">
        <f>IFERROR(VLOOKUP(B158,'MASTER DATA'!$A$1:$E$212,5,FALSE),"")</f>
        <v/>
      </c>
      <c r="E158" s="17"/>
      <c r="F158" s="17" t="str">
        <f>IFERROR(VLOOKUP(B158,'MASTER DATA'!$A$1:$E$212,4,FALSE),"")</f>
        <v/>
      </c>
      <c r="G158" s="17"/>
      <c r="H158" s="17"/>
      <c r="I158" s="17"/>
      <c r="J158" s="17" t="b">
        <v>0</v>
      </c>
    </row>
    <row r="159">
      <c r="A159" s="17"/>
      <c r="B159" s="17"/>
      <c r="C159" s="17" t="str">
        <f>IFERROR(VLOOKUP(B159,'MASTER DATA'!$A$1:$E$212,2,FALSE),"")</f>
        <v/>
      </c>
      <c r="D159" s="17" t="str">
        <f>IFERROR(VLOOKUP(B159,'MASTER DATA'!$A$1:$E$212,5,FALSE),"")</f>
        <v/>
      </c>
      <c r="E159" s="17"/>
      <c r="F159" s="17" t="str">
        <f>IFERROR(VLOOKUP(B159,'MASTER DATA'!$A$1:$E$212,4,FALSE),"")</f>
        <v/>
      </c>
      <c r="G159" s="17"/>
      <c r="H159" s="17"/>
      <c r="I159" s="17"/>
      <c r="J159" s="17" t="b">
        <v>0</v>
      </c>
    </row>
    <row r="160">
      <c r="A160" s="17"/>
      <c r="B160" s="17"/>
      <c r="C160" s="17" t="str">
        <f>IFERROR(VLOOKUP(B160,'MASTER DATA'!$A$1:$E$212,2,FALSE),"")</f>
        <v/>
      </c>
      <c r="D160" s="17" t="str">
        <f>IFERROR(VLOOKUP(B160,'MASTER DATA'!$A$1:$E$212,5,FALSE),"")</f>
        <v/>
      </c>
      <c r="E160" s="17"/>
      <c r="F160" s="17" t="str">
        <f>IFERROR(VLOOKUP(B160,'MASTER DATA'!$A$1:$E$212,4,FALSE),"")</f>
        <v/>
      </c>
      <c r="G160" s="17"/>
      <c r="H160" s="17"/>
      <c r="I160" s="17"/>
      <c r="J160" s="17" t="b">
        <v>0</v>
      </c>
    </row>
    <row r="161">
      <c r="A161" s="17"/>
      <c r="B161" s="17"/>
      <c r="C161" s="17" t="str">
        <f>IFERROR(VLOOKUP(B161,'MASTER DATA'!$A$1:$E$212,2,FALSE),"")</f>
        <v/>
      </c>
      <c r="D161" s="17" t="str">
        <f>IFERROR(VLOOKUP(B161,'MASTER DATA'!$A$1:$E$212,5,FALSE),"")</f>
        <v/>
      </c>
      <c r="E161" s="17"/>
      <c r="F161" s="17" t="str">
        <f>IFERROR(VLOOKUP(B161,'MASTER DATA'!$A$1:$E$212,4,FALSE),"")</f>
        <v/>
      </c>
      <c r="G161" s="17"/>
      <c r="H161" s="17"/>
      <c r="I161" s="17"/>
      <c r="J161" s="17" t="b">
        <v>0</v>
      </c>
    </row>
    <row r="162">
      <c r="A162" s="17"/>
      <c r="B162" s="17"/>
      <c r="C162" s="17" t="str">
        <f>IFERROR(VLOOKUP(B162,'MASTER DATA'!$A$1:$E$212,2,FALSE),"")</f>
        <v/>
      </c>
      <c r="D162" s="17" t="str">
        <f>IFERROR(VLOOKUP(B162,'MASTER DATA'!$A$1:$E$212,5,FALSE),"")</f>
        <v/>
      </c>
      <c r="E162" s="17"/>
      <c r="F162" s="17" t="str">
        <f>IFERROR(VLOOKUP(B162,'MASTER DATA'!$A$1:$E$212,4,FALSE),"")</f>
        <v/>
      </c>
      <c r="G162" s="17"/>
      <c r="H162" s="17"/>
      <c r="I162" s="17"/>
      <c r="J162" s="17" t="b">
        <v>0</v>
      </c>
    </row>
    <row r="163">
      <c r="A163" s="17"/>
      <c r="B163" s="17"/>
      <c r="C163" s="17" t="str">
        <f>IFERROR(VLOOKUP(B163,'MASTER DATA'!$A$1:$E$212,2,FALSE),"")</f>
        <v/>
      </c>
      <c r="D163" s="17" t="str">
        <f>IFERROR(VLOOKUP(B163,'MASTER DATA'!$A$1:$E$212,5,FALSE),"")</f>
        <v/>
      </c>
      <c r="E163" s="17"/>
      <c r="F163" s="17" t="str">
        <f>IFERROR(VLOOKUP(B163,'MASTER DATA'!$A$1:$E$212,4,FALSE),"")</f>
        <v/>
      </c>
      <c r="G163" s="17"/>
      <c r="H163" s="17"/>
      <c r="I163" s="17"/>
      <c r="J163" s="17" t="b">
        <v>0</v>
      </c>
    </row>
    <row r="164">
      <c r="A164" s="17"/>
      <c r="B164" s="17"/>
      <c r="C164" s="17" t="str">
        <f>IFERROR(VLOOKUP(B164,'MASTER DATA'!$A$1:$E$212,2,FALSE),"")</f>
        <v/>
      </c>
      <c r="D164" s="17" t="str">
        <f>IFERROR(VLOOKUP(B164,'MASTER DATA'!$A$1:$E$212,5,FALSE),"")</f>
        <v/>
      </c>
      <c r="E164" s="17"/>
      <c r="F164" s="17" t="str">
        <f>IFERROR(VLOOKUP(B164,'MASTER DATA'!$A$1:$E$212,4,FALSE),"")</f>
        <v/>
      </c>
      <c r="G164" s="17"/>
      <c r="H164" s="17"/>
      <c r="I164" s="17"/>
      <c r="J164" s="17" t="b">
        <v>0</v>
      </c>
    </row>
    <row r="165">
      <c r="A165" s="17"/>
      <c r="B165" s="17"/>
      <c r="C165" s="17" t="str">
        <f>IFERROR(VLOOKUP(B165,'MASTER DATA'!$A$1:$E$212,2,FALSE),"")</f>
        <v/>
      </c>
      <c r="D165" s="17" t="str">
        <f>IFERROR(VLOOKUP(B165,'MASTER DATA'!$A$1:$E$212,5,FALSE),"")</f>
        <v/>
      </c>
      <c r="E165" s="17"/>
      <c r="F165" s="17" t="str">
        <f>IFERROR(VLOOKUP(B165,'MASTER DATA'!$A$1:$E$212,4,FALSE),"")</f>
        <v/>
      </c>
      <c r="G165" s="17"/>
      <c r="H165" s="17"/>
      <c r="I165" s="17"/>
      <c r="J165" s="17" t="b">
        <v>0</v>
      </c>
    </row>
    <row r="166">
      <c r="A166" s="17"/>
      <c r="B166" s="17"/>
      <c r="C166" s="17" t="str">
        <f>IFERROR(VLOOKUP(B166,'MASTER DATA'!$A$1:$E$212,2,FALSE),"")</f>
        <v/>
      </c>
      <c r="D166" s="17" t="str">
        <f>IFERROR(VLOOKUP(B166,'MASTER DATA'!$A$1:$E$212,5,FALSE),"")</f>
        <v/>
      </c>
      <c r="E166" s="17"/>
      <c r="F166" s="17" t="str">
        <f>IFERROR(VLOOKUP(B166,'MASTER DATA'!$A$1:$E$212,4,FALSE),"")</f>
        <v/>
      </c>
      <c r="G166" s="17"/>
      <c r="H166" s="17"/>
      <c r="I166" s="17"/>
      <c r="J166" s="17" t="b">
        <v>0</v>
      </c>
    </row>
    <row r="167">
      <c r="A167" s="17"/>
      <c r="B167" s="17"/>
      <c r="C167" s="17" t="str">
        <f>IFERROR(VLOOKUP(B167,'MASTER DATA'!$A$1:$E$212,2,FALSE),"")</f>
        <v/>
      </c>
      <c r="D167" s="17" t="str">
        <f>IFERROR(VLOOKUP(B167,'MASTER DATA'!$A$1:$E$212,5,FALSE),"")</f>
        <v/>
      </c>
      <c r="E167" s="17"/>
      <c r="F167" s="17" t="str">
        <f>IFERROR(VLOOKUP(B167,'MASTER DATA'!$A$1:$E$212,4,FALSE),"")</f>
        <v/>
      </c>
      <c r="G167" s="17"/>
      <c r="H167" s="17"/>
      <c r="I167" s="17"/>
      <c r="J167" s="17" t="b">
        <v>0</v>
      </c>
    </row>
    <row r="168">
      <c r="A168" s="17"/>
      <c r="B168" s="17"/>
      <c r="C168" s="17" t="str">
        <f>IFERROR(VLOOKUP(B168,'MASTER DATA'!$A$1:$E$212,2,FALSE),"")</f>
        <v/>
      </c>
      <c r="D168" s="17" t="str">
        <f>IFERROR(VLOOKUP(B168,'MASTER DATA'!$A$1:$E$212,5,FALSE),"")</f>
        <v/>
      </c>
      <c r="E168" s="17"/>
      <c r="F168" s="17" t="str">
        <f>IFERROR(VLOOKUP(B168,'MASTER DATA'!$A$1:$E$212,4,FALSE),"")</f>
        <v/>
      </c>
      <c r="G168" s="17"/>
      <c r="H168" s="17"/>
      <c r="I168" s="17"/>
      <c r="J168" s="17" t="b">
        <v>0</v>
      </c>
    </row>
    <row r="169">
      <c r="A169" s="17"/>
      <c r="B169" s="17"/>
      <c r="C169" s="17" t="str">
        <f>IFERROR(VLOOKUP(B169,'MASTER DATA'!$A$1:$E$212,2,FALSE),"")</f>
        <v/>
      </c>
      <c r="D169" s="17" t="str">
        <f>IFERROR(VLOOKUP(B169,'MASTER DATA'!$A$1:$E$212,5,FALSE),"")</f>
        <v/>
      </c>
      <c r="E169" s="17"/>
      <c r="F169" s="17" t="str">
        <f>IFERROR(VLOOKUP(B169,'MASTER DATA'!$A$1:$E$212,4,FALSE),"")</f>
        <v/>
      </c>
      <c r="G169" s="17"/>
      <c r="H169" s="17"/>
      <c r="I169" s="17"/>
      <c r="J169" s="17" t="b">
        <v>0</v>
      </c>
    </row>
    <row r="170">
      <c r="A170" s="17"/>
      <c r="B170" s="17"/>
      <c r="C170" s="17" t="str">
        <f>IFERROR(VLOOKUP(B170,'MASTER DATA'!$A$1:$E$212,2,FALSE),"")</f>
        <v/>
      </c>
      <c r="D170" s="17" t="str">
        <f>IFERROR(VLOOKUP(B170,'MASTER DATA'!$A$1:$E$212,5,FALSE),"")</f>
        <v/>
      </c>
      <c r="E170" s="17"/>
      <c r="F170" s="17" t="str">
        <f>IFERROR(VLOOKUP(B170,'MASTER DATA'!$A$1:$E$212,4,FALSE),"")</f>
        <v/>
      </c>
      <c r="G170" s="17"/>
      <c r="H170" s="17"/>
      <c r="I170" s="17"/>
      <c r="J170" s="17" t="b">
        <v>0</v>
      </c>
    </row>
    <row r="171">
      <c r="A171" s="17"/>
      <c r="B171" s="17"/>
      <c r="C171" s="17" t="str">
        <f>IFERROR(VLOOKUP(B171,'MASTER DATA'!$A$1:$E$212,2,FALSE),"")</f>
        <v/>
      </c>
      <c r="D171" s="17" t="str">
        <f>IFERROR(VLOOKUP(B171,'MASTER DATA'!$A$1:$E$212,5,FALSE),"")</f>
        <v/>
      </c>
      <c r="E171" s="17"/>
      <c r="F171" s="17" t="str">
        <f>IFERROR(VLOOKUP(B171,'MASTER DATA'!$A$1:$E$212,4,FALSE),"")</f>
        <v/>
      </c>
      <c r="G171" s="17"/>
      <c r="H171" s="17"/>
      <c r="I171" s="17"/>
      <c r="J171" s="17" t="b">
        <v>0</v>
      </c>
    </row>
    <row r="172">
      <c r="A172" s="17"/>
      <c r="B172" s="17"/>
      <c r="C172" s="17" t="str">
        <f>IFERROR(VLOOKUP(B172,'MASTER DATA'!$A$1:$E$212,2,FALSE),"")</f>
        <v/>
      </c>
      <c r="D172" s="17" t="str">
        <f>IFERROR(VLOOKUP(B172,'MASTER DATA'!$A$1:$E$212,5,FALSE),"")</f>
        <v/>
      </c>
      <c r="E172" s="17"/>
      <c r="F172" s="17" t="str">
        <f>IFERROR(VLOOKUP(B172,'MASTER DATA'!$A$1:$E$212,4,FALSE),"")</f>
        <v/>
      </c>
      <c r="G172" s="17"/>
      <c r="H172" s="17"/>
      <c r="I172" s="17"/>
      <c r="J172" s="17" t="b">
        <v>0</v>
      </c>
    </row>
    <row r="173">
      <c r="A173" s="17"/>
      <c r="B173" s="17"/>
      <c r="C173" s="17" t="str">
        <f>IFERROR(VLOOKUP(B173,'MASTER DATA'!$A$1:$E$212,2,FALSE),"")</f>
        <v/>
      </c>
      <c r="D173" s="17" t="str">
        <f>IFERROR(VLOOKUP(B173,'MASTER DATA'!$A$1:$E$212,5,FALSE),"")</f>
        <v/>
      </c>
      <c r="E173" s="17"/>
      <c r="F173" s="17" t="str">
        <f>IFERROR(VLOOKUP(B173,'MASTER DATA'!$A$1:$E$212,4,FALSE),"")</f>
        <v/>
      </c>
      <c r="G173" s="17"/>
      <c r="H173" s="17"/>
      <c r="I173" s="17"/>
      <c r="J173" s="17" t="b">
        <v>0</v>
      </c>
    </row>
    <row r="174">
      <c r="A174" s="17"/>
      <c r="B174" s="17"/>
      <c r="C174" s="17" t="str">
        <f>IFERROR(VLOOKUP(B174,'MASTER DATA'!$A$1:$E$212,2,FALSE),"")</f>
        <v/>
      </c>
      <c r="D174" s="17" t="str">
        <f>IFERROR(VLOOKUP(B174,'MASTER DATA'!$A$1:$E$212,5,FALSE),"")</f>
        <v/>
      </c>
      <c r="E174" s="17"/>
      <c r="F174" s="17" t="str">
        <f>IFERROR(VLOOKUP(B174,'MASTER DATA'!$A$1:$E$212,4,FALSE),"")</f>
        <v/>
      </c>
      <c r="G174" s="17"/>
      <c r="H174" s="17"/>
      <c r="I174" s="17"/>
      <c r="J174" s="17" t="b">
        <v>0</v>
      </c>
    </row>
    <row r="175">
      <c r="A175" s="17"/>
      <c r="B175" s="17"/>
      <c r="C175" s="17" t="str">
        <f>IFERROR(VLOOKUP(B175,'MASTER DATA'!$A$1:$E$212,2,FALSE),"")</f>
        <v/>
      </c>
      <c r="D175" s="17" t="str">
        <f>IFERROR(VLOOKUP(B175,'MASTER DATA'!$A$1:$E$212,5,FALSE),"")</f>
        <v/>
      </c>
      <c r="E175" s="17"/>
      <c r="F175" s="17" t="str">
        <f>IFERROR(VLOOKUP(B175,'MASTER DATA'!$A$1:$E$212,4,FALSE),"")</f>
        <v/>
      </c>
      <c r="G175" s="17"/>
      <c r="H175" s="17"/>
      <c r="I175" s="17"/>
      <c r="J175" s="17" t="b">
        <v>0</v>
      </c>
    </row>
    <row r="176">
      <c r="A176" s="17"/>
      <c r="B176" s="17"/>
      <c r="C176" s="17" t="str">
        <f>IFERROR(VLOOKUP(B176,'MASTER DATA'!$A$1:$E$212,2,FALSE),"")</f>
        <v/>
      </c>
      <c r="D176" s="17" t="str">
        <f>IFERROR(VLOOKUP(B176,'MASTER DATA'!$A$1:$E$212,5,FALSE),"")</f>
        <v/>
      </c>
      <c r="E176" s="17"/>
      <c r="F176" s="17" t="str">
        <f>IFERROR(VLOOKUP(B176,'MASTER DATA'!$A$1:$E$212,4,FALSE),"")</f>
        <v/>
      </c>
      <c r="G176" s="17"/>
      <c r="H176" s="17"/>
      <c r="I176" s="17"/>
      <c r="J176" s="17" t="b">
        <v>0</v>
      </c>
    </row>
    <row r="177">
      <c r="A177" s="17"/>
      <c r="B177" s="17"/>
      <c r="C177" s="17" t="str">
        <f>IFERROR(VLOOKUP(B177,'MASTER DATA'!$A$1:$E$212,2,FALSE),"")</f>
        <v/>
      </c>
      <c r="D177" s="17" t="str">
        <f>IFERROR(VLOOKUP(B177,'MASTER DATA'!$A$1:$E$212,5,FALSE),"")</f>
        <v/>
      </c>
      <c r="E177" s="17"/>
      <c r="F177" s="17" t="str">
        <f>IFERROR(VLOOKUP(B177,'MASTER DATA'!$A$1:$E$212,4,FALSE),"")</f>
        <v/>
      </c>
      <c r="G177" s="17"/>
      <c r="H177" s="17"/>
      <c r="I177" s="17"/>
      <c r="J177" s="17" t="b">
        <v>0</v>
      </c>
    </row>
    <row r="178">
      <c r="A178" s="17"/>
      <c r="B178" s="17"/>
      <c r="C178" s="17" t="str">
        <f>IFERROR(VLOOKUP(B178,'MASTER DATA'!$A$1:$E$212,2,FALSE),"")</f>
        <v/>
      </c>
      <c r="D178" s="17" t="str">
        <f>IFERROR(VLOOKUP(B178,'MASTER DATA'!$A$1:$E$212,5,FALSE),"")</f>
        <v/>
      </c>
      <c r="E178" s="17"/>
      <c r="F178" s="17" t="str">
        <f>IFERROR(VLOOKUP(B178,'MASTER DATA'!$A$1:$E$212,4,FALSE),"")</f>
        <v/>
      </c>
      <c r="G178" s="17"/>
      <c r="H178" s="17"/>
      <c r="I178" s="17"/>
      <c r="J178" s="17" t="b">
        <v>0</v>
      </c>
    </row>
    <row r="179">
      <c r="A179" s="17"/>
      <c r="B179" s="17"/>
      <c r="C179" s="17" t="str">
        <f>IFERROR(VLOOKUP(B179,'MASTER DATA'!$A$1:$E$212,2,FALSE),"")</f>
        <v/>
      </c>
      <c r="D179" s="17" t="str">
        <f>IFERROR(VLOOKUP(B179,'MASTER DATA'!$A$1:$E$212,5,FALSE),"")</f>
        <v/>
      </c>
      <c r="E179" s="17"/>
      <c r="F179" s="17" t="str">
        <f>IFERROR(VLOOKUP(B179,'MASTER DATA'!$A$1:$E$212,4,FALSE),"")</f>
        <v/>
      </c>
      <c r="G179" s="17"/>
      <c r="H179" s="17"/>
      <c r="I179" s="17"/>
      <c r="J179" s="17" t="b">
        <v>0</v>
      </c>
    </row>
    <row r="180">
      <c r="A180" s="17"/>
      <c r="B180" s="17"/>
      <c r="C180" s="17" t="str">
        <f>IFERROR(VLOOKUP(B180,'MASTER DATA'!$A$1:$E$212,2,FALSE),"")</f>
        <v/>
      </c>
      <c r="D180" s="17" t="str">
        <f>IFERROR(VLOOKUP(B180,'MASTER DATA'!$A$1:$E$212,5,FALSE),"")</f>
        <v/>
      </c>
      <c r="E180" s="17"/>
      <c r="F180" s="17" t="str">
        <f>IFERROR(VLOOKUP(B180,'MASTER DATA'!$A$1:$E$212,4,FALSE),"")</f>
        <v/>
      </c>
      <c r="G180" s="17"/>
      <c r="H180" s="17"/>
      <c r="I180" s="17"/>
      <c r="J180" s="17" t="b">
        <v>0</v>
      </c>
    </row>
    <row r="181">
      <c r="A181" s="17"/>
      <c r="B181" s="17"/>
      <c r="C181" s="17" t="str">
        <f>IFERROR(VLOOKUP(B181,'MASTER DATA'!$A$1:$E$212,2,FALSE),"")</f>
        <v/>
      </c>
      <c r="D181" s="17" t="str">
        <f>IFERROR(VLOOKUP(B181,'MASTER DATA'!$A$1:$E$212,5,FALSE),"")</f>
        <v/>
      </c>
      <c r="E181" s="17"/>
      <c r="F181" s="17" t="str">
        <f>IFERROR(VLOOKUP(B181,'MASTER DATA'!$A$1:$E$212,4,FALSE),"")</f>
        <v/>
      </c>
      <c r="G181" s="17"/>
      <c r="H181" s="17"/>
      <c r="I181" s="17"/>
      <c r="J181" s="17" t="b">
        <v>0</v>
      </c>
    </row>
    <row r="182">
      <c r="A182" s="17"/>
      <c r="B182" s="17"/>
      <c r="C182" s="17" t="str">
        <f>IFERROR(VLOOKUP(B182,'MASTER DATA'!$A$1:$E$212,2,FALSE),"")</f>
        <v/>
      </c>
      <c r="D182" s="17" t="str">
        <f>IFERROR(VLOOKUP(B182,'MASTER DATA'!$A$1:$E$212,5,FALSE),"")</f>
        <v/>
      </c>
      <c r="E182" s="17"/>
      <c r="F182" s="17" t="str">
        <f>IFERROR(VLOOKUP(B182,'MASTER DATA'!$A$1:$E$212,4,FALSE),"")</f>
        <v/>
      </c>
      <c r="G182" s="17"/>
      <c r="H182" s="17"/>
      <c r="I182" s="17"/>
      <c r="J182" s="17" t="b">
        <v>0</v>
      </c>
    </row>
    <row r="183">
      <c r="A183" s="17"/>
      <c r="B183" s="17"/>
      <c r="C183" s="17" t="str">
        <f>IFERROR(VLOOKUP(B183,'MASTER DATA'!$A$1:$E$212,2,FALSE),"")</f>
        <v/>
      </c>
      <c r="D183" s="17" t="str">
        <f>IFERROR(VLOOKUP(B183,'MASTER DATA'!$A$1:$E$212,5,FALSE),"")</f>
        <v/>
      </c>
      <c r="E183" s="17"/>
      <c r="F183" s="17" t="str">
        <f>IFERROR(VLOOKUP(B183,'MASTER DATA'!$A$1:$E$212,4,FALSE),"")</f>
        <v/>
      </c>
      <c r="G183" s="17"/>
      <c r="H183" s="17"/>
      <c r="I183" s="17"/>
      <c r="J183" s="17" t="b">
        <v>0</v>
      </c>
    </row>
    <row r="184">
      <c r="A184" s="17"/>
      <c r="B184" s="17"/>
      <c r="C184" s="17" t="str">
        <f>IFERROR(VLOOKUP(B184,'MASTER DATA'!$A$1:$E$212,2,FALSE),"")</f>
        <v/>
      </c>
      <c r="D184" s="17" t="str">
        <f>IFERROR(VLOOKUP(B184,'MASTER DATA'!$A$1:$E$212,5,FALSE),"")</f>
        <v/>
      </c>
      <c r="E184" s="17"/>
      <c r="F184" s="17" t="str">
        <f>IFERROR(VLOOKUP(B184,'MASTER DATA'!$A$1:$E$212,4,FALSE),"")</f>
        <v/>
      </c>
      <c r="G184" s="17"/>
      <c r="H184" s="17"/>
      <c r="I184" s="17"/>
      <c r="J184" s="17" t="b">
        <v>0</v>
      </c>
    </row>
    <row r="185">
      <c r="A185" s="17"/>
      <c r="B185" s="17"/>
      <c r="C185" s="17" t="str">
        <f>IFERROR(VLOOKUP(B185,'MASTER DATA'!$A$1:$E$212,2,FALSE),"")</f>
        <v/>
      </c>
      <c r="D185" s="17" t="str">
        <f>IFERROR(VLOOKUP(B185,'MASTER DATA'!$A$1:$E$212,5,FALSE),"")</f>
        <v/>
      </c>
      <c r="E185" s="17"/>
      <c r="F185" s="17" t="str">
        <f>IFERROR(VLOOKUP(B185,'MASTER DATA'!$A$1:$E$212,4,FALSE),"")</f>
        <v/>
      </c>
      <c r="G185" s="17"/>
      <c r="H185" s="17"/>
      <c r="I185" s="17"/>
      <c r="J185" s="17" t="b">
        <v>0</v>
      </c>
    </row>
    <row r="186">
      <c r="A186" s="17"/>
      <c r="B186" s="17"/>
      <c r="C186" s="17" t="str">
        <f>IFERROR(VLOOKUP(B186,'MASTER DATA'!$A$1:$E$212,2,FALSE),"")</f>
        <v/>
      </c>
      <c r="D186" s="17" t="str">
        <f>IFERROR(VLOOKUP(B186,'MASTER DATA'!$A$1:$E$212,5,FALSE),"")</f>
        <v/>
      </c>
      <c r="E186" s="17"/>
      <c r="F186" s="17" t="str">
        <f>IFERROR(VLOOKUP(B186,'MASTER DATA'!$A$1:$E$212,4,FALSE),"")</f>
        <v/>
      </c>
      <c r="G186" s="17"/>
      <c r="H186" s="17"/>
      <c r="I186" s="17"/>
      <c r="J186" s="17" t="b">
        <v>0</v>
      </c>
    </row>
    <row r="187">
      <c r="A187" s="17"/>
      <c r="B187" s="17"/>
      <c r="C187" s="17" t="str">
        <f>IFERROR(VLOOKUP(B187,'MASTER DATA'!$A$1:$E$212,2,FALSE),"")</f>
        <v/>
      </c>
      <c r="D187" s="17" t="str">
        <f>IFERROR(VLOOKUP(B187,'MASTER DATA'!$A$1:$E$212,5,FALSE),"")</f>
        <v/>
      </c>
      <c r="E187" s="17"/>
      <c r="F187" s="17" t="str">
        <f>IFERROR(VLOOKUP(B187,'MASTER DATA'!$A$1:$E$212,4,FALSE),"")</f>
        <v/>
      </c>
      <c r="G187" s="17"/>
      <c r="H187" s="17"/>
      <c r="I187" s="17"/>
      <c r="J187" s="17" t="b">
        <v>0</v>
      </c>
    </row>
    <row r="188">
      <c r="A188" s="17"/>
      <c r="B188" s="17"/>
      <c r="C188" s="17" t="str">
        <f>IFERROR(VLOOKUP(B188,'MASTER DATA'!$A$1:$E$212,2,FALSE),"")</f>
        <v/>
      </c>
      <c r="D188" s="17" t="str">
        <f>IFERROR(VLOOKUP(B188,'MASTER DATA'!$A$1:$E$212,5,FALSE),"")</f>
        <v/>
      </c>
      <c r="E188" s="17"/>
      <c r="F188" s="17" t="str">
        <f>IFERROR(VLOOKUP(B188,'MASTER DATA'!$A$1:$E$212,4,FALSE),"")</f>
        <v/>
      </c>
      <c r="G188" s="17"/>
      <c r="H188" s="17"/>
      <c r="I188" s="17"/>
      <c r="J188" s="17" t="b">
        <v>0</v>
      </c>
    </row>
    <row r="189">
      <c r="A189" s="17"/>
      <c r="B189" s="17"/>
      <c r="C189" s="17" t="str">
        <f>IFERROR(VLOOKUP(B189,'MASTER DATA'!$A$1:$E$212,2,FALSE),"")</f>
        <v/>
      </c>
      <c r="D189" s="17" t="str">
        <f>IFERROR(VLOOKUP(B189,'MASTER DATA'!$A$1:$E$212,5,FALSE),"")</f>
        <v/>
      </c>
      <c r="E189" s="17"/>
      <c r="F189" s="17" t="str">
        <f>IFERROR(VLOOKUP(B189,'MASTER DATA'!$A$1:$E$212,4,FALSE),"")</f>
        <v/>
      </c>
      <c r="G189" s="17"/>
      <c r="H189" s="17"/>
      <c r="I189" s="17"/>
      <c r="J189" s="17" t="b">
        <v>0</v>
      </c>
    </row>
    <row r="190">
      <c r="A190" s="17"/>
      <c r="B190" s="17"/>
      <c r="C190" s="17" t="str">
        <f>IFERROR(VLOOKUP(B190,'MASTER DATA'!$A$1:$E$212,2,FALSE),"")</f>
        <v/>
      </c>
      <c r="D190" s="17" t="str">
        <f>IFERROR(VLOOKUP(B190,'MASTER DATA'!$A$1:$E$212,5,FALSE),"")</f>
        <v/>
      </c>
      <c r="E190" s="17"/>
      <c r="F190" s="17" t="str">
        <f>IFERROR(VLOOKUP(B190,'MASTER DATA'!$A$1:$E$212,4,FALSE),"")</f>
        <v/>
      </c>
      <c r="G190" s="17"/>
      <c r="H190" s="17"/>
      <c r="I190" s="17"/>
      <c r="J190" s="17" t="b">
        <v>0</v>
      </c>
    </row>
    <row r="191">
      <c r="A191" s="17"/>
      <c r="B191" s="17"/>
      <c r="C191" s="17" t="str">
        <f>IFERROR(VLOOKUP(B191,'MASTER DATA'!$A$1:$E$212,2,FALSE),"")</f>
        <v/>
      </c>
      <c r="D191" s="17" t="str">
        <f>IFERROR(VLOOKUP(B191,'MASTER DATA'!$A$1:$E$212,5,FALSE),"")</f>
        <v/>
      </c>
      <c r="E191" s="17"/>
      <c r="F191" s="17" t="str">
        <f>IFERROR(VLOOKUP(B191,'MASTER DATA'!$A$1:$E$212,4,FALSE),"")</f>
        <v/>
      </c>
      <c r="G191" s="17"/>
      <c r="H191" s="17"/>
      <c r="I191" s="17"/>
      <c r="J191" s="17" t="b">
        <v>0</v>
      </c>
    </row>
    <row r="192">
      <c r="A192" s="17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 t="str">
        <f>IFERROR(VLOOKUP(B192,'MASTER DATA'!$A$1:$E$212,4,FALSE),"")</f>
        <v/>
      </c>
      <c r="G192" s="17"/>
      <c r="H192" s="17"/>
      <c r="I192" s="17"/>
      <c r="J192" s="17" t="b">
        <v>0</v>
      </c>
    </row>
    <row r="193">
      <c r="A193" s="17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 t="str">
        <f>IFERROR(VLOOKUP(B193,'MASTER DATA'!$A$1:$E$212,4,FALSE),"")</f>
        <v/>
      </c>
      <c r="G193" s="17"/>
      <c r="H193" s="17"/>
      <c r="I193" s="17"/>
      <c r="J193" s="17" t="b">
        <v>0</v>
      </c>
    </row>
    <row r="194">
      <c r="A194" s="17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 t="str">
        <f>IFERROR(VLOOKUP(B194,'MASTER DATA'!$A$1:$E$212,4,FALSE),"")</f>
        <v/>
      </c>
      <c r="G194" s="17"/>
      <c r="H194" s="17"/>
      <c r="I194" s="17"/>
      <c r="J194" s="17" t="b">
        <v>0</v>
      </c>
    </row>
    <row r="195">
      <c r="A195" s="17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 t="str">
        <f>IFERROR(VLOOKUP(B195,'MASTER DATA'!$A$1:$E$212,4,FALSE),"")</f>
        <v/>
      </c>
      <c r="G195" s="17"/>
      <c r="H195" s="17"/>
      <c r="I195" s="17"/>
      <c r="J195" s="17" t="b">
        <v>0</v>
      </c>
    </row>
    <row r="196">
      <c r="A196" s="17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 t="str">
        <f>IFERROR(VLOOKUP(B196,'MASTER DATA'!$A$1:$E$212,4,FALSE),"")</f>
        <v/>
      </c>
      <c r="G196" s="17"/>
      <c r="H196" s="17"/>
      <c r="I196" s="17"/>
      <c r="J196" s="17" t="b">
        <v>0</v>
      </c>
    </row>
    <row r="197">
      <c r="A197" s="17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 t="str">
        <f>IFERROR(VLOOKUP(B197,'MASTER DATA'!$A$1:$E$212,4,FALSE),"")</f>
        <v/>
      </c>
      <c r="G197" s="17"/>
      <c r="H197" s="17"/>
      <c r="I197" s="17"/>
      <c r="J197" s="17" t="b">
        <v>0</v>
      </c>
    </row>
    <row r="198">
      <c r="A198" s="17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 t="str">
        <f>IFERROR(VLOOKUP(B198,'MASTER DATA'!$A$1:$E$212,4,FALSE),"")</f>
        <v/>
      </c>
      <c r="G198" s="17"/>
      <c r="H198" s="17"/>
      <c r="I198" s="17"/>
      <c r="J198" s="17" t="b">
        <v>0</v>
      </c>
    </row>
    <row r="199">
      <c r="A199" s="17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 t="str">
        <f>IFERROR(VLOOKUP(B199,'MASTER DATA'!$A$1:$E$212,4,FALSE),"")</f>
        <v/>
      </c>
      <c r="G199" s="17"/>
      <c r="H199" s="17"/>
      <c r="I199" s="17"/>
      <c r="J199" s="17" t="b">
        <v>0</v>
      </c>
    </row>
    <row r="200">
      <c r="A200" s="17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 t="str">
        <f>IFERROR(VLOOKUP(B200,'MASTER DATA'!$A$1:$E$212,4,FALSE),"")</f>
        <v/>
      </c>
      <c r="G200" s="17"/>
      <c r="H200" s="17"/>
      <c r="I200" s="17"/>
      <c r="J200" s="17" t="b">
        <v>0</v>
      </c>
    </row>
    <row r="201">
      <c r="A201" s="17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 t="str">
        <f>IFERROR(VLOOKUP(B201,'MASTER DATA'!$A$1:$E$212,4,FALSE),"")</f>
        <v/>
      </c>
      <c r="G201" s="17"/>
      <c r="H201" s="17"/>
      <c r="I201" s="17"/>
      <c r="J201" s="17" t="b">
        <v>0</v>
      </c>
    </row>
    <row r="202">
      <c r="A202" s="17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 t="str">
        <f>IFERROR(VLOOKUP(B202,'MASTER DATA'!$A$1:$E$212,4,FALSE),"")</f>
        <v/>
      </c>
      <c r="G202" s="17"/>
      <c r="H202" s="17"/>
      <c r="I202" s="17"/>
      <c r="J202" s="17" t="b">
        <v>0</v>
      </c>
    </row>
    <row r="203">
      <c r="A203" s="17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 t="str">
        <f>IFERROR(VLOOKUP(B203,'MASTER DATA'!$A$1:$E$212,4,FALSE),"")</f>
        <v/>
      </c>
      <c r="G203" s="17"/>
      <c r="H203" s="17"/>
      <c r="I203" s="17"/>
      <c r="J203" s="17" t="b">
        <v>0</v>
      </c>
    </row>
    <row r="204">
      <c r="A204" s="17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 t="str">
        <f>IFERROR(VLOOKUP(B204,'MASTER DATA'!$A$1:$E$212,4,FALSE),"")</f>
        <v/>
      </c>
      <c r="G204" s="17"/>
      <c r="H204" s="17"/>
      <c r="I204" s="17"/>
      <c r="J204" s="17" t="b">
        <v>0</v>
      </c>
    </row>
    <row r="205">
      <c r="A205" s="17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 t="str">
        <f>IFERROR(VLOOKUP(B205,'MASTER DATA'!$A$1:$E$212,4,FALSE),"")</f>
        <v/>
      </c>
      <c r="G205" s="17"/>
      <c r="H205" s="17"/>
      <c r="I205" s="17"/>
      <c r="J205" s="17" t="b">
        <v>0</v>
      </c>
    </row>
    <row r="206">
      <c r="A206" s="17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 t="str">
        <f>IFERROR(VLOOKUP(B206,'MASTER DATA'!$A$1:$E$212,4,FALSE),"")</f>
        <v/>
      </c>
      <c r="G206" s="17"/>
      <c r="H206" s="17"/>
      <c r="I206" s="17"/>
      <c r="J206" s="17" t="b">
        <v>0</v>
      </c>
    </row>
    <row r="207">
      <c r="A207" s="17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 t="str">
        <f>IFERROR(VLOOKUP(B207,'MASTER DATA'!$A$1:$E$212,4,FALSE),"")</f>
        <v/>
      </c>
      <c r="G207" s="17"/>
      <c r="H207" s="17"/>
      <c r="I207" s="17"/>
      <c r="J207" s="17" t="b">
        <v>0</v>
      </c>
    </row>
    <row r="208">
      <c r="A208" s="17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 t="str">
        <f>IFERROR(VLOOKUP(B208,'MASTER DATA'!$A$1:$E$212,4,FALSE),"")</f>
        <v/>
      </c>
      <c r="G208" s="17"/>
      <c r="H208" s="17"/>
      <c r="I208" s="17"/>
      <c r="J208" s="17" t="b">
        <v>0</v>
      </c>
    </row>
    <row r="209">
      <c r="A209" s="17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 t="str">
        <f>IFERROR(VLOOKUP(B209,'MASTER DATA'!$A$1:$E$212,4,FALSE),"")</f>
        <v/>
      </c>
      <c r="G209" s="17"/>
      <c r="H209" s="17"/>
      <c r="I209" s="17"/>
      <c r="J209" s="17" t="b">
        <v>0</v>
      </c>
    </row>
    <row r="210">
      <c r="A210" s="17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 t="str">
        <f>IFERROR(VLOOKUP(B210,'MASTER DATA'!$A$1:$E$212,4,FALSE),"")</f>
        <v/>
      </c>
      <c r="G210" s="17"/>
      <c r="H210" s="17"/>
      <c r="I210" s="17"/>
      <c r="J210" s="17" t="b">
        <v>0</v>
      </c>
    </row>
    <row r="211">
      <c r="A211" s="17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 t="str">
        <f>IFERROR(VLOOKUP(B211,'MASTER DATA'!$A$1:$E$212,4,FALSE),"")</f>
        <v/>
      </c>
      <c r="G211" s="17"/>
      <c r="H211" s="17"/>
      <c r="I211" s="17"/>
      <c r="J211" s="17" t="b">
        <v>0</v>
      </c>
    </row>
    <row r="212">
      <c r="A212" s="17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 t="str">
        <f>IFERROR(VLOOKUP(B212,'MASTER DATA'!$A$1:$E$212,4,FALSE),"")</f>
        <v/>
      </c>
      <c r="G212" s="17"/>
      <c r="H212" s="17"/>
      <c r="I212" s="17"/>
      <c r="J212" s="17" t="b">
        <v>0</v>
      </c>
    </row>
    <row r="213">
      <c r="A213" s="17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 t="str">
        <f>IFERROR(VLOOKUP(B213,'MASTER DATA'!$A$1:$E$212,4,FALSE),"")</f>
        <v/>
      </c>
      <c r="G213" s="17"/>
      <c r="H213" s="17"/>
      <c r="I213" s="17"/>
      <c r="J213" s="17" t="b">
        <v>0</v>
      </c>
    </row>
    <row r="214">
      <c r="A214" s="17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 t="str">
        <f>IFERROR(VLOOKUP(B214,'MASTER DATA'!$A$1:$E$212,4,FALSE),"")</f>
        <v/>
      </c>
      <c r="G214" s="17"/>
      <c r="H214" s="17"/>
      <c r="I214" s="17"/>
      <c r="J214" s="17" t="b">
        <v>0</v>
      </c>
    </row>
    <row r="215">
      <c r="A215" s="17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 t="str">
        <f>IFERROR(VLOOKUP(B215,'MASTER DATA'!$A$1:$E$212,4,FALSE),"")</f>
        <v/>
      </c>
      <c r="G215" s="17"/>
      <c r="H215" s="17"/>
      <c r="I215" s="17"/>
      <c r="J215" s="17" t="b">
        <v>0</v>
      </c>
    </row>
    <row r="216">
      <c r="A216" s="17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 t="str">
        <f>IFERROR(VLOOKUP(B216,'MASTER DATA'!$A$1:$E$212,4,FALSE),"")</f>
        <v/>
      </c>
      <c r="G216" s="17"/>
      <c r="H216" s="17"/>
      <c r="I216" s="17"/>
      <c r="J216" s="17" t="b">
        <v>0</v>
      </c>
    </row>
    <row r="217">
      <c r="A217" s="17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 t="str">
        <f>IFERROR(VLOOKUP(B217,'MASTER DATA'!$A$1:$E$212,4,FALSE),"")</f>
        <v/>
      </c>
      <c r="G217" s="17"/>
      <c r="H217" s="17"/>
      <c r="I217" s="17"/>
      <c r="J217" s="17" t="b">
        <v>0</v>
      </c>
    </row>
    <row r="218">
      <c r="A218" s="17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 t="str">
        <f>IFERROR(VLOOKUP(B218,'MASTER DATA'!$A$1:$E$212,4,FALSE),"")</f>
        <v/>
      </c>
      <c r="G218" s="17"/>
      <c r="H218" s="17"/>
      <c r="I218" s="17"/>
      <c r="J218" s="17" t="b">
        <v>0</v>
      </c>
    </row>
    <row r="219">
      <c r="A219" s="17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 t="str">
        <f>IFERROR(VLOOKUP(B219,'MASTER DATA'!$A$1:$E$212,4,FALSE),"")</f>
        <v/>
      </c>
      <c r="G219" s="17"/>
      <c r="H219" s="17"/>
      <c r="I219" s="17"/>
      <c r="J219" s="17" t="b">
        <v>0</v>
      </c>
    </row>
    <row r="220">
      <c r="A220" s="17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 t="str">
        <f>IFERROR(VLOOKUP(B220,'MASTER DATA'!$A$1:$E$212,4,FALSE),"")</f>
        <v/>
      </c>
      <c r="G220" s="17"/>
      <c r="H220" s="17"/>
      <c r="I220" s="17"/>
      <c r="J220" s="17" t="b">
        <v>0</v>
      </c>
    </row>
    <row r="221">
      <c r="A221" s="17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 t="str">
        <f>IFERROR(VLOOKUP(B221,'MASTER DATA'!$A$1:$E$212,4,FALSE),"")</f>
        <v/>
      </c>
      <c r="G221" s="17"/>
      <c r="H221" s="17"/>
      <c r="I221" s="17"/>
      <c r="J221" s="17" t="b">
        <v>0</v>
      </c>
    </row>
    <row r="222">
      <c r="A222" s="17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 t="str">
        <f>IFERROR(VLOOKUP(B222,'MASTER DATA'!$A$1:$E$212,4,FALSE),"")</f>
        <v/>
      </c>
      <c r="G222" s="17"/>
      <c r="H222" s="17"/>
      <c r="I222" s="17"/>
      <c r="J222" s="17" t="b">
        <v>0</v>
      </c>
    </row>
    <row r="223">
      <c r="A223" s="17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 t="str">
        <f>IFERROR(VLOOKUP(B223,'MASTER DATA'!$A$1:$E$212,4,FALSE),"")</f>
        <v/>
      </c>
      <c r="G223" s="17"/>
      <c r="H223" s="17"/>
      <c r="I223" s="17"/>
      <c r="J223" s="17" t="b">
        <v>0</v>
      </c>
    </row>
    <row r="224">
      <c r="A224" s="17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 t="str">
        <f>IFERROR(VLOOKUP(B224,'MASTER DATA'!$A$1:$E$212,4,FALSE),"")</f>
        <v/>
      </c>
      <c r="G224" s="17"/>
      <c r="H224" s="17"/>
      <c r="I224" s="17"/>
      <c r="J224" s="17" t="b">
        <v>0</v>
      </c>
    </row>
    <row r="225">
      <c r="A225" s="17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 t="str">
        <f>IFERROR(VLOOKUP(B225,'MASTER DATA'!$A$1:$E$212,4,FALSE),"")</f>
        <v/>
      </c>
      <c r="G225" s="17"/>
      <c r="H225" s="17"/>
      <c r="I225" s="17"/>
      <c r="J225" s="17" t="b">
        <v>0</v>
      </c>
    </row>
    <row r="226">
      <c r="A226" s="17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 t="str">
        <f>IFERROR(VLOOKUP(B226,'MASTER DATA'!$A$1:$E$212,4,FALSE),"")</f>
        <v/>
      </c>
      <c r="G226" s="17"/>
      <c r="H226" s="17"/>
      <c r="I226" s="17"/>
      <c r="J226" s="17" t="b">
        <v>0</v>
      </c>
    </row>
    <row r="227">
      <c r="A227" s="17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 t="str">
        <f>IFERROR(VLOOKUP(B227,'MASTER DATA'!$A$1:$E$212,4,FALSE),"")</f>
        <v/>
      </c>
      <c r="G227" s="17"/>
      <c r="H227" s="17"/>
      <c r="I227" s="17"/>
      <c r="J227" s="17" t="b">
        <v>0</v>
      </c>
    </row>
    <row r="228">
      <c r="A228" s="17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 t="str">
        <f>IFERROR(VLOOKUP(B228,'MASTER DATA'!$A$1:$E$212,4,FALSE),"")</f>
        <v/>
      </c>
      <c r="G228" s="17"/>
      <c r="H228" s="17"/>
      <c r="I228" s="17"/>
      <c r="J228" s="17" t="b">
        <v>0</v>
      </c>
    </row>
    <row r="229">
      <c r="A229" s="17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 t="str">
        <f>IFERROR(VLOOKUP(B229,'MASTER DATA'!$A$1:$E$212,4,FALSE),"")</f>
        <v/>
      </c>
      <c r="G229" s="17"/>
      <c r="H229" s="17"/>
      <c r="I229" s="17"/>
      <c r="J229" s="17" t="b">
        <v>0</v>
      </c>
    </row>
    <row r="230">
      <c r="A230" s="17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 t="str">
        <f>IFERROR(VLOOKUP(B230,'MASTER DATA'!$A$1:$E$212,4,FALSE),"")</f>
        <v/>
      </c>
      <c r="G230" s="17"/>
      <c r="H230" s="17"/>
      <c r="I230" s="17"/>
      <c r="J230" s="17" t="b">
        <v>0</v>
      </c>
    </row>
    <row r="231">
      <c r="A231" s="17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 t="str">
        <f>IFERROR(VLOOKUP(B231,'MASTER DATA'!$A$1:$E$212,4,FALSE),"")</f>
        <v/>
      </c>
      <c r="G231" s="17"/>
      <c r="H231" s="17"/>
      <c r="I231" s="17"/>
      <c r="J231" s="17" t="b">
        <v>0</v>
      </c>
    </row>
    <row r="232">
      <c r="A232" s="17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 t="str">
        <f>IFERROR(VLOOKUP(B232,'MASTER DATA'!$A$1:$E$212,4,FALSE),"")</f>
        <v/>
      </c>
      <c r="G232" s="17"/>
      <c r="H232" s="17"/>
      <c r="I232" s="17"/>
      <c r="J232" s="17" t="b">
        <v>0</v>
      </c>
    </row>
    <row r="233">
      <c r="A233" s="17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 t="str">
        <f>IFERROR(VLOOKUP(B233,'MASTER DATA'!$A$1:$E$212,4,FALSE),"")</f>
        <v/>
      </c>
      <c r="G233" s="17"/>
      <c r="H233" s="17"/>
      <c r="I233" s="17"/>
      <c r="J233" s="17" t="b">
        <v>0</v>
      </c>
    </row>
    <row r="234">
      <c r="A234" s="17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 t="str">
        <f>IFERROR(VLOOKUP(B234,'MASTER DATA'!$A$1:$E$212,4,FALSE),"")</f>
        <v/>
      </c>
      <c r="G234" s="17"/>
      <c r="H234" s="17"/>
      <c r="I234" s="17"/>
      <c r="J234" s="17" t="b">
        <v>0</v>
      </c>
    </row>
    <row r="235">
      <c r="A235" s="17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 t="str">
        <f>IFERROR(VLOOKUP(B235,'MASTER DATA'!$A$1:$E$212,4,FALSE),"")</f>
        <v/>
      </c>
      <c r="G235" s="17"/>
      <c r="H235" s="17"/>
      <c r="I235" s="17"/>
      <c r="J235" s="17" t="b">
        <v>0</v>
      </c>
    </row>
    <row r="236">
      <c r="A236" s="17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 t="str">
        <f>IFERROR(VLOOKUP(B236,'MASTER DATA'!$A$1:$E$212,4,FALSE),"")</f>
        <v/>
      </c>
      <c r="G236" s="17"/>
      <c r="H236" s="17"/>
      <c r="I236" s="17"/>
      <c r="J236" s="17" t="b">
        <v>0</v>
      </c>
    </row>
    <row r="237">
      <c r="A237" s="17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 t="str">
        <f>IFERROR(VLOOKUP(B237,'MASTER DATA'!$A$1:$E$212,4,FALSE),"")</f>
        <v/>
      </c>
      <c r="G237" s="17"/>
      <c r="H237" s="17"/>
      <c r="I237" s="17"/>
      <c r="J237" s="17" t="b">
        <v>0</v>
      </c>
    </row>
    <row r="238">
      <c r="A238" s="17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 t="str">
        <f>IFERROR(VLOOKUP(B238,'MASTER DATA'!$A$1:$E$212,4,FALSE),"")</f>
        <v/>
      </c>
      <c r="G238" s="17"/>
      <c r="H238" s="17"/>
      <c r="I238" s="17"/>
      <c r="J238" s="17" t="b">
        <v>0</v>
      </c>
    </row>
    <row r="239">
      <c r="A239" s="17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 t="str">
        <f>IFERROR(VLOOKUP(B239,'MASTER DATA'!$A$1:$E$212,4,FALSE),"")</f>
        <v/>
      </c>
      <c r="G239" s="17"/>
      <c r="H239" s="17"/>
      <c r="I239" s="17"/>
      <c r="J239" s="17" t="b">
        <v>0</v>
      </c>
    </row>
    <row r="240">
      <c r="A240" s="17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 t="str">
        <f>IFERROR(VLOOKUP(B240,'MASTER DATA'!$A$1:$E$212,4,FALSE),"")</f>
        <v/>
      </c>
      <c r="G240" s="17"/>
      <c r="H240" s="17"/>
      <c r="I240" s="17"/>
      <c r="J240" s="17" t="b">
        <v>0</v>
      </c>
    </row>
    <row r="241">
      <c r="A241" s="17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 t="str">
        <f>IFERROR(VLOOKUP(B241,'MASTER DATA'!$A$1:$E$212,4,FALSE),"")</f>
        <v/>
      </c>
      <c r="G241" s="17"/>
      <c r="H241" s="17"/>
      <c r="I241" s="17"/>
      <c r="J241" s="17" t="b">
        <v>0</v>
      </c>
    </row>
    <row r="242">
      <c r="A242" s="17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 t="str">
        <f>IFERROR(VLOOKUP(B242,'MASTER DATA'!$A$1:$E$212,4,FALSE),"")</f>
        <v/>
      </c>
      <c r="G242" s="17"/>
      <c r="H242" s="17"/>
      <c r="I242" s="17"/>
      <c r="J242" s="17" t="b">
        <v>0</v>
      </c>
    </row>
    <row r="243">
      <c r="A243" s="17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 t="str">
        <f>IFERROR(VLOOKUP(B243,'MASTER DATA'!$A$1:$E$212,4,FALSE),"")</f>
        <v/>
      </c>
      <c r="G243" s="17"/>
      <c r="H243" s="17"/>
      <c r="I243" s="17"/>
      <c r="J243" s="17" t="b">
        <v>0</v>
      </c>
    </row>
    <row r="244">
      <c r="A244" s="17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 t="str">
        <f>IFERROR(VLOOKUP(B244,'MASTER DATA'!$A$1:$E$212,4,FALSE),"")</f>
        <v/>
      </c>
      <c r="G244" s="17"/>
      <c r="H244" s="17"/>
      <c r="I244" s="17"/>
      <c r="J244" s="17" t="b">
        <v>0</v>
      </c>
    </row>
    <row r="245">
      <c r="A245" s="17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 t="str">
        <f>IFERROR(VLOOKUP(B245,'MASTER DATA'!$A$1:$E$212,4,FALSE),"")</f>
        <v/>
      </c>
      <c r="G245" s="17"/>
      <c r="H245" s="17"/>
      <c r="I245" s="17"/>
      <c r="J245" s="17" t="b">
        <v>0</v>
      </c>
    </row>
    <row r="246">
      <c r="A246" s="17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 t="str">
        <f>IFERROR(VLOOKUP(B246,'MASTER DATA'!$A$1:$E$212,4,FALSE),"")</f>
        <v/>
      </c>
      <c r="G246" s="17"/>
      <c r="H246" s="17"/>
      <c r="I246" s="17"/>
      <c r="J246" s="17" t="b">
        <v>0</v>
      </c>
    </row>
    <row r="247">
      <c r="A247" s="17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 t="str">
        <f>IFERROR(VLOOKUP(B247,'MASTER DATA'!$A$1:$E$212,4,FALSE),"")</f>
        <v/>
      </c>
      <c r="G247" s="17"/>
      <c r="H247" s="17"/>
      <c r="I247" s="17"/>
      <c r="J247" s="17" t="b">
        <v>0</v>
      </c>
    </row>
    <row r="248">
      <c r="A248" s="17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 t="str">
        <f>IFERROR(VLOOKUP(B248,'MASTER DATA'!$A$1:$E$212,4,FALSE),"")</f>
        <v/>
      </c>
      <c r="G248" s="17"/>
      <c r="H248" s="17"/>
      <c r="I248" s="17"/>
      <c r="J248" s="17" t="b">
        <v>0</v>
      </c>
    </row>
    <row r="249">
      <c r="A249" s="17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 t="str">
        <f>IFERROR(VLOOKUP(B249,'MASTER DATA'!$A$1:$E$212,4,FALSE),"")</f>
        <v/>
      </c>
      <c r="G249" s="17"/>
      <c r="H249" s="17"/>
      <c r="I249" s="17"/>
      <c r="J249" s="17" t="b">
        <v>0</v>
      </c>
    </row>
    <row r="250">
      <c r="A250" s="17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 t="str">
        <f>IFERROR(VLOOKUP(B250,'MASTER DATA'!$A$1:$E$212,4,FALSE),"")</f>
        <v/>
      </c>
      <c r="G250" s="17"/>
      <c r="H250" s="17"/>
      <c r="I250" s="17"/>
      <c r="J250" s="17" t="b">
        <v>0</v>
      </c>
    </row>
    <row r="251">
      <c r="A251" s="17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 t="str">
        <f>IFERROR(VLOOKUP(B251,'MASTER DATA'!$A$1:$E$212,4,FALSE),"")</f>
        <v/>
      </c>
      <c r="G251" s="17"/>
      <c r="H251" s="17"/>
      <c r="I251" s="17"/>
      <c r="J251" s="17" t="b">
        <v>0</v>
      </c>
    </row>
    <row r="252">
      <c r="A252" s="17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 t="str">
        <f>IFERROR(VLOOKUP(B252,'MASTER DATA'!$A$1:$E$212,4,FALSE),"")</f>
        <v/>
      </c>
      <c r="G252" s="17"/>
      <c r="H252" s="17"/>
      <c r="I252" s="17"/>
      <c r="J252" s="17" t="b">
        <v>0</v>
      </c>
    </row>
    <row r="253">
      <c r="A253" s="17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 t="str">
        <f>IFERROR(VLOOKUP(B253,'MASTER DATA'!$A$1:$E$212,4,FALSE),"")</f>
        <v/>
      </c>
      <c r="G253" s="17"/>
      <c r="H253" s="17"/>
      <c r="I253" s="17"/>
      <c r="J253" s="17" t="b">
        <v>0</v>
      </c>
    </row>
    <row r="254">
      <c r="A254" s="17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 t="str">
        <f>IFERROR(VLOOKUP(B254,'MASTER DATA'!$A$1:$E$212,4,FALSE),"")</f>
        <v/>
      </c>
      <c r="G254" s="17"/>
      <c r="H254" s="17"/>
      <c r="I254" s="17"/>
      <c r="J254" s="17" t="b">
        <v>0</v>
      </c>
    </row>
    <row r="255">
      <c r="A255" s="17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 t="str">
        <f>IFERROR(VLOOKUP(B255,'MASTER DATA'!$A$1:$E$212,4,FALSE),"")</f>
        <v/>
      </c>
      <c r="G255" s="17"/>
      <c r="H255" s="17"/>
      <c r="I255" s="17"/>
      <c r="J255" s="17" t="b">
        <v>0</v>
      </c>
    </row>
    <row r="256">
      <c r="A256" s="17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 t="str">
        <f>IFERROR(VLOOKUP(B256,'MASTER DATA'!$A$1:$E$212,4,FALSE),"")</f>
        <v/>
      </c>
      <c r="G256" s="17"/>
      <c r="H256" s="17"/>
      <c r="I256" s="17"/>
      <c r="J256" s="17" t="b">
        <v>0</v>
      </c>
    </row>
    <row r="257">
      <c r="A257" s="17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 t="str">
        <f>IFERROR(VLOOKUP(B257,'MASTER DATA'!$A$1:$E$212,4,FALSE),"")</f>
        <v/>
      </c>
      <c r="G257" s="17"/>
      <c r="H257" s="17"/>
      <c r="I257" s="17"/>
      <c r="J257" s="17" t="b">
        <v>0</v>
      </c>
    </row>
    <row r="258">
      <c r="A258" s="17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 t="str">
        <f>IFERROR(VLOOKUP(B258,'MASTER DATA'!$A$1:$E$212,4,FALSE),"")</f>
        <v/>
      </c>
      <c r="G258" s="17"/>
      <c r="H258" s="17"/>
      <c r="I258" s="17"/>
      <c r="J258" s="17" t="b">
        <v>0</v>
      </c>
    </row>
    <row r="259">
      <c r="A259" s="17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 t="str">
        <f>IFERROR(VLOOKUP(B259,'MASTER DATA'!$A$1:$E$212,4,FALSE),"")</f>
        <v/>
      </c>
      <c r="G259" s="17"/>
      <c r="H259" s="17"/>
      <c r="I259" s="17"/>
      <c r="J259" s="17" t="b">
        <v>0</v>
      </c>
    </row>
    <row r="260">
      <c r="A260" s="17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 t="str">
        <f>IFERROR(VLOOKUP(B260,'MASTER DATA'!$A$1:$E$212,4,FALSE),"")</f>
        <v/>
      </c>
      <c r="G260" s="17"/>
      <c r="H260" s="17"/>
      <c r="I260" s="17"/>
      <c r="J260" s="17" t="b">
        <v>0</v>
      </c>
    </row>
    <row r="261">
      <c r="A261" s="17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 t="str">
        <f>IFERROR(VLOOKUP(B261,'MASTER DATA'!$A$1:$E$212,4,FALSE),"")</f>
        <v/>
      </c>
      <c r="G261" s="17"/>
      <c r="H261" s="17"/>
      <c r="I261" s="17"/>
      <c r="J261" s="17" t="b">
        <v>0</v>
      </c>
    </row>
    <row r="262">
      <c r="A262" s="17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 t="str">
        <f>IFERROR(VLOOKUP(B262,'MASTER DATA'!$A$1:$E$212,4,FALSE),"")</f>
        <v/>
      </c>
      <c r="G262" s="17"/>
      <c r="H262" s="17"/>
      <c r="I262" s="17"/>
      <c r="J262" s="17" t="b">
        <v>0</v>
      </c>
    </row>
    <row r="263">
      <c r="A263" s="17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 t="str">
        <f>IFERROR(VLOOKUP(B263,'MASTER DATA'!$A$1:$E$212,4,FALSE),"")</f>
        <v/>
      </c>
      <c r="G263" s="17"/>
      <c r="H263" s="17"/>
      <c r="I263" s="17"/>
      <c r="J263" s="17" t="b">
        <v>0</v>
      </c>
    </row>
    <row r="264">
      <c r="A264" s="17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 t="str">
        <f>IFERROR(VLOOKUP(B264,'MASTER DATA'!$A$1:$E$212,4,FALSE),"")</f>
        <v/>
      </c>
      <c r="G264" s="17"/>
      <c r="H264" s="17"/>
      <c r="I264" s="17"/>
      <c r="J264" s="17" t="b">
        <v>0</v>
      </c>
    </row>
    <row r="265">
      <c r="A265" s="17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 t="str">
        <f>IFERROR(VLOOKUP(B265,'MASTER DATA'!$A$1:$E$212,4,FALSE),"")</f>
        <v/>
      </c>
      <c r="G265" s="17"/>
      <c r="H265" s="17"/>
      <c r="I265" s="17"/>
      <c r="J265" s="17" t="b">
        <v>0</v>
      </c>
    </row>
    <row r="266">
      <c r="A266" s="17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 t="str">
        <f>IFERROR(VLOOKUP(B266,'MASTER DATA'!$A$1:$E$212,4,FALSE),"")</f>
        <v/>
      </c>
      <c r="G266" s="17"/>
      <c r="H266" s="17"/>
      <c r="I266" s="17"/>
      <c r="J266" s="17" t="b">
        <v>0</v>
      </c>
    </row>
    <row r="267">
      <c r="A267" s="17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 t="str">
        <f>IFERROR(VLOOKUP(B267,'MASTER DATA'!$A$1:$E$212,4,FALSE),"")</f>
        <v/>
      </c>
      <c r="G267" s="17"/>
      <c r="H267" s="17"/>
      <c r="I267" s="17"/>
      <c r="J267" s="17" t="b">
        <v>0</v>
      </c>
    </row>
    <row r="268">
      <c r="A268" s="17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 t="str">
        <f>IFERROR(VLOOKUP(B268,'MASTER DATA'!$A$1:$E$212,4,FALSE),"")</f>
        <v/>
      </c>
      <c r="G268" s="17"/>
      <c r="H268" s="17"/>
      <c r="I268" s="17"/>
      <c r="J268" s="17" t="b">
        <v>0</v>
      </c>
    </row>
    <row r="269">
      <c r="A269" s="17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 t="str">
        <f>IFERROR(VLOOKUP(B269,'MASTER DATA'!$A$1:$E$212,4,FALSE),"")</f>
        <v/>
      </c>
      <c r="G269" s="17"/>
      <c r="H269" s="17"/>
      <c r="I269" s="17"/>
      <c r="J269" s="17" t="b">
        <v>0</v>
      </c>
    </row>
    <row r="270">
      <c r="A270" s="17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 t="str">
        <f>IFERROR(VLOOKUP(B270,'MASTER DATA'!$A$1:$E$212,4,FALSE),"")</f>
        <v/>
      </c>
      <c r="G270" s="17"/>
      <c r="H270" s="17"/>
      <c r="I270" s="17"/>
      <c r="J270" s="17" t="b">
        <v>0</v>
      </c>
    </row>
    <row r="271">
      <c r="A271" s="17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 t="str">
        <f>IFERROR(VLOOKUP(B271,'MASTER DATA'!$A$1:$E$212,4,FALSE),"")</f>
        <v/>
      </c>
      <c r="G271" s="17"/>
      <c r="H271" s="17"/>
      <c r="I271" s="17"/>
      <c r="J271" s="17" t="b">
        <v>0</v>
      </c>
    </row>
    <row r="272">
      <c r="A272" s="17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 t="str">
        <f>IFERROR(VLOOKUP(B272,'MASTER DATA'!$A$1:$E$212,4,FALSE),"")</f>
        <v/>
      </c>
      <c r="G272" s="17"/>
      <c r="H272" s="17"/>
      <c r="I272" s="17"/>
      <c r="J272" s="17" t="b">
        <v>0</v>
      </c>
    </row>
    <row r="273">
      <c r="A273" s="17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 t="str">
        <f>IFERROR(VLOOKUP(B273,'MASTER DATA'!$A$1:$E$212,4,FALSE),"")</f>
        <v/>
      </c>
      <c r="G273" s="17"/>
      <c r="H273" s="17"/>
      <c r="I273" s="17"/>
      <c r="J273" s="17" t="b">
        <v>0</v>
      </c>
    </row>
    <row r="274">
      <c r="A274" s="17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 t="str">
        <f>IFERROR(VLOOKUP(B274,'MASTER DATA'!$A$1:$E$212,4,FALSE),"")</f>
        <v/>
      </c>
      <c r="G274" s="17"/>
      <c r="H274" s="17"/>
      <c r="I274" s="17"/>
      <c r="J274" s="17" t="b">
        <v>0</v>
      </c>
    </row>
    <row r="275">
      <c r="A275" s="17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 t="str">
        <f>IFERROR(VLOOKUP(B275,'MASTER DATA'!$A$1:$E$212,4,FALSE),"")</f>
        <v/>
      </c>
      <c r="G275" s="17"/>
      <c r="H275" s="17"/>
      <c r="I275" s="17"/>
      <c r="J275" s="17" t="b">
        <v>0</v>
      </c>
    </row>
    <row r="276">
      <c r="A276" s="17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 t="str">
        <f>IFERROR(VLOOKUP(B276,'MASTER DATA'!$A$1:$E$212,4,FALSE),"")</f>
        <v/>
      </c>
      <c r="G276" s="17"/>
      <c r="H276" s="17"/>
      <c r="I276" s="17"/>
      <c r="J276" s="17" t="b">
        <v>0</v>
      </c>
    </row>
    <row r="277">
      <c r="A277" s="17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 t="str">
        <f>IFERROR(VLOOKUP(B277,'MASTER DATA'!$A$1:$E$212,4,FALSE),"")</f>
        <v/>
      </c>
      <c r="G277" s="17"/>
      <c r="H277" s="17"/>
      <c r="I277" s="17"/>
      <c r="J277" s="17" t="b">
        <v>0</v>
      </c>
    </row>
    <row r="278">
      <c r="A278" s="17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 t="str">
        <f>IFERROR(VLOOKUP(B278,'MASTER DATA'!$A$1:$E$212,4,FALSE),"")</f>
        <v/>
      </c>
      <c r="G278" s="17"/>
      <c r="H278" s="17"/>
      <c r="I278" s="17"/>
      <c r="J278" s="17" t="b">
        <v>0</v>
      </c>
    </row>
    <row r="279">
      <c r="A279" s="17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 t="str">
        <f>IFERROR(VLOOKUP(B279,'MASTER DATA'!$A$1:$E$212,4,FALSE),"")</f>
        <v/>
      </c>
      <c r="G279" s="17"/>
      <c r="H279" s="17"/>
      <c r="I279" s="17"/>
      <c r="J279" s="17" t="b">
        <v>0</v>
      </c>
    </row>
    <row r="280">
      <c r="A280" s="17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 t="str">
        <f>IFERROR(VLOOKUP(B280,'MASTER DATA'!$A$1:$E$212,4,FALSE),"")</f>
        <v/>
      </c>
      <c r="G280" s="17"/>
      <c r="H280" s="17"/>
      <c r="I280" s="17"/>
      <c r="J280" s="17" t="b">
        <v>0</v>
      </c>
    </row>
    <row r="281">
      <c r="A281" s="17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 t="str">
        <f>IFERROR(VLOOKUP(B281,'MASTER DATA'!$A$1:$E$212,4,FALSE),"")</f>
        <v/>
      </c>
      <c r="G281" s="17"/>
      <c r="H281" s="17"/>
      <c r="I281" s="17"/>
      <c r="J281" s="17" t="b">
        <v>0</v>
      </c>
    </row>
    <row r="282">
      <c r="A282" s="17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 t="str">
        <f>IFERROR(VLOOKUP(B282,'MASTER DATA'!$A$1:$E$212,4,FALSE),"")</f>
        <v/>
      </c>
      <c r="G282" s="17"/>
      <c r="H282" s="17"/>
      <c r="I282" s="17"/>
      <c r="J282" s="17" t="b">
        <v>0</v>
      </c>
    </row>
    <row r="283">
      <c r="A283" s="17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 t="str">
        <f>IFERROR(VLOOKUP(B283,'MASTER DATA'!$A$1:$E$212,4,FALSE),"")</f>
        <v/>
      </c>
      <c r="G283" s="17"/>
      <c r="H283" s="17"/>
      <c r="I283" s="17"/>
      <c r="J283" s="17" t="b">
        <v>0</v>
      </c>
    </row>
    <row r="284">
      <c r="A284" s="17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 t="str">
        <f>IFERROR(VLOOKUP(B284,'MASTER DATA'!$A$1:$E$212,4,FALSE),"")</f>
        <v/>
      </c>
      <c r="G284" s="17"/>
      <c r="H284" s="17"/>
      <c r="I284" s="17"/>
      <c r="J284" s="17" t="b">
        <v>0</v>
      </c>
    </row>
    <row r="285">
      <c r="A285" s="17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 t="str">
        <f>IFERROR(VLOOKUP(B285,'MASTER DATA'!$A$1:$E$212,4,FALSE),"")</f>
        <v/>
      </c>
      <c r="G285" s="17"/>
      <c r="H285" s="17"/>
      <c r="I285" s="17"/>
      <c r="J285" s="17" t="b">
        <v>0</v>
      </c>
    </row>
    <row r="286">
      <c r="A286" s="17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 t="str">
        <f>IFERROR(VLOOKUP(B286,'MASTER DATA'!$A$1:$E$212,4,FALSE),"")</f>
        <v/>
      </c>
      <c r="G286" s="17"/>
      <c r="H286" s="17"/>
      <c r="I286" s="17"/>
      <c r="J286" s="17" t="b">
        <v>0</v>
      </c>
    </row>
    <row r="287">
      <c r="A287" s="17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 t="str">
        <f>IFERROR(VLOOKUP(B287,'MASTER DATA'!$A$1:$E$212,4,FALSE),"")</f>
        <v/>
      </c>
      <c r="G287" s="17"/>
      <c r="H287" s="17"/>
      <c r="I287" s="17"/>
      <c r="J287" s="17" t="b">
        <v>0</v>
      </c>
    </row>
    <row r="288">
      <c r="A288" s="17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 t="str">
        <f>IFERROR(VLOOKUP(B288,'MASTER DATA'!$A$1:$E$212,4,FALSE),"")</f>
        <v/>
      </c>
      <c r="G288" s="17"/>
      <c r="H288" s="17"/>
      <c r="I288" s="17"/>
      <c r="J288" s="17" t="b">
        <v>0</v>
      </c>
    </row>
    <row r="289">
      <c r="A289" s="17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 t="str">
        <f>IFERROR(VLOOKUP(B289,'MASTER DATA'!$A$1:$E$212,4,FALSE),"")</f>
        <v/>
      </c>
      <c r="G289" s="17"/>
      <c r="H289" s="17"/>
      <c r="I289" s="17"/>
      <c r="J289" s="17" t="b">
        <v>0</v>
      </c>
    </row>
    <row r="290">
      <c r="A290" s="17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 t="str">
        <f>IFERROR(VLOOKUP(B290,'MASTER DATA'!$A$1:$E$212,4,FALSE),"")</f>
        <v/>
      </c>
      <c r="G290" s="17"/>
      <c r="H290" s="17"/>
      <c r="I290" s="17"/>
      <c r="J290" s="17" t="b">
        <v>0</v>
      </c>
    </row>
    <row r="291">
      <c r="A291" s="17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 t="str">
        <f>IFERROR(VLOOKUP(B291,'MASTER DATA'!$A$1:$E$212,4,FALSE),"")</f>
        <v/>
      </c>
      <c r="G291" s="17"/>
      <c r="H291" s="17"/>
      <c r="I291" s="17"/>
      <c r="J291" s="17" t="b">
        <v>0</v>
      </c>
    </row>
    <row r="292">
      <c r="A292" s="17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 t="str">
        <f>IFERROR(VLOOKUP(B292,'MASTER DATA'!$A$1:$E$212,4,FALSE),"")</f>
        <v/>
      </c>
      <c r="G292" s="17"/>
      <c r="H292" s="17"/>
      <c r="I292" s="17"/>
      <c r="J292" s="17" t="b">
        <v>0</v>
      </c>
    </row>
    <row r="293">
      <c r="A293" s="17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 t="str">
        <f>IFERROR(VLOOKUP(B293,'MASTER DATA'!$A$1:$E$212,4,FALSE),"")</f>
        <v/>
      </c>
      <c r="G293" s="17"/>
      <c r="H293" s="17"/>
      <c r="I293" s="17"/>
      <c r="J293" s="17" t="b">
        <v>0</v>
      </c>
    </row>
    <row r="294">
      <c r="A294" s="17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 t="str">
        <f>IFERROR(VLOOKUP(B294,'MASTER DATA'!$A$1:$E$212,4,FALSE),"")</f>
        <v/>
      </c>
      <c r="G294" s="17"/>
      <c r="H294" s="17"/>
      <c r="I294" s="17"/>
      <c r="J294" s="17" t="b">
        <v>0</v>
      </c>
    </row>
    <row r="295">
      <c r="A295" s="17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 t="str">
        <f>IFERROR(VLOOKUP(B295,'MASTER DATA'!$A$1:$E$212,4,FALSE),"")</f>
        <v/>
      </c>
      <c r="G295" s="17"/>
      <c r="H295" s="17"/>
      <c r="I295" s="17"/>
      <c r="J295" s="17" t="b">
        <v>0</v>
      </c>
    </row>
    <row r="296">
      <c r="A296" s="17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 t="str">
        <f>IFERROR(VLOOKUP(B296,'MASTER DATA'!$A$1:$E$212,4,FALSE),"")</f>
        <v/>
      </c>
      <c r="G296" s="17"/>
      <c r="H296" s="17"/>
      <c r="I296" s="17"/>
      <c r="J296" s="17" t="b">
        <v>0</v>
      </c>
    </row>
    <row r="297">
      <c r="A297" s="17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 t="str">
        <f>IFERROR(VLOOKUP(B297,'MASTER DATA'!$A$1:$E$212,4,FALSE),"")</f>
        <v/>
      </c>
      <c r="G297" s="17"/>
      <c r="H297" s="17"/>
      <c r="I297" s="17"/>
      <c r="J297" s="17" t="b">
        <v>0</v>
      </c>
    </row>
    <row r="298">
      <c r="A298" s="17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 t="str">
        <f>IFERROR(VLOOKUP(B298,'MASTER DATA'!$A$1:$E$212,4,FALSE),"")</f>
        <v/>
      </c>
      <c r="G298" s="17"/>
      <c r="H298" s="17"/>
      <c r="I298" s="17"/>
      <c r="J298" s="17" t="b">
        <v>0</v>
      </c>
    </row>
    <row r="299">
      <c r="A299" s="17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 t="str">
        <f>IFERROR(VLOOKUP(B299,'MASTER DATA'!$A$1:$E$212,4,FALSE),"")</f>
        <v/>
      </c>
      <c r="G299" s="17"/>
      <c r="H299" s="17"/>
      <c r="I299" s="17"/>
      <c r="J299" s="17" t="b">
        <v>0</v>
      </c>
    </row>
    <row r="300">
      <c r="A300" s="17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 t="str">
        <f>IFERROR(VLOOKUP(B300,'MASTER DATA'!$A$1:$E$212,4,FALSE),"")</f>
        <v/>
      </c>
      <c r="G300" s="17"/>
      <c r="H300" s="17"/>
      <c r="I300" s="17"/>
      <c r="J300" s="17" t="b">
        <v>0</v>
      </c>
    </row>
    <row r="301">
      <c r="A301" s="17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 t="str">
        <f>IFERROR(VLOOKUP(B301,'MASTER DATA'!$A$1:$E$212,4,FALSE),"")</f>
        <v/>
      </c>
      <c r="G301" s="17"/>
      <c r="H301" s="17"/>
      <c r="I301" s="17"/>
      <c r="J301" s="17" t="b">
        <v>0</v>
      </c>
    </row>
    <row r="302">
      <c r="A302" s="17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 t="str">
        <f>IFERROR(VLOOKUP(B302,'MASTER DATA'!$A$1:$E$212,4,FALSE),"")</f>
        <v/>
      </c>
      <c r="G302" s="17"/>
      <c r="H302" s="17"/>
      <c r="I302" s="17"/>
      <c r="J302" s="17" t="b">
        <v>0</v>
      </c>
    </row>
    <row r="303">
      <c r="A303" s="17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 t="str">
        <f>IFERROR(VLOOKUP(B303,'MASTER DATA'!$A$1:$E$212,4,FALSE),"")</f>
        <v/>
      </c>
      <c r="G303" s="17"/>
      <c r="H303" s="17"/>
      <c r="I303" s="17"/>
      <c r="J303" s="17" t="b">
        <v>0</v>
      </c>
    </row>
    <row r="304">
      <c r="A304" s="17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 t="str">
        <f>IFERROR(VLOOKUP(B304,'MASTER DATA'!$A$1:$E$212,4,FALSE),"")</f>
        <v/>
      </c>
      <c r="G304" s="17"/>
      <c r="H304" s="17"/>
      <c r="I304" s="17"/>
      <c r="J304" s="17" t="b">
        <v>0</v>
      </c>
    </row>
    <row r="305">
      <c r="A305" s="17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 t="str">
        <f>IFERROR(VLOOKUP(B305,'MASTER DATA'!$A$1:$E$212,4,FALSE),"")</f>
        <v/>
      </c>
      <c r="G305" s="17"/>
      <c r="H305" s="17"/>
      <c r="I305" s="17"/>
      <c r="J305" s="17" t="b">
        <v>0</v>
      </c>
    </row>
    <row r="306">
      <c r="A306" s="17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 t="str">
        <f>IFERROR(VLOOKUP(B306,'MASTER DATA'!$A$1:$E$212,4,FALSE),"")</f>
        <v/>
      </c>
      <c r="G306" s="17"/>
      <c r="H306" s="17"/>
      <c r="I306" s="17"/>
      <c r="J306" s="17" t="b">
        <v>0</v>
      </c>
    </row>
    <row r="307">
      <c r="A307" s="17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 t="str">
        <f>IFERROR(VLOOKUP(B307,'MASTER DATA'!$A$1:$E$212,4,FALSE),"")</f>
        <v/>
      </c>
      <c r="G307" s="17"/>
      <c r="H307" s="17"/>
      <c r="I307" s="17"/>
      <c r="J307" s="17" t="b">
        <v>0</v>
      </c>
    </row>
    <row r="308">
      <c r="A308" s="17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 t="str">
        <f>IFERROR(VLOOKUP(B308,'MASTER DATA'!$A$1:$E$212,4,FALSE),"")</f>
        <v/>
      </c>
      <c r="G308" s="17"/>
      <c r="H308" s="17"/>
      <c r="I308" s="17"/>
      <c r="J308" s="17" t="b">
        <v>0</v>
      </c>
    </row>
    <row r="309">
      <c r="A309" s="17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 t="str">
        <f>IFERROR(VLOOKUP(B309,'MASTER DATA'!$A$1:$E$212,4,FALSE),"")</f>
        <v/>
      </c>
      <c r="G309" s="17"/>
      <c r="H309" s="17"/>
      <c r="I309" s="17"/>
      <c r="J309" s="17" t="b">
        <v>0</v>
      </c>
    </row>
    <row r="310">
      <c r="A310" s="17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 t="str">
        <f>IFERROR(VLOOKUP(B310,'MASTER DATA'!$A$1:$E$212,4,FALSE),"")</f>
        <v/>
      </c>
      <c r="G310" s="17"/>
      <c r="H310" s="17"/>
      <c r="I310" s="17"/>
      <c r="J310" s="17" t="b">
        <v>0</v>
      </c>
    </row>
    <row r="311">
      <c r="A311" s="17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 t="str">
        <f>IFERROR(VLOOKUP(B311,'MASTER DATA'!$A$1:$E$212,4,FALSE),"")</f>
        <v/>
      </c>
      <c r="G311" s="17"/>
      <c r="H311" s="17"/>
      <c r="I311" s="17"/>
      <c r="J311" s="17" t="b">
        <v>0</v>
      </c>
    </row>
    <row r="312">
      <c r="A312" s="17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 t="str">
        <f>IFERROR(VLOOKUP(B312,'MASTER DATA'!$A$1:$E$212,4,FALSE),"")</f>
        <v/>
      </c>
      <c r="G312" s="17"/>
      <c r="H312" s="17"/>
      <c r="I312" s="17"/>
      <c r="J312" s="17" t="b">
        <v>0</v>
      </c>
    </row>
    <row r="313">
      <c r="A313" s="17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 t="str">
        <f>IFERROR(VLOOKUP(B313,'MASTER DATA'!$A$1:$E$212,4,FALSE),"")</f>
        <v/>
      </c>
      <c r="G313" s="17"/>
      <c r="H313" s="17"/>
      <c r="I313" s="17"/>
      <c r="J313" s="17" t="b">
        <v>0</v>
      </c>
    </row>
    <row r="314">
      <c r="A314" s="17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 t="str">
        <f>IFERROR(VLOOKUP(B314,'MASTER DATA'!$A$1:$E$212,4,FALSE),"")</f>
        <v/>
      </c>
      <c r="G314" s="17"/>
      <c r="H314" s="17"/>
      <c r="I314" s="17"/>
      <c r="J314" s="17" t="b">
        <v>0</v>
      </c>
    </row>
    <row r="315">
      <c r="A315" s="17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 t="str">
        <f>IFERROR(VLOOKUP(B315,'MASTER DATA'!$A$1:$E$212,4,FALSE),"")</f>
        <v/>
      </c>
      <c r="G315" s="17"/>
      <c r="H315" s="17"/>
      <c r="I315" s="17"/>
      <c r="J315" s="17" t="b">
        <v>0</v>
      </c>
    </row>
    <row r="316">
      <c r="A316" s="17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 t="str">
        <f>IFERROR(VLOOKUP(B316,'MASTER DATA'!$A$1:$E$212,4,FALSE),"")</f>
        <v/>
      </c>
      <c r="G316" s="17"/>
      <c r="H316" s="17"/>
      <c r="I316" s="17"/>
      <c r="J316" s="17" t="b">
        <v>0</v>
      </c>
    </row>
    <row r="317">
      <c r="A317" s="17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 t="str">
        <f>IFERROR(VLOOKUP(B317,'MASTER DATA'!$A$1:$E$212,4,FALSE),"")</f>
        <v/>
      </c>
      <c r="G317" s="17"/>
      <c r="H317" s="17"/>
      <c r="I317" s="17"/>
      <c r="J317" s="17" t="b">
        <v>0</v>
      </c>
    </row>
    <row r="318">
      <c r="A318" s="17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 t="str">
        <f>IFERROR(VLOOKUP(B318,'MASTER DATA'!$A$1:$E$212,4,FALSE),"")</f>
        <v/>
      </c>
      <c r="G318" s="17"/>
      <c r="H318" s="17"/>
      <c r="I318" s="17"/>
      <c r="J318" s="17" t="b">
        <v>0</v>
      </c>
    </row>
    <row r="319">
      <c r="A319" s="17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 t="str">
        <f>IFERROR(VLOOKUP(B319,'MASTER DATA'!$A$1:$E$212,4,FALSE),"")</f>
        <v/>
      </c>
      <c r="G319" s="17"/>
      <c r="H319" s="17"/>
      <c r="I319" s="17"/>
      <c r="J319" s="17" t="b">
        <v>0</v>
      </c>
    </row>
    <row r="320">
      <c r="A320" s="17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 t="str">
        <f>IFERROR(VLOOKUP(B320,'MASTER DATA'!$A$1:$E$212,4,FALSE),"")</f>
        <v/>
      </c>
      <c r="G320" s="17"/>
      <c r="H320" s="17"/>
      <c r="I320" s="17"/>
      <c r="J320" s="17" t="b">
        <v>0</v>
      </c>
    </row>
    <row r="321">
      <c r="A321" s="17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 t="str">
        <f>IFERROR(VLOOKUP(B321,'MASTER DATA'!$A$1:$E$212,4,FALSE),"")</f>
        <v/>
      </c>
      <c r="G321" s="17"/>
      <c r="H321" s="17"/>
      <c r="I321" s="17"/>
      <c r="J321" s="17" t="b">
        <v>0</v>
      </c>
    </row>
    <row r="322">
      <c r="A322" s="17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 t="str">
        <f>IFERROR(VLOOKUP(B322,'MASTER DATA'!$A$1:$E$212,4,FALSE),"")</f>
        <v/>
      </c>
      <c r="G322" s="17"/>
      <c r="H322" s="17"/>
      <c r="I322" s="17"/>
      <c r="J322" s="17" t="b">
        <v>0</v>
      </c>
    </row>
    <row r="323">
      <c r="A323" s="17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 t="str">
        <f>IFERROR(VLOOKUP(B323,'MASTER DATA'!$A$1:$E$212,4,FALSE),"")</f>
        <v/>
      </c>
      <c r="G323" s="17"/>
      <c r="H323" s="17"/>
      <c r="I323" s="17"/>
      <c r="J323" s="17" t="b">
        <v>0</v>
      </c>
    </row>
    <row r="324">
      <c r="A324" s="17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 t="str">
        <f>IFERROR(VLOOKUP(B324,'MASTER DATA'!$A$1:$E$212,4,FALSE),"")</f>
        <v/>
      </c>
      <c r="G324" s="17"/>
      <c r="H324" s="17"/>
      <c r="I324" s="17"/>
      <c r="J324" s="17" t="b">
        <v>0</v>
      </c>
    </row>
    <row r="325">
      <c r="A325" s="17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 t="str">
        <f>IFERROR(VLOOKUP(B325,'MASTER DATA'!$A$1:$E$212,4,FALSE),"")</f>
        <v/>
      </c>
      <c r="G325" s="17"/>
      <c r="H325" s="17"/>
      <c r="I325" s="17"/>
      <c r="J325" s="17" t="b">
        <v>0</v>
      </c>
    </row>
    <row r="326">
      <c r="A326" s="17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 t="str">
        <f>IFERROR(VLOOKUP(B326,'MASTER DATA'!$A$1:$E$212,4,FALSE),"")</f>
        <v/>
      </c>
      <c r="G326" s="17"/>
      <c r="H326" s="17"/>
      <c r="I326" s="17"/>
      <c r="J326" s="17" t="b">
        <v>0</v>
      </c>
    </row>
    <row r="327">
      <c r="A327" s="17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 t="str">
        <f>IFERROR(VLOOKUP(B327,'MASTER DATA'!$A$1:$E$212,4,FALSE),"")</f>
        <v/>
      </c>
      <c r="G327" s="17"/>
      <c r="H327" s="17"/>
      <c r="I327" s="17"/>
      <c r="J327" s="17" t="b">
        <v>0</v>
      </c>
    </row>
    <row r="328">
      <c r="A328" s="17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 t="str">
        <f>IFERROR(VLOOKUP(B328,'MASTER DATA'!$A$1:$E$212,4,FALSE),"")</f>
        <v/>
      </c>
      <c r="G328" s="17"/>
      <c r="H328" s="17"/>
      <c r="I328" s="17"/>
      <c r="J328" s="17" t="b">
        <v>0</v>
      </c>
    </row>
    <row r="329">
      <c r="A329" s="17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 t="str">
        <f>IFERROR(VLOOKUP(B329,'MASTER DATA'!$A$1:$E$212,4,FALSE),"")</f>
        <v/>
      </c>
      <c r="G329" s="17"/>
      <c r="H329" s="17"/>
      <c r="I329" s="17"/>
      <c r="J329" s="17" t="b">
        <v>0</v>
      </c>
    </row>
    <row r="330">
      <c r="A330" s="17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 t="str">
        <f>IFERROR(VLOOKUP(B330,'MASTER DATA'!$A$1:$E$212,4,FALSE),"")</f>
        <v/>
      </c>
      <c r="G330" s="17"/>
      <c r="H330" s="17"/>
      <c r="I330" s="17"/>
      <c r="J330" s="17" t="b">
        <v>0</v>
      </c>
    </row>
    <row r="331">
      <c r="A331" s="17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 t="str">
        <f>IFERROR(VLOOKUP(B331,'MASTER DATA'!$A$1:$E$212,4,FALSE),"")</f>
        <v/>
      </c>
      <c r="G331" s="17"/>
      <c r="H331" s="17"/>
      <c r="I331" s="17"/>
      <c r="J331" s="17" t="b">
        <v>0</v>
      </c>
    </row>
    <row r="332">
      <c r="A332" s="17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 t="str">
        <f>IFERROR(VLOOKUP(B332,'MASTER DATA'!$A$1:$E$212,4,FALSE),"")</f>
        <v/>
      </c>
      <c r="G332" s="17"/>
      <c r="H332" s="17"/>
      <c r="I332" s="17"/>
      <c r="J332" s="17" t="b">
        <v>0</v>
      </c>
    </row>
    <row r="333">
      <c r="A333" s="17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 t="str">
        <f>IFERROR(VLOOKUP(B333,'MASTER DATA'!$A$1:$E$212,4,FALSE),"")</f>
        <v/>
      </c>
      <c r="G333" s="17"/>
      <c r="H333" s="17"/>
      <c r="I333" s="17"/>
      <c r="J333" s="17" t="b">
        <v>0</v>
      </c>
    </row>
    <row r="334">
      <c r="A334" s="17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 t="str">
        <f>IFERROR(VLOOKUP(B334,'MASTER DATA'!$A$1:$E$212,4,FALSE),"")</f>
        <v/>
      </c>
      <c r="G334" s="17"/>
      <c r="H334" s="17"/>
      <c r="I334" s="17"/>
      <c r="J334" s="17" t="b">
        <v>0</v>
      </c>
    </row>
    <row r="335">
      <c r="A335" s="17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 t="str">
        <f>IFERROR(VLOOKUP(B335,'MASTER DATA'!$A$1:$E$212,4,FALSE),"")</f>
        <v/>
      </c>
      <c r="G335" s="17"/>
      <c r="H335" s="17"/>
      <c r="I335" s="17"/>
      <c r="J335" s="17" t="b">
        <v>0</v>
      </c>
    </row>
    <row r="336">
      <c r="A336" s="17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 t="str">
        <f>IFERROR(VLOOKUP(B336,'MASTER DATA'!$A$1:$E$212,4,FALSE),"")</f>
        <v/>
      </c>
      <c r="G336" s="17"/>
      <c r="H336" s="17"/>
      <c r="I336" s="17"/>
      <c r="J336" s="17" t="b">
        <v>0</v>
      </c>
    </row>
    <row r="337">
      <c r="A337" s="17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 t="str">
        <f>IFERROR(VLOOKUP(B337,'MASTER DATA'!$A$1:$E$212,4,FALSE),"")</f>
        <v/>
      </c>
      <c r="G337" s="17"/>
      <c r="H337" s="17"/>
      <c r="I337" s="17"/>
      <c r="J337" s="17" t="b">
        <v>0</v>
      </c>
    </row>
    <row r="338">
      <c r="A338" s="17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 t="str">
        <f>IFERROR(VLOOKUP(B338,'MASTER DATA'!$A$1:$E$212,4,FALSE),"")</f>
        <v/>
      </c>
      <c r="G338" s="17"/>
      <c r="H338" s="17"/>
      <c r="I338" s="17"/>
      <c r="J338" s="17" t="b">
        <v>0</v>
      </c>
    </row>
    <row r="339">
      <c r="A339" s="17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 t="str">
        <f>IFERROR(VLOOKUP(B339,'MASTER DATA'!$A$1:$E$212,4,FALSE),"")</f>
        <v/>
      </c>
      <c r="G339" s="17"/>
      <c r="H339" s="17"/>
      <c r="I339" s="17"/>
      <c r="J339" s="17" t="b">
        <v>0</v>
      </c>
    </row>
    <row r="340">
      <c r="A340" s="17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 t="str">
        <f>IFERROR(VLOOKUP(B340,'MASTER DATA'!$A$1:$E$212,4,FALSE),"")</f>
        <v/>
      </c>
      <c r="G340" s="17"/>
      <c r="H340" s="17"/>
      <c r="I340" s="17"/>
      <c r="J340" s="17" t="b">
        <v>0</v>
      </c>
    </row>
    <row r="341">
      <c r="A341" s="17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 t="str">
        <f>IFERROR(VLOOKUP(B341,'MASTER DATA'!$A$1:$E$212,4,FALSE),"")</f>
        <v/>
      </c>
      <c r="G341" s="17"/>
      <c r="H341" s="17"/>
      <c r="I341" s="17"/>
      <c r="J341" s="17" t="b">
        <v>0</v>
      </c>
    </row>
    <row r="342">
      <c r="A342" s="17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 t="str">
        <f>IFERROR(VLOOKUP(B342,'MASTER DATA'!$A$1:$E$212,4,FALSE),"")</f>
        <v/>
      </c>
      <c r="G342" s="17"/>
      <c r="H342" s="17"/>
      <c r="I342" s="17"/>
      <c r="J342" s="17" t="b">
        <v>0</v>
      </c>
    </row>
    <row r="343">
      <c r="A343" s="17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 t="str">
        <f>IFERROR(VLOOKUP(B343,'MASTER DATA'!$A$1:$E$212,4,FALSE),"")</f>
        <v/>
      </c>
      <c r="G343" s="17"/>
      <c r="H343" s="17"/>
      <c r="I343" s="17"/>
      <c r="J343" s="17" t="b">
        <v>0</v>
      </c>
    </row>
    <row r="344">
      <c r="A344" s="17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 t="str">
        <f>IFERROR(VLOOKUP(B344,'MASTER DATA'!$A$1:$E$212,4,FALSE),"")</f>
        <v/>
      </c>
      <c r="G344" s="17"/>
      <c r="H344" s="17"/>
      <c r="I344" s="17"/>
      <c r="J344" s="17" t="b">
        <v>0</v>
      </c>
    </row>
    <row r="345">
      <c r="A345" s="17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 t="str">
        <f>IFERROR(VLOOKUP(B345,'MASTER DATA'!$A$1:$E$212,4,FALSE),"")</f>
        <v/>
      </c>
      <c r="G345" s="17"/>
      <c r="H345" s="17"/>
      <c r="I345" s="17"/>
      <c r="J345" s="17" t="b">
        <v>0</v>
      </c>
    </row>
    <row r="346">
      <c r="A346" s="17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 t="str">
        <f>IFERROR(VLOOKUP(B346,'MASTER DATA'!$A$1:$E$212,4,FALSE),"")</f>
        <v/>
      </c>
      <c r="G346" s="17"/>
      <c r="H346" s="17"/>
      <c r="I346" s="17"/>
      <c r="J346" s="17" t="b">
        <v>0</v>
      </c>
    </row>
    <row r="347">
      <c r="A347" s="17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 t="str">
        <f>IFERROR(VLOOKUP(B347,'MASTER DATA'!$A$1:$E$212,4,FALSE),"")</f>
        <v/>
      </c>
      <c r="G347" s="17"/>
      <c r="H347" s="17"/>
      <c r="I347" s="17"/>
      <c r="J347" s="17" t="b">
        <v>0</v>
      </c>
    </row>
    <row r="348">
      <c r="A348" s="17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 t="str">
        <f>IFERROR(VLOOKUP(B348,'MASTER DATA'!$A$1:$E$212,4,FALSE),"")</f>
        <v/>
      </c>
      <c r="G348" s="17"/>
      <c r="H348" s="17"/>
      <c r="I348" s="17"/>
      <c r="J348" s="17" t="b">
        <v>0</v>
      </c>
    </row>
    <row r="349">
      <c r="A349" s="17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 t="str">
        <f>IFERROR(VLOOKUP(B349,'MASTER DATA'!$A$1:$E$212,4,FALSE),"")</f>
        <v/>
      </c>
      <c r="G349" s="17"/>
      <c r="H349" s="17"/>
      <c r="I349" s="17"/>
      <c r="J349" s="17" t="b">
        <v>0</v>
      </c>
    </row>
    <row r="350">
      <c r="A350" s="17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 t="str">
        <f>IFERROR(VLOOKUP(B350,'MASTER DATA'!$A$1:$E$212,4,FALSE),"")</f>
        <v/>
      </c>
      <c r="G350" s="17"/>
      <c r="H350" s="17"/>
      <c r="I350" s="17"/>
      <c r="J350" s="17" t="b">
        <v>0</v>
      </c>
    </row>
    <row r="351">
      <c r="A351" s="17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 t="str">
        <f>IFERROR(VLOOKUP(B351,'MASTER DATA'!$A$1:$E$212,4,FALSE),"")</f>
        <v/>
      </c>
      <c r="G351" s="17"/>
      <c r="H351" s="17"/>
      <c r="I351" s="17"/>
      <c r="J351" s="17" t="b">
        <v>0</v>
      </c>
    </row>
    <row r="352">
      <c r="A352" s="17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 t="str">
        <f>IFERROR(VLOOKUP(B352,'MASTER DATA'!$A$1:$E$212,4,FALSE),"")</f>
        <v/>
      </c>
      <c r="G352" s="17"/>
      <c r="H352" s="17"/>
      <c r="I352" s="17"/>
      <c r="J352" s="17" t="b">
        <v>0</v>
      </c>
    </row>
    <row r="353">
      <c r="A353" s="17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 t="str">
        <f>IFERROR(VLOOKUP(B353,'MASTER DATA'!$A$1:$E$212,4,FALSE),"")</f>
        <v/>
      </c>
      <c r="G353" s="17"/>
      <c r="H353" s="17"/>
      <c r="I353" s="17"/>
      <c r="J353" s="17" t="b">
        <v>0</v>
      </c>
    </row>
    <row r="354">
      <c r="A354" s="17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 t="str">
        <f>IFERROR(VLOOKUP(B354,'MASTER DATA'!$A$1:$E$212,4,FALSE),"")</f>
        <v/>
      </c>
      <c r="G354" s="17"/>
      <c r="H354" s="17"/>
      <c r="I354" s="17"/>
      <c r="J354" s="17" t="b">
        <v>0</v>
      </c>
    </row>
    <row r="355">
      <c r="A355" s="17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 t="str">
        <f>IFERROR(VLOOKUP(B355,'MASTER DATA'!$A$1:$E$212,4,FALSE),"")</f>
        <v/>
      </c>
      <c r="G355" s="17"/>
      <c r="H355" s="17"/>
      <c r="I355" s="17"/>
      <c r="J355" s="17" t="b">
        <v>0</v>
      </c>
    </row>
    <row r="356">
      <c r="A356" s="17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 t="str">
        <f>IFERROR(VLOOKUP(B356,'MASTER DATA'!$A$1:$E$212,4,FALSE),"")</f>
        <v/>
      </c>
      <c r="G356" s="17"/>
      <c r="H356" s="17"/>
      <c r="I356" s="17"/>
      <c r="J356" s="17" t="b">
        <v>0</v>
      </c>
    </row>
    <row r="357">
      <c r="A357" s="17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 t="str">
        <f>IFERROR(VLOOKUP(B357,'MASTER DATA'!$A$1:$E$212,4,FALSE),"")</f>
        <v/>
      </c>
      <c r="G357" s="17"/>
      <c r="H357" s="17"/>
      <c r="I357" s="17"/>
      <c r="J357" s="17" t="b">
        <v>0</v>
      </c>
    </row>
    <row r="358">
      <c r="A358" s="17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 t="str">
        <f>IFERROR(VLOOKUP(B358,'MASTER DATA'!$A$1:$E$212,4,FALSE),"")</f>
        <v/>
      </c>
      <c r="G358" s="17"/>
      <c r="H358" s="17"/>
      <c r="I358" s="17"/>
      <c r="J358" s="17" t="b">
        <v>0</v>
      </c>
    </row>
    <row r="359">
      <c r="A359" s="17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 t="str">
        <f>IFERROR(VLOOKUP(B359,'MASTER DATA'!$A$1:$E$212,4,FALSE),"")</f>
        <v/>
      </c>
      <c r="G359" s="17"/>
      <c r="H359" s="17"/>
      <c r="I359" s="17"/>
      <c r="J359" s="17" t="b">
        <v>0</v>
      </c>
    </row>
    <row r="360">
      <c r="A360" s="17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 t="str">
        <f>IFERROR(VLOOKUP(B360,'MASTER DATA'!$A$1:$E$212,4,FALSE),"")</f>
        <v/>
      </c>
      <c r="G360" s="17"/>
      <c r="H360" s="17"/>
      <c r="I360" s="17"/>
      <c r="J360" s="17" t="b">
        <v>0</v>
      </c>
    </row>
    <row r="361">
      <c r="A361" s="17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 t="str">
        <f>IFERROR(VLOOKUP(B361,'MASTER DATA'!$A$1:$E$212,4,FALSE),"")</f>
        <v/>
      </c>
      <c r="G361" s="17"/>
      <c r="H361" s="17"/>
      <c r="I361" s="17"/>
      <c r="J361" s="17" t="b">
        <v>0</v>
      </c>
    </row>
    <row r="362">
      <c r="A362" s="17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 t="str">
        <f>IFERROR(VLOOKUP(B362,'MASTER DATA'!$A$1:$E$212,4,FALSE),"")</f>
        <v/>
      </c>
      <c r="G362" s="17"/>
      <c r="H362" s="17"/>
      <c r="I362" s="17"/>
      <c r="J362" s="17" t="b">
        <v>0</v>
      </c>
    </row>
    <row r="363">
      <c r="A363" s="17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 t="str">
        <f>IFERROR(VLOOKUP(B363,'MASTER DATA'!$A$1:$E$212,4,FALSE),"")</f>
        <v/>
      </c>
      <c r="G363" s="17"/>
      <c r="H363" s="17"/>
      <c r="I363" s="17"/>
      <c r="J363" s="17" t="b">
        <v>0</v>
      </c>
    </row>
    <row r="364">
      <c r="A364" s="17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 t="str">
        <f>IFERROR(VLOOKUP(B364,'MASTER DATA'!$A$1:$E$212,4,FALSE),"")</f>
        <v/>
      </c>
      <c r="G364" s="17"/>
      <c r="H364" s="17"/>
      <c r="I364" s="17"/>
      <c r="J364" s="17" t="b">
        <v>0</v>
      </c>
    </row>
    <row r="365">
      <c r="A365" s="17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 t="str">
        <f>IFERROR(VLOOKUP(B365,'MASTER DATA'!$A$1:$E$212,4,FALSE),"")</f>
        <v/>
      </c>
      <c r="G365" s="17"/>
      <c r="H365" s="17"/>
      <c r="I365" s="17"/>
      <c r="J365" s="17" t="b">
        <v>0</v>
      </c>
    </row>
    <row r="366">
      <c r="A366" s="17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 t="str">
        <f>IFERROR(VLOOKUP(B366,'MASTER DATA'!$A$1:$E$212,4,FALSE),"")</f>
        <v/>
      </c>
      <c r="G366" s="17"/>
      <c r="H366" s="17"/>
      <c r="I366" s="17"/>
      <c r="J366" s="17" t="b">
        <v>0</v>
      </c>
    </row>
    <row r="367">
      <c r="A367" s="17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 t="str">
        <f>IFERROR(VLOOKUP(B367,'MASTER DATA'!$A$1:$E$212,4,FALSE),"")</f>
        <v/>
      </c>
      <c r="G367" s="17"/>
      <c r="H367" s="17"/>
      <c r="I367" s="17"/>
      <c r="J367" s="17" t="b">
        <v>0</v>
      </c>
    </row>
    <row r="368">
      <c r="A368" s="17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 t="str">
        <f>IFERROR(VLOOKUP(B368,'MASTER DATA'!$A$1:$E$212,4,FALSE),"")</f>
        <v/>
      </c>
      <c r="G368" s="17"/>
      <c r="H368" s="17"/>
      <c r="I368" s="17"/>
      <c r="J368" s="17" t="b">
        <v>0</v>
      </c>
    </row>
    <row r="369">
      <c r="A369" s="17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 t="str">
        <f>IFERROR(VLOOKUP(B369,'MASTER DATA'!$A$1:$E$212,4,FALSE),"")</f>
        <v/>
      </c>
      <c r="G369" s="17"/>
      <c r="H369" s="17"/>
      <c r="I369" s="17"/>
      <c r="J369" s="17" t="b">
        <v>0</v>
      </c>
    </row>
    <row r="370">
      <c r="A370" s="17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 t="str">
        <f>IFERROR(VLOOKUP(B370,'MASTER DATA'!$A$1:$E$212,4,FALSE),"")</f>
        <v/>
      </c>
      <c r="G370" s="17"/>
      <c r="H370" s="17"/>
      <c r="I370" s="17"/>
      <c r="J370" s="17" t="b">
        <v>0</v>
      </c>
    </row>
    <row r="371">
      <c r="A371" s="17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 t="str">
        <f>IFERROR(VLOOKUP(B371,'MASTER DATA'!$A$1:$E$212,4,FALSE),"")</f>
        <v/>
      </c>
      <c r="G371" s="17"/>
      <c r="H371" s="17"/>
      <c r="I371" s="17"/>
      <c r="J371" s="17" t="b">
        <v>0</v>
      </c>
    </row>
    <row r="372">
      <c r="A372" s="17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 t="str">
        <f>IFERROR(VLOOKUP(B372,'MASTER DATA'!$A$1:$E$212,4,FALSE),"")</f>
        <v/>
      </c>
      <c r="G372" s="17"/>
      <c r="H372" s="17"/>
      <c r="I372" s="17"/>
      <c r="J372" s="17" t="b">
        <v>0</v>
      </c>
    </row>
    <row r="373">
      <c r="A373" s="17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 t="str">
        <f>IFERROR(VLOOKUP(B373,'MASTER DATA'!$A$1:$E$212,4,FALSE),"")</f>
        <v/>
      </c>
      <c r="G373" s="17"/>
      <c r="H373" s="17"/>
      <c r="I373" s="17"/>
      <c r="J373" s="17" t="b">
        <v>0</v>
      </c>
    </row>
    <row r="374">
      <c r="A374" s="17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 t="str">
        <f>IFERROR(VLOOKUP(B374,'MASTER DATA'!$A$1:$E$212,4,FALSE),"")</f>
        <v/>
      </c>
      <c r="G374" s="17"/>
      <c r="H374" s="17"/>
      <c r="I374" s="17"/>
      <c r="J374" s="17" t="b">
        <v>0</v>
      </c>
    </row>
    <row r="375">
      <c r="A375" s="17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 t="str">
        <f>IFERROR(VLOOKUP(B375,'MASTER DATA'!$A$1:$E$212,4,FALSE),"")</f>
        <v/>
      </c>
      <c r="G375" s="17"/>
      <c r="H375" s="17"/>
      <c r="I375" s="17"/>
      <c r="J375" s="17" t="b">
        <v>0</v>
      </c>
    </row>
    <row r="376">
      <c r="A376" s="17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 t="str">
        <f>IFERROR(VLOOKUP(B376,'MASTER DATA'!$A$1:$E$212,4,FALSE),"")</f>
        <v/>
      </c>
      <c r="G376" s="17"/>
      <c r="H376" s="17"/>
      <c r="I376" s="17"/>
      <c r="J376" s="17" t="b">
        <v>0</v>
      </c>
    </row>
    <row r="377">
      <c r="A377" s="17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 t="str">
        <f>IFERROR(VLOOKUP(B377,'MASTER DATA'!$A$1:$E$212,4,FALSE),"")</f>
        <v/>
      </c>
      <c r="G377" s="17"/>
      <c r="H377" s="17"/>
      <c r="I377" s="17"/>
      <c r="J377" s="17" t="b">
        <v>0</v>
      </c>
    </row>
    <row r="378">
      <c r="A378" s="17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 t="str">
        <f>IFERROR(VLOOKUP(B378,'MASTER DATA'!$A$1:$E$212,4,FALSE),"")</f>
        <v/>
      </c>
      <c r="G378" s="17"/>
      <c r="H378" s="17"/>
      <c r="I378" s="17"/>
      <c r="J378" s="17" t="b">
        <v>0</v>
      </c>
    </row>
    <row r="379">
      <c r="A379" s="17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 t="str">
        <f>IFERROR(VLOOKUP(B379,'MASTER DATA'!$A$1:$E$212,4,FALSE),"")</f>
        <v/>
      </c>
      <c r="G379" s="17"/>
      <c r="H379" s="17"/>
      <c r="I379" s="17"/>
      <c r="J379" s="17" t="b">
        <v>0</v>
      </c>
    </row>
    <row r="380">
      <c r="A380" s="17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 t="str">
        <f>IFERROR(VLOOKUP(B380,'MASTER DATA'!$A$1:$E$212,4,FALSE),"")</f>
        <v/>
      </c>
      <c r="G380" s="17"/>
      <c r="H380" s="17"/>
      <c r="I380" s="17"/>
      <c r="J380" s="17" t="b">
        <v>0</v>
      </c>
    </row>
    <row r="381">
      <c r="A381" s="17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 t="str">
        <f>IFERROR(VLOOKUP(B381,'MASTER DATA'!$A$1:$E$212,4,FALSE),"")</f>
        <v/>
      </c>
      <c r="G381" s="17"/>
      <c r="H381" s="17"/>
      <c r="I381" s="17"/>
      <c r="J381" s="17" t="b">
        <v>0</v>
      </c>
    </row>
    <row r="382">
      <c r="A382" s="17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 t="str">
        <f>IFERROR(VLOOKUP(B382,'MASTER DATA'!$A$1:$E$212,4,FALSE),"")</f>
        <v/>
      </c>
      <c r="G382" s="17"/>
      <c r="H382" s="17"/>
      <c r="I382" s="17"/>
      <c r="J382" s="17" t="b">
        <v>0</v>
      </c>
    </row>
    <row r="383">
      <c r="A383" s="17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 t="str">
        <f>IFERROR(VLOOKUP(B383,'MASTER DATA'!$A$1:$E$212,4,FALSE),"")</f>
        <v/>
      </c>
      <c r="G383" s="17"/>
      <c r="H383" s="17"/>
      <c r="I383" s="17"/>
      <c r="J383" s="17" t="b">
        <v>0</v>
      </c>
    </row>
    <row r="384">
      <c r="A384" s="17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 t="str">
        <f>IFERROR(VLOOKUP(B384,'MASTER DATA'!$A$1:$E$212,4,FALSE),"")</f>
        <v/>
      </c>
      <c r="G384" s="17"/>
      <c r="H384" s="17"/>
      <c r="I384" s="17"/>
      <c r="J384" s="17" t="b">
        <v>0</v>
      </c>
    </row>
    <row r="385">
      <c r="A385" s="17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 t="str">
        <f>IFERROR(VLOOKUP(B385,'MASTER DATA'!$A$1:$E$212,4,FALSE),"")</f>
        <v/>
      </c>
      <c r="G385" s="17"/>
      <c r="H385" s="17"/>
      <c r="I385" s="17"/>
      <c r="J385" s="17" t="b">
        <v>0</v>
      </c>
    </row>
    <row r="386">
      <c r="A386" s="17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 t="str">
        <f>IFERROR(VLOOKUP(B386,'MASTER DATA'!$A$1:$E$212,4,FALSE),"")</f>
        <v/>
      </c>
      <c r="G386" s="17"/>
      <c r="H386" s="17"/>
      <c r="I386" s="17"/>
      <c r="J386" s="17" t="b">
        <v>0</v>
      </c>
    </row>
    <row r="387">
      <c r="A387" s="17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 t="str">
        <f>IFERROR(VLOOKUP(B387,'MASTER DATA'!$A$1:$E$212,4,FALSE),"")</f>
        <v/>
      </c>
      <c r="G387" s="17"/>
      <c r="H387" s="17"/>
      <c r="I387" s="17"/>
      <c r="J387" s="17" t="b">
        <v>0</v>
      </c>
    </row>
    <row r="388">
      <c r="A388" s="17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 t="str">
        <f>IFERROR(VLOOKUP(B388,'MASTER DATA'!$A$1:$E$212,4,FALSE),"")</f>
        <v/>
      </c>
      <c r="G388" s="17"/>
      <c r="H388" s="17"/>
      <c r="I388" s="17"/>
      <c r="J388" s="17" t="b">
        <v>0</v>
      </c>
    </row>
    <row r="389">
      <c r="A389" s="17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 t="str">
        <f>IFERROR(VLOOKUP(B389,'MASTER DATA'!$A$1:$E$212,4,FALSE),"")</f>
        <v/>
      </c>
      <c r="G389" s="17"/>
      <c r="H389" s="17"/>
      <c r="I389" s="17"/>
      <c r="J389" s="17" t="b">
        <v>0</v>
      </c>
    </row>
    <row r="390">
      <c r="A390" s="17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 t="str">
        <f>IFERROR(VLOOKUP(B390,'MASTER DATA'!$A$1:$E$212,4,FALSE),"")</f>
        <v/>
      </c>
      <c r="G390" s="17"/>
      <c r="H390" s="17"/>
      <c r="I390" s="17"/>
      <c r="J390" s="17" t="b">
        <v>0</v>
      </c>
    </row>
    <row r="391">
      <c r="A391" s="17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 t="str">
        <f>IFERROR(VLOOKUP(B391,'MASTER DATA'!$A$1:$E$212,4,FALSE),"")</f>
        <v/>
      </c>
      <c r="G391" s="17"/>
      <c r="H391" s="17"/>
      <c r="I391" s="17"/>
      <c r="J391" s="17" t="b">
        <v>0</v>
      </c>
    </row>
    <row r="392">
      <c r="A392" s="17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 t="str">
        <f>IFERROR(VLOOKUP(B392,'MASTER DATA'!$A$1:$E$212,4,FALSE),"")</f>
        <v/>
      </c>
      <c r="G392" s="17"/>
      <c r="H392" s="17"/>
      <c r="I392" s="17"/>
      <c r="J392" s="17" t="b">
        <v>0</v>
      </c>
    </row>
    <row r="393">
      <c r="A393" s="17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 t="str">
        <f>IFERROR(VLOOKUP(B393,'MASTER DATA'!$A$1:$E$212,4,FALSE),"")</f>
        <v/>
      </c>
      <c r="G393" s="17"/>
      <c r="H393" s="17"/>
      <c r="I393" s="17"/>
      <c r="J393" s="17" t="b">
        <v>0</v>
      </c>
    </row>
    <row r="394">
      <c r="A394" s="17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 t="str">
        <f>IFERROR(VLOOKUP(B394,'MASTER DATA'!$A$1:$E$212,4,FALSE),"")</f>
        <v/>
      </c>
      <c r="G394" s="17"/>
      <c r="H394" s="17"/>
      <c r="I394" s="17"/>
      <c r="J394" s="17" t="b">
        <v>0</v>
      </c>
    </row>
    <row r="395">
      <c r="A395" s="17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 t="str">
        <f>IFERROR(VLOOKUP(B395,'MASTER DATA'!$A$1:$E$212,4,FALSE),"")</f>
        <v/>
      </c>
      <c r="G395" s="17"/>
      <c r="H395" s="17"/>
      <c r="I395" s="17"/>
      <c r="J395" s="17" t="b">
        <v>0</v>
      </c>
    </row>
    <row r="396">
      <c r="A396" s="17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 t="str">
        <f>IFERROR(VLOOKUP(B396,'MASTER DATA'!$A$1:$E$212,4,FALSE),"")</f>
        <v/>
      </c>
      <c r="G396" s="17"/>
      <c r="H396" s="17"/>
      <c r="I396" s="17"/>
      <c r="J396" s="17" t="b">
        <v>0</v>
      </c>
    </row>
    <row r="397">
      <c r="A397" s="17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 t="str">
        <f>IFERROR(VLOOKUP(B397,'MASTER DATA'!$A$1:$E$212,4,FALSE),"")</f>
        <v/>
      </c>
      <c r="G397" s="17"/>
      <c r="H397" s="17"/>
      <c r="I397" s="17"/>
      <c r="J397" s="17" t="b">
        <v>0</v>
      </c>
    </row>
    <row r="398">
      <c r="A398" s="17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 t="str">
        <f>IFERROR(VLOOKUP(B398,'MASTER DATA'!$A$1:$E$212,4,FALSE),"")</f>
        <v/>
      </c>
      <c r="G398" s="17"/>
      <c r="H398" s="17"/>
      <c r="I398" s="17"/>
      <c r="J398" s="17" t="b">
        <v>0</v>
      </c>
    </row>
    <row r="399">
      <c r="A399" s="17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 t="str">
        <f>IFERROR(VLOOKUP(B399,'MASTER DATA'!$A$1:$E$212,4,FALSE),"")</f>
        <v/>
      </c>
      <c r="G399" s="17"/>
      <c r="H399" s="17"/>
      <c r="I399" s="17"/>
      <c r="J399" s="17" t="b">
        <v>0</v>
      </c>
    </row>
    <row r="400">
      <c r="A400" s="17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 t="str">
        <f>IFERROR(VLOOKUP(B400,'MASTER DATA'!$A$1:$E$212,4,FALSE),"")</f>
        <v/>
      </c>
      <c r="G400" s="17"/>
      <c r="H400" s="17"/>
      <c r="I400" s="17"/>
      <c r="J400" s="17" t="b">
        <v>0</v>
      </c>
    </row>
    <row r="401">
      <c r="A401" s="17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 t="str">
        <f>IFERROR(VLOOKUP(B401,'MASTER DATA'!$A$1:$E$212,4,FALSE),"")</f>
        <v/>
      </c>
      <c r="G401" s="17"/>
      <c r="H401" s="17"/>
      <c r="I401" s="17"/>
      <c r="J401" s="17" t="b">
        <v>0</v>
      </c>
    </row>
    <row r="402">
      <c r="A402" s="17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 t="str">
        <f>IFERROR(VLOOKUP(B402,'MASTER DATA'!$A$1:$E$212,4,FALSE),"")</f>
        <v/>
      </c>
      <c r="G402" s="17"/>
      <c r="H402" s="17"/>
      <c r="I402" s="17"/>
      <c r="J402" s="17" t="b">
        <v>0</v>
      </c>
    </row>
    <row r="403">
      <c r="A403" s="17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 t="str">
        <f>IFERROR(VLOOKUP(B403,'MASTER DATA'!$A$1:$E$212,4,FALSE),"")</f>
        <v/>
      </c>
      <c r="G403" s="17"/>
      <c r="H403" s="17"/>
      <c r="I403" s="17"/>
      <c r="J403" s="17" t="b">
        <v>0</v>
      </c>
    </row>
    <row r="404">
      <c r="A404" s="17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 t="str">
        <f>IFERROR(VLOOKUP(B404,'MASTER DATA'!$A$1:$E$212,4,FALSE),"")</f>
        <v/>
      </c>
      <c r="G404" s="17"/>
      <c r="H404" s="17"/>
      <c r="I404" s="17"/>
      <c r="J404" s="17" t="b">
        <v>0</v>
      </c>
    </row>
    <row r="405">
      <c r="A405" s="17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 t="str">
        <f>IFERROR(VLOOKUP(B405,'MASTER DATA'!$A$1:$E$212,4,FALSE),"")</f>
        <v/>
      </c>
      <c r="G405" s="17"/>
      <c r="H405" s="17"/>
      <c r="I405" s="17"/>
      <c r="J405" s="17" t="b">
        <v>0</v>
      </c>
    </row>
    <row r="406">
      <c r="A406" s="17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 t="str">
        <f>IFERROR(VLOOKUP(B406,'MASTER DATA'!$A$1:$E$212,4,FALSE),"")</f>
        <v/>
      </c>
      <c r="G406" s="17"/>
      <c r="H406" s="17"/>
      <c r="I406" s="17"/>
      <c r="J406" s="17" t="b">
        <v>0</v>
      </c>
    </row>
    <row r="407">
      <c r="A407" s="17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 t="str">
        <f>IFERROR(VLOOKUP(B407,'MASTER DATA'!$A$1:$E$212,4,FALSE),"")</f>
        <v/>
      </c>
      <c r="G407" s="17"/>
      <c r="H407" s="17"/>
      <c r="I407" s="17"/>
      <c r="J407" s="17" t="b">
        <v>0</v>
      </c>
    </row>
    <row r="408">
      <c r="A408" s="17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 t="str">
        <f>IFERROR(VLOOKUP(B408,'MASTER DATA'!$A$1:$E$212,4,FALSE),"")</f>
        <v/>
      </c>
      <c r="G408" s="17"/>
      <c r="H408" s="17"/>
      <c r="I408" s="17"/>
      <c r="J408" s="17" t="b">
        <v>0</v>
      </c>
    </row>
    <row r="409">
      <c r="A409" s="17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 t="str">
        <f>IFERROR(VLOOKUP(B409,'MASTER DATA'!$A$1:$E$212,4,FALSE),"")</f>
        <v/>
      </c>
      <c r="G409" s="17"/>
      <c r="H409" s="17"/>
      <c r="I409" s="17"/>
      <c r="J409" s="17" t="b">
        <v>0</v>
      </c>
    </row>
    <row r="410">
      <c r="A410" s="17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 t="str">
        <f>IFERROR(VLOOKUP(B410,'MASTER DATA'!$A$1:$E$212,4,FALSE),"")</f>
        <v/>
      </c>
      <c r="G410" s="17"/>
      <c r="H410" s="17"/>
      <c r="I410" s="17"/>
      <c r="J410" s="17" t="b">
        <v>0</v>
      </c>
    </row>
    <row r="411">
      <c r="A411" s="17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 t="str">
        <f>IFERROR(VLOOKUP(B411,'MASTER DATA'!$A$1:$E$212,4,FALSE),"")</f>
        <v/>
      </c>
      <c r="G411" s="17"/>
      <c r="H411" s="17"/>
      <c r="I411" s="17"/>
      <c r="J411" s="17" t="b">
        <v>0</v>
      </c>
    </row>
    <row r="412">
      <c r="A412" s="17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 t="str">
        <f>IFERROR(VLOOKUP(B412,'MASTER DATA'!$A$1:$E$212,4,FALSE),"")</f>
        <v/>
      </c>
      <c r="G412" s="17"/>
      <c r="H412" s="17"/>
      <c r="I412" s="17"/>
      <c r="J412" s="17" t="b">
        <v>0</v>
      </c>
    </row>
    <row r="413">
      <c r="A413" s="17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 t="str">
        <f>IFERROR(VLOOKUP(B413,'MASTER DATA'!$A$1:$E$212,4,FALSE),"")</f>
        <v/>
      </c>
      <c r="G413" s="17"/>
      <c r="H413" s="17"/>
      <c r="I413" s="17"/>
      <c r="J413" s="17" t="b">
        <v>0</v>
      </c>
    </row>
    <row r="414">
      <c r="A414" s="17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 t="str">
        <f>IFERROR(VLOOKUP(B414,'MASTER DATA'!$A$1:$E$212,4,FALSE),"")</f>
        <v/>
      </c>
      <c r="G414" s="17"/>
      <c r="H414" s="17"/>
      <c r="I414" s="17"/>
      <c r="J414" s="17" t="b">
        <v>0</v>
      </c>
    </row>
    <row r="415">
      <c r="A415" s="17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 t="str">
        <f>IFERROR(VLOOKUP(B415,'MASTER DATA'!$A$1:$E$212,4,FALSE),"")</f>
        <v/>
      </c>
      <c r="G415" s="17"/>
      <c r="H415" s="17"/>
      <c r="I415" s="17"/>
      <c r="J415" s="17" t="b">
        <v>0</v>
      </c>
    </row>
    <row r="416">
      <c r="A416" s="17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 t="str">
        <f>IFERROR(VLOOKUP(B416,'MASTER DATA'!$A$1:$E$212,4,FALSE),"")</f>
        <v/>
      </c>
      <c r="G416" s="17"/>
      <c r="H416" s="17"/>
      <c r="I416" s="17"/>
      <c r="J416" s="17" t="b">
        <v>0</v>
      </c>
    </row>
    <row r="417">
      <c r="A417" s="17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 t="str">
        <f>IFERROR(VLOOKUP(B417,'MASTER DATA'!$A$1:$E$212,4,FALSE),"")</f>
        <v/>
      </c>
      <c r="G417" s="17"/>
      <c r="H417" s="17"/>
      <c r="I417" s="17"/>
      <c r="J417" s="17" t="b">
        <v>0</v>
      </c>
    </row>
    <row r="418">
      <c r="A418" s="17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 t="str">
        <f>IFERROR(VLOOKUP(B418,'MASTER DATA'!$A$1:$E$212,4,FALSE),"")</f>
        <v/>
      </c>
      <c r="G418" s="17"/>
      <c r="H418" s="17"/>
      <c r="I418" s="17"/>
      <c r="J418" s="17" t="b">
        <v>0</v>
      </c>
    </row>
    <row r="419">
      <c r="A419" s="17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 t="str">
        <f>IFERROR(VLOOKUP(B419,'MASTER DATA'!$A$1:$E$212,4,FALSE),"")</f>
        <v/>
      </c>
      <c r="G419" s="17"/>
      <c r="H419" s="17"/>
      <c r="I419" s="17"/>
      <c r="J419" s="17" t="b">
        <v>0</v>
      </c>
    </row>
    <row r="420">
      <c r="A420" s="17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 t="str">
        <f>IFERROR(VLOOKUP(B420,'MASTER DATA'!$A$1:$E$212,4,FALSE),"")</f>
        <v/>
      </c>
      <c r="G420" s="17"/>
      <c r="H420" s="17"/>
      <c r="I420" s="17"/>
      <c r="J420" s="17" t="b">
        <v>0</v>
      </c>
    </row>
    <row r="421">
      <c r="A421" s="17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 t="str">
        <f>IFERROR(VLOOKUP(B421,'MASTER DATA'!$A$1:$E$212,4,FALSE),"")</f>
        <v/>
      </c>
      <c r="G421" s="17"/>
      <c r="H421" s="17"/>
      <c r="I421" s="17"/>
      <c r="J421" s="17" t="b">
        <v>0</v>
      </c>
    </row>
    <row r="422">
      <c r="A422" s="17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 t="str">
        <f>IFERROR(VLOOKUP(B422,'MASTER DATA'!$A$1:$E$212,4,FALSE),"")</f>
        <v/>
      </c>
      <c r="G422" s="17"/>
      <c r="H422" s="17"/>
      <c r="I422" s="17"/>
      <c r="J422" s="17" t="b">
        <v>0</v>
      </c>
    </row>
    <row r="423">
      <c r="A423" s="17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 t="str">
        <f>IFERROR(VLOOKUP(B423,'MASTER DATA'!$A$1:$E$212,4,FALSE),"")</f>
        <v/>
      </c>
      <c r="G423" s="17"/>
      <c r="H423" s="17"/>
      <c r="I423" s="17"/>
      <c r="J423" s="17" t="b">
        <v>0</v>
      </c>
    </row>
    <row r="424">
      <c r="A424" s="17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 t="str">
        <f>IFERROR(VLOOKUP(B424,'MASTER DATA'!$A$1:$E$212,4,FALSE),"")</f>
        <v/>
      </c>
      <c r="G424" s="17"/>
      <c r="H424" s="17"/>
      <c r="I424" s="17"/>
      <c r="J424" s="17" t="b">
        <v>0</v>
      </c>
    </row>
    <row r="425">
      <c r="A425" s="17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 t="str">
        <f>IFERROR(VLOOKUP(B425,'MASTER DATA'!$A$1:$E$212,4,FALSE),"")</f>
        <v/>
      </c>
      <c r="G425" s="17"/>
      <c r="H425" s="17"/>
      <c r="I425" s="17"/>
      <c r="J425" s="17" t="b">
        <v>0</v>
      </c>
    </row>
    <row r="426">
      <c r="A426" s="17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 t="str">
        <f>IFERROR(VLOOKUP(B426,'MASTER DATA'!$A$1:$E$212,4,FALSE),"")</f>
        <v/>
      </c>
      <c r="G426" s="17"/>
      <c r="H426" s="17"/>
      <c r="I426" s="17"/>
      <c r="J426" s="17" t="b">
        <v>0</v>
      </c>
    </row>
    <row r="427">
      <c r="A427" s="17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 t="str">
        <f>IFERROR(VLOOKUP(B427,'MASTER DATA'!$A$1:$E$212,4,FALSE),"")</f>
        <v/>
      </c>
      <c r="G427" s="17"/>
      <c r="H427" s="17"/>
      <c r="I427" s="17"/>
      <c r="J427" s="17" t="b">
        <v>0</v>
      </c>
    </row>
    <row r="428">
      <c r="A428" s="17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 t="str">
        <f>IFERROR(VLOOKUP(B428,'MASTER DATA'!$A$1:$E$212,4,FALSE),"")</f>
        <v/>
      </c>
      <c r="G428" s="17"/>
      <c r="H428" s="17"/>
      <c r="I428" s="17"/>
      <c r="J428" s="17" t="b">
        <v>0</v>
      </c>
    </row>
    <row r="429">
      <c r="A429" s="17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 t="str">
        <f>IFERROR(VLOOKUP(B429,'MASTER DATA'!$A$1:$E$212,4,FALSE),"")</f>
        <v/>
      </c>
      <c r="G429" s="17"/>
      <c r="H429" s="17"/>
      <c r="I429" s="17"/>
      <c r="J429" s="17" t="b">
        <v>0</v>
      </c>
    </row>
    <row r="430">
      <c r="A430" s="17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 t="str">
        <f>IFERROR(VLOOKUP(B430,'MASTER DATA'!$A$1:$E$212,4,FALSE),"")</f>
        <v/>
      </c>
      <c r="G430" s="17"/>
      <c r="H430" s="17"/>
      <c r="I430" s="17"/>
      <c r="J430" s="17" t="b">
        <v>0</v>
      </c>
    </row>
    <row r="431">
      <c r="A431" s="17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 t="str">
        <f>IFERROR(VLOOKUP(B431,'MASTER DATA'!$A$1:$E$212,4,FALSE),"")</f>
        <v/>
      </c>
      <c r="G431" s="17"/>
      <c r="H431" s="17"/>
      <c r="I431" s="17"/>
      <c r="J431" s="17" t="b">
        <v>0</v>
      </c>
    </row>
    <row r="432">
      <c r="A432" s="17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 t="str">
        <f>IFERROR(VLOOKUP(B432,'MASTER DATA'!$A$1:$E$212,4,FALSE),"")</f>
        <v/>
      </c>
      <c r="G432" s="17"/>
      <c r="H432" s="17"/>
      <c r="I432" s="17"/>
      <c r="J432" s="17" t="b">
        <v>0</v>
      </c>
    </row>
    <row r="433">
      <c r="A433" s="17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 t="str">
        <f>IFERROR(VLOOKUP(B433,'MASTER DATA'!$A$1:$E$212,4,FALSE),"")</f>
        <v/>
      </c>
      <c r="G433" s="17"/>
      <c r="H433" s="17"/>
      <c r="I433" s="17"/>
      <c r="J433" s="17" t="b">
        <v>0</v>
      </c>
    </row>
    <row r="434">
      <c r="A434" s="17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 t="str">
        <f>IFERROR(VLOOKUP(B434,'MASTER DATA'!$A$1:$E$212,4,FALSE),"")</f>
        <v/>
      </c>
      <c r="G434" s="17"/>
      <c r="H434" s="17"/>
      <c r="I434" s="17"/>
      <c r="J434" s="17" t="b">
        <v>0</v>
      </c>
    </row>
    <row r="435">
      <c r="A435" s="17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 t="str">
        <f>IFERROR(VLOOKUP(B435,'MASTER DATA'!$A$1:$E$212,4,FALSE),"")</f>
        <v/>
      </c>
      <c r="G435" s="17"/>
      <c r="H435" s="17"/>
      <c r="I435" s="17"/>
      <c r="J435" s="17" t="b">
        <v>0</v>
      </c>
    </row>
    <row r="436">
      <c r="A436" s="17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 t="str">
        <f>IFERROR(VLOOKUP(B436,'MASTER DATA'!$A$1:$E$212,4,FALSE),"")</f>
        <v/>
      </c>
      <c r="G436" s="17"/>
      <c r="H436" s="17"/>
      <c r="I436" s="17"/>
      <c r="J436" s="17" t="b">
        <v>0</v>
      </c>
    </row>
    <row r="437">
      <c r="A437" s="17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 t="str">
        <f>IFERROR(VLOOKUP(B437,'MASTER DATA'!$A$1:$E$212,4,FALSE),"")</f>
        <v/>
      </c>
      <c r="G437" s="17"/>
      <c r="H437" s="17"/>
      <c r="I437" s="17"/>
      <c r="J437" s="17" t="b">
        <v>0</v>
      </c>
    </row>
    <row r="438">
      <c r="A438" s="17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 t="str">
        <f>IFERROR(VLOOKUP(B438,'MASTER DATA'!$A$1:$E$212,4,FALSE),"")</f>
        <v/>
      </c>
      <c r="G438" s="17"/>
      <c r="H438" s="17"/>
      <c r="I438" s="17"/>
      <c r="J438" s="17" t="b">
        <v>0</v>
      </c>
    </row>
    <row r="439">
      <c r="A439" s="17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 t="str">
        <f>IFERROR(VLOOKUP(B439,'MASTER DATA'!$A$1:$E$212,4,FALSE),"")</f>
        <v/>
      </c>
      <c r="G439" s="17"/>
      <c r="H439" s="17"/>
      <c r="I439" s="17"/>
      <c r="J439" s="17" t="b">
        <v>0</v>
      </c>
    </row>
    <row r="440">
      <c r="A440" s="17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 t="str">
        <f>IFERROR(VLOOKUP(B440,'MASTER DATA'!$A$1:$E$212,4,FALSE),"")</f>
        <v/>
      </c>
      <c r="G440" s="17"/>
      <c r="H440" s="17"/>
      <c r="I440" s="17"/>
      <c r="J440" s="17" t="b">
        <v>0</v>
      </c>
    </row>
    <row r="441">
      <c r="A441" s="17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 t="str">
        <f>IFERROR(VLOOKUP(B441,'MASTER DATA'!$A$1:$E$212,4,FALSE),"")</f>
        <v/>
      </c>
      <c r="G441" s="17"/>
      <c r="H441" s="17"/>
      <c r="I441" s="17"/>
      <c r="J441" s="17" t="b">
        <v>0</v>
      </c>
    </row>
    <row r="442">
      <c r="A442" s="17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 t="str">
        <f>IFERROR(VLOOKUP(B442,'MASTER DATA'!$A$1:$E$212,4,FALSE),"")</f>
        <v/>
      </c>
      <c r="G442" s="17"/>
      <c r="H442" s="17"/>
      <c r="I442" s="17"/>
      <c r="J442" s="17" t="b">
        <v>0</v>
      </c>
    </row>
    <row r="443">
      <c r="A443" s="17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 t="str">
        <f>IFERROR(VLOOKUP(B443,'MASTER DATA'!$A$1:$E$212,4,FALSE),"")</f>
        <v/>
      </c>
      <c r="G443" s="17"/>
      <c r="H443" s="17"/>
      <c r="I443" s="17"/>
      <c r="J443" s="17" t="b">
        <v>0</v>
      </c>
    </row>
    <row r="444">
      <c r="A444" s="17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 t="str">
        <f>IFERROR(VLOOKUP(B444,'MASTER DATA'!$A$1:$E$212,4,FALSE),"")</f>
        <v/>
      </c>
      <c r="G444" s="17"/>
      <c r="H444" s="17"/>
      <c r="I444" s="17"/>
      <c r="J444" s="17" t="b">
        <v>0</v>
      </c>
    </row>
    <row r="445">
      <c r="A445" s="17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 t="str">
        <f>IFERROR(VLOOKUP(B445,'MASTER DATA'!$A$1:$E$212,4,FALSE),"")</f>
        <v/>
      </c>
      <c r="G445" s="17"/>
      <c r="H445" s="17"/>
      <c r="I445" s="17"/>
      <c r="J445" s="17" t="b">
        <v>0</v>
      </c>
    </row>
    <row r="446">
      <c r="A446" s="17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 t="str">
        <f>IFERROR(VLOOKUP(B446,'MASTER DATA'!$A$1:$E$212,4,FALSE),"")</f>
        <v/>
      </c>
      <c r="G446" s="17"/>
      <c r="H446" s="17"/>
      <c r="I446" s="17"/>
      <c r="J446" s="17" t="b">
        <v>0</v>
      </c>
    </row>
    <row r="447">
      <c r="A447" s="17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 t="str">
        <f>IFERROR(VLOOKUP(B447,'MASTER DATA'!$A$1:$E$212,4,FALSE),"")</f>
        <v/>
      </c>
      <c r="G447" s="17"/>
      <c r="H447" s="17"/>
      <c r="I447" s="17"/>
      <c r="J447" s="17" t="b">
        <v>0</v>
      </c>
    </row>
    <row r="448">
      <c r="A448" s="17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 t="str">
        <f>IFERROR(VLOOKUP(B448,'MASTER DATA'!$A$1:$E$212,4,FALSE),"")</f>
        <v/>
      </c>
      <c r="G448" s="17"/>
      <c r="H448" s="17"/>
      <c r="I448" s="17"/>
      <c r="J448" s="17" t="b">
        <v>0</v>
      </c>
    </row>
    <row r="449">
      <c r="A449" s="17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 t="str">
        <f>IFERROR(VLOOKUP(B449,'MASTER DATA'!$A$1:$E$212,4,FALSE),"")</f>
        <v/>
      </c>
      <c r="G449" s="17"/>
      <c r="H449" s="17"/>
      <c r="I449" s="17"/>
      <c r="J449" s="17" t="b">
        <v>0</v>
      </c>
    </row>
    <row r="450">
      <c r="A450" s="17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 t="str">
        <f>IFERROR(VLOOKUP(B450,'MASTER DATA'!$A$1:$E$212,4,FALSE),"")</f>
        <v/>
      </c>
      <c r="G450" s="17"/>
      <c r="H450" s="17"/>
      <c r="I450" s="17"/>
      <c r="J450" s="17" t="b">
        <v>0</v>
      </c>
    </row>
    <row r="451">
      <c r="A451" s="17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 t="str">
        <f>IFERROR(VLOOKUP(B451,'MASTER DATA'!$A$1:$E$212,4,FALSE),"")</f>
        <v/>
      </c>
      <c r="G451" s="17"/>
      <c r="H451" s="17"/>
      <c r="I451" s="17"/>
      <c r="J451" s="17" t="b">
        <v>0</v>
      </c>
    </row>
    <row r="452">
      <c r="A452" s="17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 t="str">
        <f>IFERROR(VLOOKUP(B452,'MASTER DATA'!$A$1:$E$212,4,FALSE),"")</f>
        <v/>
      </c>
      <c r="G452" s="17"/>
      <c r="H452" s="17"/>
      <c r="I452" s="17"/>
      <c r="J452" s="17" t="b">
        <v>0</v>
      </c>
    </row>
    <row r="453">
      <c r="A453" s="17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 t="str">
        <f>IFERROR(VLOOKUP(B453,'MASTER DATA'!$A$1:$E$212,4,FALSE),"")</f>
        <v/>
      </c>
      <c r="G453" s="17"/>
      <c r="H453" s="17"/>
      <c r="I453" s="17"/>
      <c r="J453" s="17" t="b">
        <v>0</v>
      </c>
    </row>
    <row r="454">
      <c r="A454" s="17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 t="str">
        <f>IFERROR(VLOOKUP(B454,'MASTER DATA'!$A$1:$E$212,4,FALSE),"")</f>
        <v/>
      </c>
      <c r="G454" s="17"/>
      <c r="H454" s="17"/>
      <c r="I454" s="17"/>
      <c r="J454" s="17" t="b">
        <v>0</v>
      </c>
    </row>
    <row r="455">
      <c r="A455" s="17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 t="str">
        <f>IFERROR(VLOOKUP(B455,'MASTER DATA'!$A$1:$E$212,4,FALSE),"")</f>
        <v/>
      </c>
      <c r="G455" s="17"/>
      <c r="H455" s="17"/>
      <c r="I455" s="17"/>
      <c r="J455" s="17" t="b">
        <v>0</v>
      </c>
    </row>
    <row r="456">
      <c r="A456" s="17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 t="str">
        <f>IFERROR(VLOOKUP(B456,'MASTER DATA'!$A$1:$E$212,4,FALSE),"")</f>
        <v/>
      </c>
      <c r="G456" s="17"/>
      <c r="H456" s="17"/>
      <c r="I456" s="17"/>
      <c r="J456" s="17" t="b">
        <v>0</v>
      </c>
    </row>
    <row r="457">
      <c r="A457" s="17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 t="str">
        <f>IFERROR(VLOOKUP(B457,'MASTER DATA'!$A$1:$E$212,4,FALSE),"")</f>
        <v/>
      </c>
      <c r="G457" s="17"/>
      <c r="H457" s="17"/>
      <c r="I457" s="17"/>
      <c r="J457" s="17" t="b">
        <v>0</v>
      </c>
    </row>
    <row r="458">
      <c r="A458" s="17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 t="str">
        <f>IFERROR(VLOOKUP(B458,'MASTER DATA'!$A$1:$E$212,4,FALSE),"")</f>
        <v/>
      </c>
      <c r="G458" s="17"/>
      <c r="H458" s="17"/>
      <c r="I458" s="17"/>
      <c r="J458" s="17" t="b">
        <v>0</v>
      </c>
    </row>
    <row r="459">
      <c r="A459" s="17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 t="str">
        <f>IFERROR(VLOOKUP(B459,'MASTER DATA'!$A$1:$E$212,4,FALSE),"")</f>
        <v/>
      </c>
      <c r="G459" s="17"/>
      <c r="H459" s="17"/>
      <c r="I459" s="17"/>
      <c r="J459" s="17" t="b">
        <v>0</v>
      </c>
    </row>
    <row r="460">
      <c r="A460" s="17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 t="str">
        <f>IFERROR(VLOOKUP(B460,'MASTER DATA'!$A$1:$E$212,4,FALSE),"")</f>
        <v/>
      </c>
      <c r="G460" s="17"/>
      <c r="H460" s="17"/>
      <c r="I460" s="17"/>
      <c r="J460" s="17" t="b">
        <v>0</v>
      </c>
    </row>
    <row r="461">
      <c r="A461" s="17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 t="str">
        <f>IFERROR(VLOOKUP(B461,'MASTER DATA'!$A$1:$E$212,4,FALSE),"")</f>
        <v/>
      </c>
      <c r="G461" s="17"/>
      <c r="H461" s="17"/>
      <c r="I461" s="17"/>
      <c r="J461" s="17" t="b">
        <v>0</v>
      </c>
    </row>
    <row r="462">
      <c r="A462" s="17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 t="str">
        <f>IFERROR(VLOOKUP(B462,'MASTER DATA'!$A$1:$E$212,4,FALSE),"")</f>
        <v/>
      </c>
      <c r="G462" s="17"/>
      <c r="H462" s="17"/>
      <c r="I462" s="17"/>
      <c r="J462" s="17" t="b">
        <v>0</v>
      </c>
    </row>
    <row r="463">
      <c r="A463" s="17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 t="str">
        <f>IFERROR(VLOOKUP(B463,'MASTER DATA'!$A$1:$E$212,4,FALSE),"")</f>
        <v/>
      </c>
      <c r="G463" s="17"/>
      <c r="H463" s="17"/>
      <c r="I463" s="17"/>
      <c r="J463" s="17" t="b">
        <v>0</v>
      </c>
    </row>
    <row r="464">
      <c r="A464" s="17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 t="str">
        <f>IFERROR(VLOOKUP(B464,'MASTER DATA'!$A$1:$E$212,4,FALSE),"")</f>
        <v/>
      </c>
      <c r="G464" s="17"/>
      <c r="H464" s="17"/>
      <c r="I464" s="17"/>
      <c r="J464" s="17" t="b">
        <v>0</v>
      </c>
    </row>
    <row r="465">
      <c r="A465" s="17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 t="str">
        <f>IFERROR(VLOOKUP(B465,'MASTER DATA'!$A$1:$E$212,4,FALSE),"")</f>
        <v/>
      </c>
      <c r="G465" s="17"/>
      <c r="H465" s="17"/>
      <c r="I465" s="17"/>
      <c r="J465" s="17" t="b">
        <v>0</v>
      </c>
    </row>
    <row r="466">
      <c r="A466" s="17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 t="str">
        <f>IFERROR(VLOOKUP(B466,'MASTER DATA'!$A$1:$E$212,4,FALSE),"")</f>
        <v/>
      </c>
      <c r="G466" s="17"/>
      <c r="H466" s="17"/>
      <c r="I466" s="17"/>
      <c r="J466" s="17" t="b">
        <v>0</v>
      </c>
    </row>
    <row r="467">
      <c r="A467" s="17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 t="str">
        <f>IFERROR(VLOOKUP(B467,'MASTER DATA'!$A$1:$E$212,4,FALSE),"")</f>
        <v/>
      </c>
      <c r="G467" s="17"/>
      <c r="H467" s="17"/>
      <c r="I467" s="17"/>
      <c r="J467" s="17" t="b">
        <v>0</v>
      </c>
    </row>
    <row r="468">
      <c r="A468" s="17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 t="str">
        <f>IFERROR(VLOOKUP(B468,'MASTER DATA'!$A$1:$E$212,4,FALSE),"")</f>
        <v/>
      </c>
      <c r="G468" s="17"/>
      <c r="H468" s="17"/>
      <c r="I468" s="17"/>
      <c r="J468" s="17" t="b">
        <v>0</v>
      </c>
    </row>
    <row r="469">
      <c r="A469" s="17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 t="str">
        <f>IFERROR(VLOOKUP(B469,'MASTER DATA'!$A$1:$E$212,4,FALSE),"")</f>
        <v/>
      </c>
      <c r="G469" s="17"/>
      <c r="H469" s="17"/>
      <c r="I469" s="17"/>
      <c r="J469" s="17" t="b">
        <v>0</v>
      </c>
    </row>
    <row r="470">
      <c r="A470" s="17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 t="str">
        <f>IFERROR(VLOOKUP(B470,'MASTER DATA'!$A$1:$E$212,4,FALSE),"")</f>
        <v/>
      </c>
      <c r="G470" s="17"/>
      <c r="H470" s="17"/>
      <c r="I470" s="17"/>
      <c r="J470" s="17" t="b">
        <v>0</v>
      </c>
    </row>
    <row r="471">
      <c r="A471" s="17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 t="str">
        <f>IFERROR(VLOOKUP(B471,'MASTER DATA'!$A$1:$E$212,4,FALSE),"")</f>
        <v/>
      </c>
      <c r="G471" s="17"/>
      <c r="H471" s="17"/>
      <c r="I471" s="17"/>
      <c r="J471" s="17" t="b">
        <v>0</v>
      </c>
    </row>
    <row r="472">
      <c r="A472" s="17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 t="str">
        <f>IFERROR(VLOOKUP(B472,'MASTER DATA'!$A$1:$E$212,4,FALSE),"")</f>
        <v/>
      </c>
      <c r="G472" s="17"/>
      <c r="H472" s="17"/>
      <c r="I472" s="17"/>
      <c r="J472" s="17" t="b">
        <v>0</v>
      </c>
    </row>
    <row r="473">
      <c r="A473" s="17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 t="str">
        <f>IFERROR(VLOOKUP(B473,'MASTER DATA'!$A$1:$E$212,4,FALSE),"")</f>
        <v/>
      </c>
      <c r="G473" s="17"/>
      <c r="H473" s="17"/>
      <c r="I473" s="17"/>
      <c r="J473" s="17" t="b">
        <v>0</v>
      </c>
    </row>
    <row r="474">
      <c r="A474" s="17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 t="str">
        <f>IFERROR(VLOOKUP(B474,'MASTER DATA'!$A$1:$E$212,4,FALSE),"")</f>
        <v/>
      </c>
      <c r="G474" s="17"/>
      <c r="H474" s="17"/>
      <c r="I474" s="17"/>
      <c r="J474" s="17" t="b">
        <v>0</v>
      </c>
    </row>
    <row r="475">
      <c r="A475" s="17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 t="str">
        <f>IFERROR(VLOOKUP(B475,'MASTER DATA'!$A$1:$E$212,4,FALSE),"")</f>
        <v/>
      </c>
      <c r="G475" s="17"/>
      <c r="H475" s="17"/>
      <c r="I475" s="17"/>
      <c r="J475" s="17" t="b">
        <v>0</v>
      </c>
    </row>
    <row r="476">
      <c r="A476" s="17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 t="str">
        <f>IFERROR(VLOOKUP(B476,'MASTER DATA'!$A$1:$E$212,4,FALSE),"")</f>
        <v/>
      </c>
      <c r="G476" s="17"/>
      <c r="H476" s="17"/>
      <c r="I476" s="17"/>
      <c r="J476" s="17" t="b">
        <v>0</v>
      </c>
    </row>
    <row r="477">
      <c r="A477" s="17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 t="str">
        <f>IFERROR(VLOOKUP(B477,'MASTER DATA'!$A$1:$E$212,4,FALSE),"")</f>
        <v/>
      </c>
      <c r="G477" s="17"/>
      <c r="H477" s="17"/>
      <c r="I477" s="17"/>
      <c r="J477" s="17" t="b">
        <v>0</v>
      </c>
    </row>
    <row r="478">
      <c r="A478" s="17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 t="str">
        <f>IFERROR(VLOOKUP(B478,'MASTER DATA'!$A$1:$E$212,4,FALSE),"")</f>
        <v/>
      </c>
      <c r="G478" s="17"/>
      <c r="H478" s="17"/>
      <c r="I478" s="17"/>
      <c r="J478" s="17" t="b">
        <v>0</v>
      </c>
    </row>
    <row r="479">
      <c r="A479" s="17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 t="str">
        <f>IFERROR(VLOOKUP(B479,'MASTER DATA'!$A$1:$E$212,4,FALSE),"")</f>
        <v/>
      </c>
      <c r="G479" s="17"/>
      <c r="H479" s="17"/>
      <c r="I479" s="17"/>
      <c r="J479" s="17" t="b">
        <v>0</v>
      </c>
    </row>
    <row r="480">
      <c r="A480" s="17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 t="str">
        <f>IFERROR(VLOOKUP(B480,'MASTER DATA'!$A$1:$E$212,4,FALSE),"")</f>
        <v/>
      </c>
      <c r="G480" s="17"/>
      <c r="H480" s="17"/>
      <c r="I480" s="17"/>
      <c r="J480" s="17" t="b">
        <v>0</v>
      </c>
    </row>
    <row r="481">
      <c r="A481" s="17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 t="str">
        <f>IFERROR(VLOOKUP(B481,'MASTER DATA'!$A$1:$E$212,4,FALSE),"")</f>
        <v/>
      </c>
      <c r="G481" s="17"/>
      <c r="H481" s="17"/>
      <c r="I481" s="17"/>
      <c r="J481" s="17" t="b">
        <v>0</v>
      </c>
    </row>
    <row r="482">
      <c r="A482" s="17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 t="str">
        <f>IFERROR(VLOOKUP(B482,'MASTER DATA'!$A$1:$E$212,4,FALSE),"")</f>
        <v/>
      </c>
      <c r="G482" s="17"/>
      <c r="H482" s="17"/>
      <c r="I482" s="17"/>
      <c r="J482" s="17" t="b">
        <v>0</v>
      </c>
    </row>
    <row r="483">
      <c r="A483" s="17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 t="str">
        <f>IFERROR(VLOOKUP(B483,'MASTER DATA'!$A$1:$E$212,4,FALSE),"")</f>
        <v/>
      </c>
      <c r="G483" s="17"/>
      <c r="H483" s="17"/>
      <c r="I483" s="17"/>
      <c r="J483" s="17" t="b">
        <v>0</v>
      </c>
    </row>
    <row r="484">
      <c r="A484" s="17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 t="str">
        <f>IFERROR(VLOOKUP(B484,'MASTER DATA'!$A$1:$E$212,4,FALSE),"")</f>
        <v/>
      </c>
      <c r="G484" s="17"/>
      <c r="H484" s="17"/>
      <c r="I484" s="17"/>
      <c r="J484" s="17" t="b">
        <v>0</v>
      </c>
    </row>
    <row r="485">
      <c r="A485" s="17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 t="str">
        <f>IFERROR(VLOOKUP(B485,'MASTER DATA'!$A$1:$E$212,4,FALSE),"")</f>
        <v/>
      </c>
      <c r="G485" s="17"/>
      <c r="H485" s="17"/>
      <c r="I485" s="17"/>
      <c r="J485" s="17" t="b">
        <v>0</v>
      </c>
    </row>
    <row r="486">
      <c r="A486" s="17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 t="str">
        <f>IFERROR(VLOOKUP(B486,'MASTER DATA'!$A$1:$E$212,4,FALSE),"")</f>
        <v/>
      </c>
      <c r="G486" s="17"/>
      <c r="H486" s="17"/>
      <c r="I486" s="17"/>
      <c r="J486" s="17" t="b">
        <v>0</v>
      </c>
    </row>
    <row r="487">
      <c r="A487" s="17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 t="str">
        <f>IFERROR(VLOOKUP(B487,'MASTER DATA'!$A$1:$E$212,4,FALSE),"")</f>
        <v/>
      </c>
      <c r="G487" s="17"/>
      <c r="H487" s="17"/>
      <c r="I487" s="17"/>
      <c r="J487" s="17" t="b">
        <v>0</v>
      </c>
    </row>
    <row r="488">
      <c r="A488" s="17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 t="str">
        <f>IFERROR(VLOOKUP(B488,'MASTER DATA'!$A$1:$E$212,4,FALSE),"")</f>
        <v/>
      </c>
      <c r="G488" s="17"/>
      <c r="H488" s="17"/>
      <c r="I488" s="17"/>
      <c r="J488" s="17" t="b">
        <v>0</v>
      </c>
    </row>
    <row r="489">
      <c r="A489" s="17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 t="str">
        <f>IFERROR(VLOOKUP(B489,'MASTER DATA'!$A$1:$E$212,4,FALSE),"")</f>
        <v/>
      </c>
      <c r="G489" s="17"/>
      <c r="H489" s="17"/>
      <c r="I489" s="17"/>
      <c r="J489" s="17" t="b">
        <v>0</v>
      </c>
    </row>
    <row r="490">
      <c r="A490" s="17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 t="str">
        <f>IFERROR(VLOOKUP(B490,'MASTER DATA'!$A$1:$E$212,4,FALSE),"")</f>
        <v/>
      </c>
      <c r="G490" s="17"/>
      <c r="H490" s="17"/>
      <c r="I490" s="17"/>
      <c r="J490" s="17" t="b">
        <v>0</v>
      </c>
    </row>
    <row r="491">
      <c r="A491" s="17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 t="str">
        <f>IFERROR(VLOOKUP(B491,'MASTER DATA'!$A$1:$E$212,4,FALSE),"")</f>
        <v/>
      </c>
      <c r="G491" s="17"/>
      <c r="H491" s="17"/>
      <c r="I491" s="17"/>
      <c r="J491" s="17" t="b">
        <v>0</v>
      </c>
    </row>
    <row r="492">
      <c r="A492" s="17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 t="str">
        <f>IFERROR(VLOOKUP(B492,'MASTER DATA'!$A$1:$E$212,4,FALSE),"")</f>
        <v/>
      </c>
      <c r="G492" s="17"/>
      <c r="H492" s="17"/>
      <c r="I492" s="17"/>
      <c r="J492" s="17" t="b">
        <v>0</v>
      </c>
    </row>
    <row r="493">
      <c r="A493" s="17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 t="str">
        <f>IFERROR(VLOOKUP(B493,'MASTER DATA'!$A$1:$E$212,4,FALSE),"")</f>
        <v/>
      </c>
      <c r="G493" s="17"/>
      <c r="H493" s="17"/>
      <c r="I493" s="17"/>
      <c r="J493" s="17" t="b">
        <v>0</v>
      </c>
    </row>
    <row r="494">
      <c r="A494" s="17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 t="str">
        <f>IFERROR(VLOOKUP(B494,'MASTER DATA'!$A$1:$E$212,4,FALSE),"")</f>
        <v/>
      </c>
      <c r="G494" s="17"/>
      <c r="H494" s="17"/>
      <c r="I494" s="17"/>
      <c r="J494" s="17" t="b">
        <v>0</v>
      </c>
    </row>
    <row r="495">
      <c r="A495" s="17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 t="str">
        <f>IFERROR(VLOOKUP(B495,'MASTER DATA'!$A$1:$E$212,4,FALSE),"")</f>
        <v/>
      </c>
      <c r="G495" s="17"/>
      <c r="H495" s="17"/>
      <c r="I495" s="17"/>
      <c r="J495" s="17" t="b">
        <v>0</v>
      </c>
    </row>
    <row r="496">
      <c r="A496" s="17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 t="str">
        <f>IFERROR(VLOOKUP(B496,'MASTER DATA'!$A$1:$E$212,4,FALSE),"")</f>
        <v/>
      </c>
      <c r="G496" s="17"/>
      <c r="H496" s="17"/>
      <c r="I496" s="17"/>
      <c r="J496" s="17" t="b">
        <v>0</v>
      </c>
    </row>
    <row r="497">
      <c r="A497" s="17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 t="str">
        <f>IFERROR(VLOOKUP(B497,'MASTER DATA'!$A$1:$E$212,4,FALSE),"")</f>
        <v/>
      </c>
      <c r="G497" s="17"/>
      <c r="H497" s="17"/>
      <c r="I497" s="17"/>
      <c r="J497" s="17" t="b">
        <v>0</v>
      </c>
    </row>
    <row r="498">
      <c r="A498" s="17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 t="str">
        <f>IFERROR(VLOOKUP(B498,'MASTER DATA'!$A$1:$E$212,4,FALSE),"")</f>
        <v/>
      </c>
      <c r="G498" s="17"/>
      <c r="H498" s="17"/>
      <c r="I498" s="17"/>
      <c r="J498" s="17" t="b">
        <v>0</v>
      </c>
    </row>
    <row r="499">
      <c r="A499" s="17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 t="str">
        <f>IFERROR(VLOOKUP(B499,'MASTER DATA'!$A$1:$E$212,4,FALSE),"")</f>
        <v/>
      </c>
      <c r="G499" s="17"/>
      <c r="H499" s="17"/>
      <c r="I499" s="17"/>
      <c r="J499" s="17" t="b">
        <v>0</v>
      </c>
    </row>
    <row r="500">
      <c r="A500" s="17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 t="str">
        <f>IFERROR(VLOOKUP(B500,'MASTER DATA'!$A$1:$E$212,4,FALSE),"")</f>
        <v/>
      </c>
      <c r="G500" s="17"/>
      <c r="H500" s="17"/>
      <c r="I500" s="17"/>
      <c r="J500" s="17" t="b">
        <v>0</v>
      </c>
    </row>
    <row r="501">
      <c r="A501" s="17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 t="str">
        <f>IFERROR(VLOOKUP(B501,'MASTER DATA'!$A$1:$E$212,4,FALSE),"")</f>
        <v/>
      </c>
      <c r="G501" s="17"/>
      <c r="H501" s="17"/>
      <c r="I501" s="17"/>
      <c r="J501" s="17" t="b">
        <v>0</v>
      </c>
    </row>
    <row r="502">
      <c r="A502" s="17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 t="str">
        <f>IFERROR(VLOOKUP(B502,'MASTER DATA'!$A$1:$E$212,4,FALSE),"")</f>
        <v/>
      </c>
      <c r="G502" s="17"/>
      <c r="H502" s="17"/>
      <c r="I502" s="17"/>
      <c r="J502" s="17" t="b">
        <v>0</v>
      </c>
    </row>
    <row r="503">
      <c r="A503" s="17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 t="str">
        <f>IFERROR(VLOOKUP(B503,'MASTER DATA'!$A$1:$E$212,4,FALSE),"")</f>
        <v/>
      </c>
      <c r="G503" s="17"/>
      <c r="H503" s="17"/>
      <c r="I503" s="17"/>
      <c r="J503" s="17" t="b">
        <v>0</v>
      </c>
    </row>
    <row r="504">
      <c r="A504" s="17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 t="str">
        <f>IFERROR(VLOOKUP(B504,'MASTER DATA'!$A$1:$E$212,4,FALSE),"")</f>
        <v/>
      </c>
      <c r="G504" s="17"/>
      <c r="H504" s="17"/>
      <c r="I504" s="17"/>
      <c r="J504" s="17" t="b">
        <v>0</v>
      </c>
    </row>
    <row r="505">
      <c r="A505" s="17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 t="str">
        <f>IFERROR(VLOOKUP(B505,'MASTER DATA'!$A$1:$E$212,4,FALSE),"")</f>
        <v/>
      </c>
      <c r="G505" s="17"/>
      <c r="H505" s="17"/>
      <c r="I505" s="17"/>
      <c r="J505" s="17" t="b">
        <v>0</v>
      </c>
    </row>
    <row r="506">
      <c r="A506" s="17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 t="str">
        <f>IFERROR(VLOOKUP(B506,'MASTER DATA'!$A$1:$E$212,4,FALSE),"")</f>
        <v/>
      </c>
      <c r="G506" s="17"/>
      <c r="H506" s="17"/>
      <c r="I506" s="17"/>
      <c r="J506" s="17" t="b">
        <v>0</v>
      </c>
    </row>
    <row r="507">
      <c r="A507" s="17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 t="str">
        <f>IFERROR(VLOOKUP(B507,'MASTER DATA'!$A$1:$E$212,4,FALSE),"")</f>
        <v/>
      </c>
      <c r="G507" s="17"/>
      <c r="H507" s="17"/>
      <c r="I507" s="17"/>
      <c r="J507" s="17" t="b">
        <v>0</v>
      </c>
    </row>
    <row r="508">
      <c r="A508" s="17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 t="str">
        <f>IFERROR(VLOOKUP(B508,'MASTER DATA'!$A$1:$E$212,4,FALSE),"")</f>
        <v/>
      </c>
      <c r="G508" s="17"/>
      <c r="H508" s="17"/>
      <c r="I508" s="17"/>
      <c r="J508" s="17" t="b">
        <v>0</v>
      </c>
    </row>
    <row r="509">
      <c r="A509" s="17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 t="str">
        <f>IFERROR(VLOOKUP(B509,'MASTER DATA'!$A$1:$E$212,4,FALSE),"")</f>
        <v/>
      </c>
      <c r="G509" s="17"/>
      <c r="H509" s="17"/>
      <c r="I509" s="17"/>
      <c r="J509" s="17" t="b">
        <v>0</v>
      </c>
    </row>
    <row r="510">
      <c r="A510" s="17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 t="str">
        <f>IFERROR(VLOOKUP(B510,'MASTER DATA'!$A$1:$E$212,4,FALSE),"")</f>
        <v/>
      </c>
      <c r="G510" s="17"/>
      <c r="H510" s="17"/>
      <c r="I510" s="17"/>
      <c r="J510" s="17" t="b">
        <v>0</v>
      </c>
    </row>
    <row r="511">
      <c r="A511" s="17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 t="str">
        <f>IFERROR(VLOOKUP(B511,'MASTER DATA'!$A$1:$E$212,4,FALSE),"")</f>
        <v/>
      </c>
      <c r="G511" s="17"/>
      <c r="H511" s="17"/>
      <c r="I511" s="17"/>
      <c r="J511" s="17" t="b">
        <v>0</v>
      </c>
    </row>
    <row r="512">
      <c r="A512" s="17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 t="str">
        <f>IFERROR(VLOOKUP(B512,'MASTER DATA'!$A$1:$E$212,4,FALSE),"")</f>
        <v/>
      </c>
      <c r="G512" s="17"/>
      <c r="H512" s="17"/>
      <c r="I512" s="17"/>
      <c r="J512" s="17" t="b">
        <v>0</v>
      </c>
    </row>
    <row r="513">
      <c r="A513" s="17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 t="str">
        <f>IFERROR(VLOOKUP(B513,'MASTER DATA'!$A$1:$E$212,4,FALSE),"")</f>
        <v/>
      </c>
      <c r="G513" s="17"/>
      <c r="H513" s="17"/>
      <c r="I513" s="17"/>
      <c r="J513" s="17" t="b">
        <v>0</v>
      </c>
    </row>
    <row r="514">
      <c r="A514" s="17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 t="str">
        <f>IFERROR(VLOOKUP(B514,'MASTER DATA'!$A$1:$E$212,4,FALSE),"")</f>
        <v/>
      </c>
      <c r="G514" s="17"/>
      <c r="H514" s="17"/>
      <c r="I514" s="17"/>
      <c r="J514" s="17" t="b">
        <v>0</v>
      </c>
    </row>
    <row r="515">
      <c r="A515" s="17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 t="str">
        <f>IFERROR(VLOOKUP(B515,'MASTER DATA'!$A$1:$E$212,4,FALSE),"")</f>
        <v/>
      </c>
      <c r="G515" s="17"/>
      <c r="H515" s="17"/>
      <c r="I515" s="17"/>
      <c r="J515" s="17" t="b">
        <v>0</v>
      </c>
    </row>
    <row r="516">
      <c r="A516" s="17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 t="str">
        <f>IFERROR(VLOOKUP(B516,'MASTER DATA'!$A$1:$E$212,4,FALSE),"")</f>
        <v/>
      </c>
      <c r="G516" s="17"/>
      <c r="H516" s="17"/>
      <c r="I516" s="17"/>
      <c r="J516" s="17" t="b">
        <v>0</v>
      </c>
    </row>
    <row r="517">
      <c r="A517" s="17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 t="str">
        <f>IFERROR(VLOOKUP(B517,'MASTER DATA'!$A$1:$E$212,4,FALSE),"")</f>
        <v/>
      </c>
      <c r="G517" s="17"/>
      <c r="H517" s="17"/>
      <c r="I517" s="17"/>
      <c r="J517" s="17" t="b">
        <v>0</v>
      </c>
    </row>
    <row r="518">
      <c r="A518" s="17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 t="str">
        <f>IFERROR(VLOOKUP(B518,'MASTER DATA'!$A$1:$E$212,4,FALSE),"")</f>
        <v/>
      </c>
      <c r="G518" s="17"/>
      <c r="H518" s="17"/>
      <c r="I518" s="17"/>
      <c r="J518" s="17" t="b">
        <v>0</v>
      </c>
    </row>
    <row r="519">
      <c r="A519" s="17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 t="str">
        <f>IFERROR(VLOOKUP(B519,'MASTER DATA'!$A$1:$E$212,4,FALSE),"")</f>
        <v/>
      </c>
      <c r="G519" s="17"/>
      <c r="H519" s="17"/>
      <c r="I519" s="17"/>
      <c r="J519" s="17" t="b">
        <v>0</v>
      </c>
    </row>
    <row r="520">
      <c r="A520" s="17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 t="str">
        <f>IFERROR(VLOOKUP(B520,'MASTER DATA'!$A$1:$E$212,4,FALSE),"")</f>
        <v/>
      </c>
      <c r="G520" s="17"/>
      <c r="H520" s="17"/>
      <c r="I520" s="17"/>
      <c r="J520" s="17" t="b">
        <v>0</v>
      </c>
    </row>
    <row r="521">
      <c r="A521" s="17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 t="str">
        <f>IFERROR(VLOOKUP(B521,'MASTER DATA'!$A$1:$E$212,4,FALSE),"")</f>
        <v/>
      </c>
      <c r="G521" s="17"/>
      <c r="H521" s="17"/>
      <c r="I521" s="17"/>
      <c r="J521" s="17" t="b">
        <v>0</v>
      </c>
    </row>
    <row r="522">
      <c r="A522" s="17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 t="str">
        <f>IFERROR(VLOOKUP(B522,'MASTER DATA'!$A$1:$E$212,4,FALSE),"")</f>
        <v/>
      </c>
      <c r="G522" s="17"/>
      <c r="H522" s="17"/>
      <c r="I522" s="17"/>
      <c r="J522" s="17" t="b">
        <v>0</v>
      </c>
    </row>
    <row r="523">
      <c r="A523" s="17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 t="str">
        <f>IFERROR(VLOOKUP(B523,'MASTER DATA'!$A$1:$E$212,4,FALSE),"")</f>
        <v/>
      </c>
      <c r="G523" s="17"/>
      <c r="H523" s="17"/>
      <c r="I523" s="17"/>
      <c r="J523" s="17" t="b">
        <v>0</v>
      </c>
    </row>
    <row r="524">
      <c r="A524" s="17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 t="str">
        <f>IFERROR(VLOOKUP(B524,'MASTER DATA'!$A$1:$E$212,4,FALSE),"")</f>
        <v/>
      </c>
      <c r="G524" s="17"/>
      <c r="H524" s="17"/>
      <c r="I524" s="17"/>
      <c r="J524" s="17" t="b">
        <v>0</v>
      </c>
    </row>
    <row r="525">
      <c r="A525" s="17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 t="str">
        <f>IFERROR(VLOOKUP(B525,'MASTER DATA'!$A$1:$E$212,4,FALSE),"")</f>
        <v/>
      </c>
      <c r="G525" s="17"/>
      <c r="H525" s="17"/>
      <c r="I525" s="17"/>
      <c r="J525" s="17" t="b">
        <v>0</v>
      </c>
    </row>
    <row r="526">
      <c r="A526" s="17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 t="str">
        <f>IFERROR(VLOOKUP(B526,'MASTER DATA'!$A$1:$E$212,4,FALSE),"")</f>
        <v/>
      </c>
      <c r="G526" s="17"/>
      <c r="H526" s="17"/>
      <c r="I526" s="17"/>
      <c r="J526" s="17" t="b">
        <v>0</v>
      </c>
    </row>
    <row r="527">
      <c r="A527" s="17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 t="str">
        <f>IFERROR(VLOOKUP(B527,'MASTER DATA'!$A$1:$E$212,4,FALSE),"")</f>
        <v/>
      </c>
      <c r="G527" s="17"/>
      <c r="H527" s="17"/>
      <c r="I527" s="17"/>
      <c r="J527" s="17" t="b">
        <v>0</v>
      </c>
    </row>
    <row r="528">
      <c r="A528" s="17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 t="str">
        <f>IFERROR(VLOOKUP(B528,'MASTER DATA'!$A$1:$E$212,4,FALSE),"")</f>
        <v/>
      </c>
      <c r="G528" s="17"/>
      <c r="H528" s="17"/>
      <c r="I528" s="17"/>
      <c r="J528" s="17" t="b">
        <v>0</v>
      </c>
    </row>
    <row r="529">
      <c r="A529" s="17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 t="str">
        <f>IFERROR(VLOOKUP(B529,'MASTER DATA'!$A$1:$E$212,4,FALSE),"")</f>
        <v/>
      </c>
      <c r="G529" s="17"/>
      <c r="H529" s="17"/>
      <c r="I529" s="17"/>
      <c r="J529" s="17" t="b">
        <v>0</v>
      </c>
    </row>
    <row r="530">
      <c r="A530" s="17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 t="str">
        <f>IFERROR(VLOOKUP(B530,'MASTER DATA'!$A$1:$E$212,4,FALSE),"")</f>
        <v/>
      </c>
      <c r="G530" s="17"/>
      <c r="H530" s="17"/>
      <c r="I530" s="17"/>
      <c r="J530" s="17" t="b">
        <v>0</v>
      </c>
    </row>
    <row r="531">
      <c r="A531" s="17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 t="str">
        <f>IFERROR(VLOOKUP(B531,'MASTER DATA'!$A$1:$E$212,4,FALSE),"")</f>
        <v/>
      </c>
      <c r="G531" s="17"/>
      <c r="H531" s="17"/>
      <c r="I531" s="17"/>
      <c r="J531" s="17" t="b">
        <v>0</v>
      </c>
    </row>
    <row r="532">
      <c r="A532" s="17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 t="str">
        <f>IFERROR(VLOOKUP(B532,'MASTER DATA'!$A$1:$E$212,4,FALSE),"")</f>
        <v/>
      </c>
      <c r="G532" s="17"/>
      <c r="H532" s="17"/>
      <c r="I532" s="17"/>
      <c r="J532" s="17" t="b">
        <v>0</v>
      </c>
    </row>
    <row r="533">
      <c r="A533" s="17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 t="str">
        <f>IFERROR(VLOOKUP(B533,'MASTER DATA'!$A$1:$E$212,4,FALSE),"")</f>
        <v/>
      </c>
      <c r="G533" s="17"/>
      <c r="H533" s="17"/>
      <c r="I533" s="17"/>
      <c r="J533" s="17" t="b">
        <v>0</v>
      </c>
    </row>
    <row r="534">
      <c r="A534" s="17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 t="str">
        <f>IFERROR(VLOOKUP(B534,'MASTER DATA'!$A$1:$E$212,4,FALSE),"")</f>
        <v/>
      </c>
      <c r="G534" s="17"/>
      <c r="H534" s="17"/>
      <c r="I534" s="17"/>
      <c r="J534" s="17" t="b">
        <v>0</v>
      </c>
    </row>
    <row r="535">
      <c r="A535" s="17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 t="str">
        <f>IFERROR(VLOOKUP(B535,'MASTER DATA'!$A$1:$E$212,4,FALSE),"")</f>
        <v/>
      </c>
      <c r="G535" s="17"/>
      <c r="H535" s="17"/>
      <c r="I535" s="17"/>
      <c r="J535" s="17" t="b">
        <v>0</v>
      </c>
    </row>
    <row r="536">
      <c r="A536" s="17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 t="str">
        <f>IFERROR(VLOOKUP(B536,'MASTER DATA'!$A$1:$E$212,4,FALSE),"")</f>
        <v/>
      </c>
      <c r="G536" s="17"/>
      <c r="H536" s="17"/>
      <c r="I536" s="17"/>
      <c r="J536" s="17" t="b">
        <v>0</v>
      </c>
    </row>
    <row r="537">
      <c r="A537" s="17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 t="str">
        <f>IFERROR(VLOOKUP(B537,'MASTER DATA'!$A$1:$E$212,4,FALSE),"")</f>
        <v/>
      </c>
      <c r="G537" s="17"/>
      <c r="H537" s="17"/>
      <c r="I537" s="17"/>
      <c r="J537" s="17" t="b">
        <v>0</v>
      </c>
    </row>
    <row r="538">
      <c r="A538" s="17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 t="str">
        <f>IFERROR(VLOOKUP(B538,'MASTER DATA'!$A$1:$E$212,4,FALSE),"")</f>
        <v/>
      </c>
      <c r="G538" s="17"/>
      <c r="H538" s="17"/>
      <c r="I538" s="17"/>
      <c r="J538" s="17" t="b">
        <v>0</v>
      </c>
    </row>
    <row r="539">
      <c r="A539" s="17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 t="str">
        <f>IFERROR(VLOOKUP(B539,'MASTER DATA'!$A$1:$E$212,4,FALSE),"")</f>
        <v/>
      </c>
      <c r="G539" s="17"/>
      <c r="H539" s="17"/>
      <c r="I539" s="17"/>
      <c r="J539" s="17" t="b">
        <v>0</v>
      </c>
    </row>
    <row r="540">
      <c r="A540" s="17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 t="str">
        <f>IFERROR(VLOOKUP(B540,'MASTER DATA'!$A$1:$E$212,4,FALSE),"")</f>
        <v/>
      </c>
      <c r="G540" s="17"/>
      <c r="H540" s="17"/>
      <c r="I540" s="17"/>
      <c r="J540" s="17" t="b">
        <v>0</v>
      </c>
    </row>
    <row r="541">
      <c r="A541" s="17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 t="str">
        <f>IFERROR(VLOOKUP(B541,'MASTER DATA'!$A$1:$E$212,4,FALSE),"")</f>
        <v/>
      </c>
      <c r="G541" s="17"/>
      <c r="H541" s="17"/>
      <c r="I541" s="17"/>
      <c r="J541" s="17" t="b">
        <v>0</v>
      </c>
    </row>
    <row r="542">
      <c r="A542" s="17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 t="str">
        <f>IFERROR(VLOOKUP(B542,'MASTER DATA'!$A$1:$E$212,4,FALSE),"")</f>
        <v/>
      </c>
      <c r="G542" s="17"/>
      <c r="H542" s="17"/>
      <c r="I542" s="17"/>
      <c r="J542" s="17" t="b">
        <v>0</v>
      </c>
    </row>
    <row r="543">
      <c r="A543" s="17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 t="str">
        <f>IFERROR(VLOOKUP(B543,'MASTER DATA'!$A$1:$E$212,4,FALSE),"")</f>
        <v/>
      </c>
      <c r="G543" s="17"/>
      <c r="H543" s="17"/>
      <c r="I543" s="17"/>
      <c r="J543" s="17" t="b">
        <v>0</v>
      </c>
    </row>
    <row r="544">
      <c r="A544" s="17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 t="str">
        <f>IFERROR(VLOOKUP(B544,'MASTER DATA'!$A$1:$E$212,4,FALSE),"")</f>
        <v/>
      </c>
      <c r="G544" s="17"/>
      <c r="H544" s="17"/>
      <c r="I544" s="17"/>
      <c r="J544" s="17" t="b">
        <v>0</v>
      </c>
    </row>
    <row r="545">
      <c r="A545" s="17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 t="str">
        <f>IFERROR(VLOOKUP(B545,'MASTER DATA'!$A$1:$E$212,4,FALSE),"")</f>
        <v/>
      </c>
      <c r="G545" s="17"/>
      <c r="H545" s="17"/>
      <c r="I545" s="17"/>
      <c r="J545" s="17" t="b">
        <v>0</v>
      </c>
    </row>
    <row r="546">
      <c r="A546" s="17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 t="str">
        <f>IFERROR(VLOOKUP(B546,'MASTER DATA'!$A$1:$E$212,4,FALSE),"")</f>
        <v/>
      </c>
      <c r="G546" s="17"/>
      <c r="H546" s="17"/>
      <c r="I546" s="17"/>
      <c r="J546" s="17" t="b">
        <v>0</v>
      </c>
    </row>
    <row r="547">
      <c r="A547" s="17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 t="str">
        <f>IFERROR(VLOOKUP(B547,'MASTER DATA'!$A$1:$E$212,4,FALSE),"")</f>
        <v/>
      </c>
      <c r="G547" s="17"/>
      <c r="H547" s="17"/>
      <c r="I547" s="17"/>
      <c r="J547" s="17" t="b">
        <v>0</v>
      </c>
    </row>
    <row r="548">
      <c r="A548" s="17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 t="str">
        <f>IFERROR(VLOOKUP(B548,'MASTER DATA'!$A$1:$E$212,4,FALSE),"")</f>
        <v/>
      </c>
      <c r="G548" s="17"/>
      <c r="H548" s="17"/>
      <c r="I548" s="17"/>
      <c r="J548" s="17" t="b">
        <v>0</v>
      </c>
    </row>
    <row r="549">
      <c r="A549" s="17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 t="str">
        <f>IFERROR(VLOOKUP(B549,'MASTER DATA'!$A$1:$E$212,4,FALSE),"")</f>
        <v/>
      </c>
      <c r="G549" s="17"/>
      <c r="H549" s="17"/>
      <c r="I549" s="17"/>
      <c r="J549" s="17" t="b">
        <v>0</v>
      </c>
    </row>
    <row r="550">
      <c r="A550" s="17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 t="str">
        <f>IFERROR(VLOOKUP(B550,'MASTER DATA'!$A$1:$E$212,4,FALSE),"")</f>
        <v/>
      </c>
      <c r="G550" s="17"/>
      <c r="H550" s="17"/>
      <c r="I550" s="17"/>
      <c r="J550" s="17" t="b">
        <v>0</v>
      </c>
    </row>
    <row r="551">
      <c r="A551" s="17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 t="str">
        <f>IFERROR(VLOOKUP(B551,'MASTER DATA'!$A$1:$E$212,4,FALSE),"")</f>
        <v/>
      </c>
      <c r="G551" s="17"/>
      <c r="H551" s="17"/>
      <c r="I551" s="17"/>
      <c r="J551" s="17" t="b">
        <v>0</v>
      </c>
    </row>
    <row r="552">
      <c r="A552" s="17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 t="str">
        <f>IFERROR(VLOOKUP(B552,'MASTER DATA'!$A$1:$E$212,4,FALSE),"")</f>
        <v/>
      </c>
      <c r="G552" s="17"/>
      <c r="H552" s="17"/>
      <c r="I552" s="17"/>
      <c r="J552" s="17" t="b">
        <v>0</v>
      </c>
    </row>
    <row r="553">
      <c r="A553" s="17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 t="str">
        <f>IFERROR(VLOOKUP(B553,'MASTER DATA'!$A$1:$E$212,4,FALSE),"")</f>
        <v/>
      </c>
      <c r="G553" s="17"/>
      <c r="H553" s="17"/>
      <c r="I553" s="17"/>
      <c r="J553" s="17" t="b">
        <v>0</v>
      </c>
    </row>
    <row r="554">
      <c r="A554" s="17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 t="str">
        <f>IFERROR(VLOOKUP(B554,'MASTER DATA'!$A$1:$E$212,4,FALSE),"")</f>
        <v/>
      </c>
      <c r="G554" s="17"/>
      <c r="H554" s="17"/>
      <c r="I554" s="17"/>
      <c r="J554" s="17" t="b">
        <v>0</v>
      </c>
    </row>
    <row r="555">
      <c r="A555" s="17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 t="str">
        <f>IFERROR(VLOOKUP(B555,'MASTER DATA'!$A$1:$E$212,4,FALSE),"")</f>
        <v/>
      </c>
      <c r="G555" s="17"/>
      <c r="H555" s="17"/>
      <c r="I555" s="17"/>
      <c r="J555" s="17" t="b">
        <v>0</v>
      </c>
    </row>
    <row r="556">
      <c r="A556" s="17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 t="str">
        <f>IFERROR(VLOOKUP(B556,'MASTER DATA'!$A$1:$E$212,4,FALSE),"")</f>
        <v/>
      </c>
      <c r="G556" s="17"/>
      <c r="H556" s="17"/>
      <c r="I556" s="17"/>
      <c r="J556" s="17" t="b">
        <v>0</v>
      </c>
    </row>
    <row r="557">
      <c r="A557" s="17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 t="str">
        <f>IFERROR(VLOOKUP(B557,'MASTER DATA'!$A$1:$E$212,4,FALSE),"")</f>
        <v/>
      </c>
      <c r="G557" s="17"/>
      <c r="H557" s="17"/>
      <c r="I557" s="17"/>
      <c r="J557" s="17" t="b">
        <v>0</v>
      </c>
    </row>
    <row r="558">
      <c r="A558" s="17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 t="str">
        <f>IFERROR(VLOOKUP(B558,'MASTER DATA'!$A$1:$E$212,4,FALSE),"")</f>
        <v/>
      </c>
      <c r="G558" s="17"/>
      <c r="H558" s="17"/>
      <c r="I558" s="17"/>
      <c r="J558" s="17" t="b">
        <v>0</v>
      </c>
    </row>
    <row r="559">
      <c r="A559" s="17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 t="str">
        <f>IFERROR(VLOOKUP(B559,'MASTER DATA'!$A$1:$E$212,4,FALSE),"")</f>
        <v/>
      </c>
      <c r="G559" s="17"/>
      <c r="H559" s="17"/>
      <c r="I559" s="17"/>
      <c r="J559" s="17" t="b">
        <v>0</v>
      </c>
    </row>
    <row r="560">
      <c r="A560" s="17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 t="str">
        <f>IFERROR(VLOOKUP(B560,'MASTER DATA'!$A$1:$E$212,4,FALSE),"")</f>
        <v/>
      </c>
      <c r="G560" s="17"/>
      <c r="H560" s="17"/>
      <c r="I560" s="17"/>
      <c r="J560" s="17" t="b">
        <v>0</v>
      </c>
    </row>
    <row r="561">
      <c r="A561" s="17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 t="str">
        <f>IFERROR(VLOOKUP(B561,'MASTER DATA'!$A$1:$E$212,4,FALSE),"")</f>
        <v/>
      </c>
      <c r="G561" s="17"/>
      <c r="H561" s="17"/>
      <c r="I561" s="17"/>
      <c r="J561" s="17" t="b">
        <v>0</v>
      </c>
    </row>
    <row r="562">
      <c r="A562" s="17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 t="str">
        <f>IFERROR(VLOOKUP(B562,'MASTER DATA'!$A$1:$E$212,4,FALSE),"")</f>
        <v/>
      </c>
      <c r="G562" s="17"/>
      <c r="H562" s="17"/>
      <c r="I562" s="17"/>
      <c r="J562" s="17" t="b">
        <v>0</v>
      </c>
    </row>
    <row r="563">
      <c r="A563" s="17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 t="str">
        <f>IFERROR(VLOOKUP(B563,'MASTER DATA'!$A$1:$E$212,4,FALSE),"")</f>
        <v/>
      </c>
      <c r="G563" s="17"/>
      <c r="H563" s="17"/>
      <c r="I563" s="17"/>
      <c r="J563" s="17" t="b">
        <v>0</v>
      </c>
    </row>
    <row r="564">
      <c r="A564" s="17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 t="str">
        <f>IFERROR(VLOOKUP(B564,'MASTER DATA'!$A$1:$E$212,4,FALSE),"")</f>
        <v/>
      </c>
      <c r="G564" s="17"/>
      <c r="H564" s="17"/>
      <c r="I564" s="17"/>
      <c r="J564" s="17" t="b">
        <v>0</v>
      </c>
    </row>
    <row r="565">
      <c r="A565" s="17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 t="str">
        <f>IFERROR(VLOOKUP(B565,'MASTER DATA'!$A$1:$E$212,4,FALSE),"")</f>
        <v/>
      </c>
      <c r="G565" s="17"/>
      <c r="H565" s="17"/>
      <c r="I565" s="17"/>
      <c r="J565" s="17" t="b">
        <v>0</v>
      </c>
    </row>
    <row r="566">
      <c r="A566" s="17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 t="str">
        <f>IFERROR(VLOOKUP(B566,'MASTER DATA'!$A$1:$E$212,4,FALSE),"")</f>
        <v/>
      </c>
      <c r="G566" s="17"/>
      <c r="H566" s="17"/>
      <c r="I566" s="17"/>
      <c r="J566" s="17" t="b">
        <v>0</v>
      </c>
    </row>
    <row r="567">
      <c r="A567" s="17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 t="str">
        <f>IFERROR(VLOOKUP(B567,'MASTER DATA'!$A$1:$E$212,4,FALSE),"")</f>
        <v/>
      </c>
      <c r="G567" s="17"/>
      <c r="H567" s="17"/>
      <c r="I567" s="17"/>
      <c r="J567" s="17" t="b">
        <v>0</v>
      </c>
    </row>
    <row r="568">
      <c r="A568" s="17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 t="str">
        <f>IFERROR(VLOOKUP(B568,'MASTER DATA'!$A$1:$E$212,4,FALSE),"")</f>
        <v/>
      </c>
      <c r="G568" s="17"/>
      <c r="H568" s="17"/>
      <c r="I568" s="17"/>
      <c r="J568" s="17" t="b">
        <v>0</v>
      </c>
    </row>
    <row r="569">
      <c r="A569" s="17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 t="str">
        <f>IFERROR(VLOOKUP(B569,'MASTER DATA'!$A$1:$E$212,4,FALSE),"")</f>
        <v/>
      </c>
      <c r="G569" s="17"/>
      <c r="H569" s="17"/>
      <c r="I569" s="17"/>
      <c r="J569" s="17" t="b">
        <v>0</v>
      </c>
    </row>
    <row r="570">
      <c r="A570" s="17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 t="str">
        <f>IFERROR(VLOOKUP(B570,'MASTER DATA'!$A$1:$E$212,4,FALSE),"")</f>
        <v/>
      </c>
      <c r="G570" s="17"/>
      <c r="H570" s="17"/>
      <c r="I570" s="17"/>
      <c r="J570" s="17" t="b">
        <v>0</v>
      </c>
    </row>
    <row r="571">
      <c r="A571" s="17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 t="str">
        <f>IFERROR(VLOOKUP(B571,'MASTER DATA'!$A$1:$E$212,4,FALSE),"")</f>
        <v/>
      </c>
      <c r="G571" s="17"/>
      <c r="H571" s="17"/>
      <c r="I571" s="17"/>
      <c r="J571" s="17" t="b">
        <v>0</v>
      </c>
    </row>
    <row r="572">
      <c r="A572" s="17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 t="str">
        <f>IFERROR(VLOOKUP(B572,'MASTER DATA'!$A$1:$E$212,4,FALSE),"")</f>
        <v/>
      </c>
      <c r="G572" s="17"/>
      <c r="H572" s="17"/>
      <c r="I572" s="17"/>
      <c r="J572" s="17" t="b">
        <v>0</v>
      </c>
    </row>
    <row r="573">
      <c r="A573" s="17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 t="str">
        <f>IFERROR(VLOOKUP(B573,'MASTER DATA'!$A$1:$E$212,4,FALSE),"")</f>
        <v/>
      </c>
      <c r="G573" s="17"/>
      <c r="H573" s="17"/>
      <c r="I573" s="17"/>
      <c r="J573" s="17" t="b">
        <v>0</v>
      </c>
    </row>
    <row r="574">
      <c r="A574" s="17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 t="str">
        <f>IFERROR(VLOOKUP(B574,'MASTER DATA'!$A$1:$E$212,4,FALSE),"")</f>
        <v/>
      </c>
      <c r="G574" s="17"/>
      <c r="H574" s="17"/>
      <c r="I574" s="17"/>
      <c r="J574" s="17" t="b">
        <v>0</v>
      </c>
    </row>
    <row r="575">
      <c r="A575" s="17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 t="str">
        <f>IFERROR(VLOOKUP(B575,'MASTER DATA'!$A$1:$E$212,4,FALSE),"")</f>
        <v/>
      </c>
      <c r="G575" s="17"/>
      <c r="H575" s="17"/>
      <c r="I575" s="17"/>
      <c r="J575" s="17" t="b">
        <v>0</v>
      </c>
    </row>
    <row r="576">
      <c r="A576" s="17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 t="str">
        <f>IFERROR(VLOOKUP(B576,'MASTER DATA'!$A$1:$E$212,4,FALSE),"")</f>
        <v/>
      </c>
      <c r="G576" s="17"/>
      <c r="H576" s="17"/>
      <c r="I576" s="17"/>
      <c r="J576" s="17" t="b">
        <v>0</v>
      </c>
    </row>
    <row r="577">
      <c r="A577" s="17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 t="str">
        <f>IFERROR(VLOOKUP(B577,'MASTER DATA'!$A$1:$E$212,4,FALSE),"")</f>
        <v/>
      </c>
      <c r="G577" s="17"/>
      <c r="H577" s="17"/>
      <c r="I577" s="17"/>
      <c r="J577" s="17" t="b">
        <v>0</v>
      </c>
    </row>
    <row r="578">
      <c r="A578" s="17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 t="str">
        <f>IFERROR(VLOOKUP(B578,'MASTER DATA'!$A$1:$E$212,4,FALSE),"")</f>
        <v/>
      </c>
      <c r="G578" s="17"/>
      <c r="H578" s="17"/>
      <c r="I578" s="17"/>
      <c r="J578" s="17" t="b">
        <v>0</v>
      </c>
    </row>
    <row r="579">
      <c r="A579" s="17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 t="str">
        <f>IFERROR(VLOOKUP(B579,'MASTER DATA'!$A$1:$E$212,4,FALSE),"")</f>
        <v/>
      </c>
      <c r="G579" s="17"/>
      <c r="H579" s="17"/>
      <c r="I579" s="17"/>
      <c r="J579" s="17" t="b">
        <v>0</v>
      </c>
    </row>
    <row r="580">
      <c r="A580" s="17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 t="str">
        <f>IFERROR(VLOOKUP(B580,'MASTER DATA'!$A$1:$E$212,4,FALSE),"")</f>
        <v/>
      </c>
      <c r="G580" s="17"/>
      <c r="H580" s="17"/>
      <c r="I580" s="17"/>
      <c r="J580" s="17" t="b">
        <v>0</v>
      </c>
    </row>
    <row r="581">
      <c r="A581" s="17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 t="str">
        <f>IFERROR(VLOOKUP(B581,'MASTER DATA'!$A$1:$E$212,4,FALSE),"")</f>
        <v/>
      </c>
      <c r="G581" s="17"/>
      <c r="H581" s="17"/>
      <c r="I581" s="17"/>
      <c r="J581" s="17" t="b">
        <v>0</v>
      </c>
    </row>
    <row r="582">
      <c r="A582" s="17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 t="str">
        <f>IFERROR(VLOOKUP(B582,'MASTER DATA'!$A$1:$E$212,4,FALSE),"")</f>
        <v/>
      </c>
      <c r="G582" s="17"/>
      <c r="H582" s="17"/>
      <c r="I582" s="17"/>
      <c r="J582" s="17" t="b">
        <v>0</v>
      </c>
    </row>
    <row r="583">
      <c r="A583" s="17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 t="str">
        <f>IFERROR(VLOOKUP(B583,'MASTER DATA'!$A$1:$E$212,4,FALSE),"")</f>
        <v/>
      </c>
      <c r="G583" s="17"/>
      <c r="H583" s="17"/>
      <c r="I583" s="17"/>
      <c r="J583" s="17" t="b">
        <v>0</v>
      </c>
    </row>
    <row r="584">
      <c r="A584" s="17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 t="str">
        <f>IFERROR(VLOOKUP(B584,'MASTER DATA'!$A$1:$E$212,4,FALSE),"")</f>
        <v/>
      </c>
      <c r="G584" s="17"/>
      <c r="H584" s="17"/>
      <c r="I584" s="17"/>
      <c r="J584" s="17" t="b">
        <v>0</v>
      </c>
    </row>
    <row r="585">
      <c r="A585" s="17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 t="str">
        <f>IFERROR(VLOOKUP(B585,'MASTER DATA'!$A$1:$E$212,4,FALSE),"")</f>
        <v/>
      </c>
      <c r="G585" s="17"/>
      <c r="H585" s="17"/>
      <c r="I585" s="17"/>
      <c r="J585" s="17" t="b">
        <v>0</v>
      </c>
    </row>
    <row r="586">
      <c r="A586" s="17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 t="str">
        <f>IFERROR(VLOOKUP(B586,'MASTER DATA'!$A$1:$E$212,4,FALSE),"")</f>
        <v/>
      </c>
      <c r="G586" s="17"/>
      <c r="H586" s="17"/>
      <c r="I586" s="17"/>
      <c r="J586" s="17" t="b">
        <v>0</v>
      </c>
    </row>
    <row r="587">
      <c r="A587" s="17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 t="str">
        <f>IFERROR(VLOOKUP(B587,'MASTER DATA'!$A$1:$E$212,4,FALSE),"")</f>
        <v/>
      </c>
      <c r="G587" s="17"/>
      <c r="H587" s="17"/>
      <c r="I587" s="17"/>
      <c r="J587" s="17" t="b">
        <v>0</v>
      </c>
    </row>
    <row r="588">
      <c r="A588" s="17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 t="str">
        <f>IFERROR(VLOOKUP(B588,'MASTER DATA'!$A$1:$E$212,4,FALSE),"")</f>
        <v/>
      </c>
      <c r="G588" s="17"/>
      <c r="H588" s="17"/>
      <c r="I588" s="17"/>
      <c r="J588" s="17" t="b">
        <v>0</v>
      </c>
    </row>
    <row r="589">
      <c r="A589" s="17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 t="str">
        <f>IFERROR(VLOOKUP(B589,'MASTER DATA'!$A$1:$E$212,4,FALSE),"")</f>
        <v/>
      </c>
      <c r="G589" s="17"/>
      <c r="H589" s="17"/>
      <c r="I589" s="17"/>
      <c r="J589" s="17" t="b">
        <v>0</v>
      </c>
    </row>
    <row r="590">
      <c r="A590" s="17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 t="str">
        <f>IFERROR(VLOOKUP(B590,'MASTER DATA'!$A$1:$E$212,4,FALSE),"")</f>
        <v/>
      </c>
      <c r="G590" s="17"/>
      <c r="H590" s="17"/>
      <c r="I590" s="17"/>
      <c r="J590" s="17" t="b">
        <v>0</v>
      </c>
    </row>
    <row r="591">
      <c r="A591" s="17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 t="str">
        <f>IFERROR(VLOOKUP(B591,'MASTER DATA'!$A$1:$E$212,4,FALSE),"")</f>
        <v/>
      </c>
      <c r="G591" s="17"/>
      <c r="H591" s="17"/>
      <c r="I591" s="17"/>
      <c r="J591" s="17" t="b">
        <v>0</v>
      </c>
    </row>
    <row r="592">
      <c r="A592" s="17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 t="str">
        <f>IFERROR(VLOOKUP(B592,'MASTER DATA'!$A$1:$E$212,4,FALSE),"")</f>
        <v/>
      </c>
      <c r="G592" s="17"/>
      <c r="H592" s="17"/>
      <c r="I592" s="17"/>
      <c r="J592" s="17" t="b">
        <v>0</v>
      </c>
    </row>
    <row r="593">
      <c r="A593" s="17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 t="str">
        <f>IFERROR(VLOOKUP(B593,'MASTER DATA'!$A$1:$E$212,4,FALSE),"")</f>
        <v/>
      </c>
      <c r="G593" s="17"/>
      <c r="H593" s="17"/>
      <c r="I593" s="17"/>
      <c r="J593" s="17" t="b">
        <v>0</v>
      </c>
    </row>
    <row r="594">
      <c r="A594" s="17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 t="str">
        <f>IFERROR(VLOOKUP(B594,'MASTER DATA'!$A$1:$E$212,4,FALSE),"")</f>
        <v/>
      </c>
      <c r="G594" s="17"/>
      <c r="H594" s="17"/>
      <c r="I594" s="17"/>
      <c r="J594" s="17" t="b">
        <v>0</v>
      </c>
    </row>
    <row r="595">
      <c r="A595" s="17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 t="str">
        <f>IFERROR(VLOOKUP(B595,'MASTER DATA'!$A$1:$E$212,4,FALSE),"")</f>
        <v/>
      </c>
      <c r="G595" s="17"/>
      <c r="H595" s="17"/>
      <c r="I595" s="17"/>
      <c r="J595" s="17" t="b">
        <v>0</v>
      </c>
    </row>
    <row r="596">
      <c r="A596" s="17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 t="str">
        <f>IFERROR(VLOOKUP(B596,'MASTER DATA'!$A$1:$E$212,4,FALSE),"")</f>
        <v/>
      </c>
      <c r="G596" s="17"/>
      <c r="H596" s="17"/>
      <c r="I596" s="17"/>
      <c r="J596" s="17" t="b">
        <v>0</v>
      </c>
    </row>
    <row r="597">
      <c r="A597" s="17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 t="str">
        <f>IFERROR(VLOOKUP(B597,'MASTER DATA'!$A$1:$E$212,4,FALSE),"")</f>
        <v/>
      </c>
      <c r="G597" s="17"/>
      <c r="H597" s="17"/>
      <c r="I597" s="17"/>
      <c r="J597" s="17" t="b">
        <v>0</v>
      </c>
    </row>
    <row r="598">
      <c r="A598" s="17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 t="str">
        <f>IFERROR(VLOOKUP(B598,'MASTER DATA'!$A$1:$E$212,4,FALSE),"")</f>
        <v/>
      </c>
      <c r="G598" s="17"/>
      <c r="H598" s="17"/>
      <c r="I598" s="17"/>
      <c r="J598" s="17" t="b">
        <v>0</v>
      </c>
    </row>
    <row r="599">
      <c r="A599" s="17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 t="str">
        <f>IFERROR(VLOOKUP(B599,'MASTER DATA'!$A$1:$E$212,4,FALSE),"")</f>
        <v/>
      </c>
      <c r="G599" s="17"/>
      <c r="H599" s="17"/>
      <c r="I599" s="17"/>
      <c r="J599" s="17" t="b">
        <v>0</v>
      </c>
    </row>
    <row r="600">
      <c r="A600" s="17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 t="str">
        <f>IFERROR(VLOOKUP(B600,'MASTER DATA'!$A$1:$E$212,4,FALSE),"")</f>
        <v/>
      </c>
      <c r="G600" s="17"/>
      <c r="H600" s="17"/>
      <c r="I600" s="17"/>
      <c r="J600" s="17" t="b">
        <v>0</v>
      </c>
    </row>
    <row r="601">
      <c r="A601" s="17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 t="str">
        <f>IFERROR(VLOOKUP(B601,'MASTER DATA'!$A$1:$E$212,4,FALSE),"")</f>
        <v/>
      </c>
      <c r="G601" s="17"/>
      <c r="H601" s="17"/>
      <c r="I601" s="17"/>
      <c r="J601" s="17" t="b">
        <v>0</v>
      </c>
    </row>
    <row r="602">
      <c r="A602" s="17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 t="str">
        <f>IFERROR(VLOOKUP(B602,'MASTER DATA'!$A$1:$E$212,4,FALSE),"")</f>
        <v/>
      </c>
      <c r="G602" s="17"/>
      <c r="H602" s="17"/>
      <c r="I602" s="17"/>
      <c r="J602" s="17" t="b">
        <v>0</v>
      </c>
    </row>
    <row r="603">
      <c r="A603" s="17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 t="str">
        <f>IFERROR(VLOOKUP(B603,'MASTER DATA'!$A$1:$E$212,4,FALSE),"")</f>
        <v/>
      </c>
      <c r="G603" s="17"/>
      <c r="H603" s="17"/>
      <c r="I603" s="17"/>
      <c r="J603" s="17" t="b">
        <v>0</v>
      </c>
    </row>
    <row r="604">
      <c r="A604" s="17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 t="str">
        <f>IFERROR(VLOOKUP(B604,'MASTER DATA'!$A$1:$E$212,4,FALSE),"")</f>
        <v/>
      </c>
      <c r="G604" s="17"/>
      <c r="H604" s="17"/>
      <c r="I604" s="17"/>
      <c r="J604" s="17" t="b">
        <v>0</v>
      </c>
    </row>
    <row r="605">
      <c r="A605" s="17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 t="str">
        <f>IFERROR(VLOOKUP(B605,'MASTER DATA'!$A$1:$E$212,4,FALSE),"")</f>
        <v/>
      </c>
      <c r="G605" s="17"/>
      <c r="H605" s="17"/>
      <c r="I605" s="17"/>
      <c r="J605" s="17" t="b">
        <v>0</v>
      </c>
    </row>
    <row r="606">
      <c r="A606" s="17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 t="str">
        <f>IFERROR(VLOOKUP(B606,'MASTER DATA'!$A$1:$E$212,4,FALSE),"")</f>
        <v/>
      </c>
      <c r="G606" s="17"/>
      <c r="H606" s="17"/>
      <c r="I606" s="17"/>
      <c r="J606" s="17" t="b">
        <v>0</v>
      </c>
    </row>
    <row r="607">
      <c r="A607" s="17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 t="str">
        <f>IFERROR(VLOOKUP(B607,'MASTER DATA'!$A$1:$E$212,4,FALSE),"")</f>
        <v/>
      </c>
      <c r="G607" s="17"/>
      <c r="H607" s="17"/>
      <c r="I607" s="17"/>
      <c r="J607" s="17" t="b">
        <v>0</v>
      </c>
    </row>
    <row r="608">
      <c r="A608" s="17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 t="str">
        <f>IFERROR(VLOOKUP(B608,'MASTER DATA'!$A$1:$E$212,4,FALSE),"")</f>
        <v/>
      </c>
      <c r="G608" s="17"/>
      <c r="H608" s="17"/>
      <c r="I608" s="17"/>
      <c r="J608" s="17" t="b">
        <v>0</v>
      </c>
    </row>
    <row r="609">
      <c r="A609" s="17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 t="str">
        <f>IFERROR(VLOOKUP(B609,'MASTER DATA'!$A$1:$E$212,4,FALSE),"")</f>
        <v/>
      </c>
      <c r="G609" s="17"/>
      <c r="H609" s="17"/>
      <c r="I609" s="17"/>
      <c r="J609" s="17" t="b">
        <v>0</v>
      </c>
    </row>
    <row r="610">
      <c r="A610" s="17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 t="str">
        <f>IFERROR(VLOOKUP(B610,'MASTER DATA'!$A$1:$E$212,4,FALSE),"")</f>
        <v/>
      </c>
      <c r="G610" s="17"/>
      <c r="H610" s="17"/>
      <c r="I610" s="17"/>
      <c r="J610" s="17" t="b">
        <v>0</v>
      </c>
    </row>
    <row r="611">
      <c r="A611" s="17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 t="str">
        <f>IFERROR(VLOOKUP(B611,'MASTER DATA'!$A$1:$E$212,4,FALSE),"")</f>
        <v/>
      </c>
      <c r="G611" s="17"/>
      <c r="H611" s="17"/>
      <c r="I611" s="17"/>
      <c r="J611" s="17" t="b">
        <v>0</v>
      </c>
    </row>
    <row r="612">
      <c r="A612" s="17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 t="str">
        <f>IFERROR(VLOOKUP(B612,'MASTER DATA'!$A$1:$E$212,4,FALSE),"")</f>
        <v/>
      </c>
      <c r="G612" s="17"/>
      <c r="H612" s="17"/>
      <c r="I612" s="17"/>
      <c r="J612" s="17" t="b">
        <v>0</v>
      </c>
    </row>
    <row r="613">
      <c r="A613" s="17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 t="str">
        <f>IFERROR(VLOOKUP(B613,'MASTER DATA'!$A$1:$E$212,4,FALSE),"")</f>
        <v/>
      </c>
      <c r="G613" s="17"/>
      <c r="H613" s="17"/>
      <c r="I613" s="17"/>
      <c r="J613" s="17" t="b">
        <v>0</v>
      </c>
    </row>
    <row r="614">
      <c r="A614" s="17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 t="str">
        <f>IFERROR(VLOOKUP(B614,'MASTER DATA'!$A$1:$E$212,4,FALSE),"")</f>
        <v/>
      </c>
      <c r="G614" s="17"/>
      <c r="H614" s="17"/>
      <c r="I614" s="17"/>
      <c r="J614" s="17" t="b">
        <v>0</v>
      </c>
    </row>
    <row r="615">
      <c r="A615" s="17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 t="str">
        <f>IFERROR(VLOOKUP(B615,'MASTER DATA'!$A$1:$E$212,4,FALSE),"")</f>
        <v/>
      </c>
      <c r="G615" s="17"/>
      <c r="H615" s="17"/>
      <c r="I615" s="17"/>
      <c r="J615" s="17" t="b">
        <v>0</v>
      </c>
    </row>
    <row r="616">
      <c r="A616" s="17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 t="str">
        <f>IFERROR(VLOOKUP(B616,'MASTER DATA'!$A$1:$E$212,4,FALSE),"")</f>
        <v/>
      </c>
      <c r="G616" s="17"/>
      <c r="H616" s="17"/>
      <c r="I616" s="17"/>
      <c r="J616" s="17" t="b">
        <v>0</v>
      </c>
    </row>
    <row r="617">
      <c r="A617" s="17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 t="str">
        <f>IFERROR(VLOOKUP(B617,'MASTER DATA'!$A$1:$E$212,4,FALSE),"")</f>
        <v/>
      </c>
      <c r="G617" s="17"/>
      <c r="H617" s="17"/>
      <c r="I617" s="17"/>
      <c r="J617" s="17" t="b">
        <v>0</v>
      </c>
    </row>
    <row r="618">
      <c r="A618" s="17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 t="str">
        <f>IFERROR(VLOOKUP(B618,'MASTER DATA'!$A$1:$E$212,4,FALSE),"")</f>
        <v/>
      </c>
      <c r="G618" s="17"/>
      <c r="H618" s="17"/>
      <c r="I618" s="17"/>
      <c r="J618" s="17" t="b">
        <v>0</v>
      </c>
    </row>
    <row r="619">
      <c r="A619" s="17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 t="str">
        <f>IFERROR(VLOOKUP(B619,'MASTER DATA'!$A$1:$E$212,4,FALSE),"")</f>
        <v/>
      </c>
      <c r="G619" s="17"/>
      <c r="H619" s="17"/>
      <c r="I619" s="17"/>
      <c r="J619" s="17" t="b">
        <v>0</v>
      </c>
    </row>
    <row r="620">
      <c r="A620" s="17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 t="str">
        <f>IFERROR(VLOOKUP(B620,'MASTER DATA'!$A$1:$E$212,4,FALSE),"")</f>
        <v/>
      </c>
      <c r="G620" s="17"/>
      <c r="H620" s="17"/>
      <c r="I620" s="17"/>
      <c r="J620" s="17" t="b">
        <v>0</v>
      </c>
    </row>
    <row r="621">
      <c r="A621" s="17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 t="str">
        <f>IFERROR(VLOOKUP(B621,'MASTER DATA'!$A$1:$E$212,4,FALSE),"")</f>
        <v/>
      </c>
      <c r="G621" s="17"/>
      <c r="H621" s="17"/>
      <c r="I621" s="17"/>
      <c r="J621" s="17" t="b">
        <v>0</v>
      </c>
    </row>
    <row r="622">
      <c r="A622" s="17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 t="str">
        <f>IFERROR(VLOOKUP(B622,'MASTER DATA'!$A$1:$E$212,4,FALSE),"")</f>
        <v/>
      </c>
      <c r="G622" s="17"/>
      <c r="H622" s="17"/>
      <c r="I622" s="17"/>
      <c r="J622" s="17" t="b">
        <v>0</v>
      </c>
    </row>
    <row r="623">
      <c r="A623" s="17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 t="str">
        <f>IFERROR(VLOOKUP(B623,'MASTER DATA'!$A$1:$E$212,4,FALSE),"")</f>
        <v/>
      </c>
      <c r="G623" s="17"/>
      <c r="H623" s="17"/>
      <c r="I623" s="17"/>
      <c r="J623" s="17" t="b">
        <v>0</v>
      </c>
    </row>
    <row r="624">
      <c r="A624" s="17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 t="str">
        <f>IFERROR(VLOOKUP(B624,'MASTER DATA'!$A$1:$E$212,4,FALSE),"")</f>
        <v/>
      </c>
      <c r="G624" s="17"/>
      <c r="H624" s="17"/>
      <c r="I624" s="17"/>
      <c r="J624" s="17" t="b">
        <v>0</v>
      </c>
    </row>
    <row r="625">
      <c r="A625" s="17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 t="str">
        <f>IFERROR(VLOOKUP(B625,'MASTER DATA'!$A$1:$E$212,4,FALSE),"")</f>
        <v/>
      </c>
      <c r="G625" s="17"/>
      <c r="H625" s="17"/>
      <c r="I625" s="17"/>
      <c r="J625" s="17" t="b">
        <v>0</v>
      </c>
    </row>
    <row r="626">
      <c r="A626" s="17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 t="str">
        <f>IFERROR(VLOOKUP(B626,'MASTER DATA'!$A$1:$E$212,4,FALSE),"")</f>
        <v/>
      </c>
      <c r="G626" s="17"/>
      <c r="H626" s="17"/>
      <c r="I626" s="17"/>
      <c r="J626" s="17" t="b">
        <v>0</v>
      </c>
    </row>
    <row r="627">
      <c r="A627" s="17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 t="str">
        <f>IFERROR(VLOOKUP(B627,'MASTER DATA'!$A$1:$E$212,4,FALSE),"")</f>
        <v/>
      </c>
      <c r="G627" s="17"/>
      <c r="H627" s="17"/>
      <c r="I627" s="17"/>
      <c r="J627" s="17" t="b">
        <v>0</v>
      </c>
    </row>
    <row r="628">
      <c r="A628" s="17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 t="str">
        <f>IFERROR(VLOOKUP(B628,'MASTER DATA'!$A$1:$E$212,4,FALSE),"")</f>
        <v/>
      </c>
      <c r="G628" s="17"/>
      <c r="H628" s="17"/>
      <c r="I628" s="17"/>
      <c r="J628" s="17" t="b">
        <v>0</v>
      </c>
    </row>
    <row r="629">
      <c r="A629" s="17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 t="str">
        <f>IFERROR(VLOOKUP(B629,'MASTER DATA'!$A$1:$E$212,4,FALSE),"")</f>
        <v/>
      </c>
      <c r="G629" s="17"/>
      <c r="H629" s="17"/>
      <c r="I629" s="17"/>
      <c r="J629" s="17" t="b">
        <v>0</v>
      </c>
    </row>
    <row r="630">
      <c r="A630" s="17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 t="str">
        <f>IFERROR(VLOOKUP(B630,'MASTER DATA'!$A$1:$E$212,4,FALSE),"")</f>
        <v/>
      </c>
      <c r="G630" s="17"/>
      <c r="H630" s="17"/>
      <c r="I630" s="17"/>
      <c r="J630" s="17" t="b">
        <v>0</v>
      </c>
    </row>
    <row r="631">
      <c r="A631" s="17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 t="str">
        <f>IFERROR(VLOOKUP(B631,'MASTER DATA'!$A$1:$E$212,4,FALSE),"")</f>
        <v/>
      </c>
      <c r="G631" s="17"/>
      <c r="H631" s="17"/>
      <c r="I631" s="17"/>
      <c r="J631" s="17" t="b">
        <v>0</v>
      </c>
    </row>
    <row r="632">
      <c r="A632" s="17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 t="str">
        <f>IFERROR(VLOOKUP(B632,'MASTER DATA'!$A$1:$E$212,4,FALSE),"")</f>
        <v/>
      </c>
      <c r="G632" s="17"/>
      <c r="H632" s="17"/>
      <c r="I632" s="17"/>
      <c r="J632" s="17" t="b">
        <v>0</v>
      </c>
    </row>
    <row r="633">
      <c r="A633" s="17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 t="str">
        <f>IFERROR(VLOOKUP(B633,'MASTER DATA'!$A$1:$E$212,4,FALSE),"")</f>
        <v/>
      </c>
      <c r="G633" s="17"/>
      <c r="H633" s="17"/>
      <c r="I633" s="17"/>
      <c r="J633" s="17" t="b">
        <v>0</v>
      </c>
    </row>
    <row r="634">
      <c r="A634" s="17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 t="str">
        <f>IFERROR(VLOOKUP(B634,'MASTER DATA'!$A$1:$E$212,4,FALSE),"")</f>
        <v/>
      </c>
      <c r="G634" s="17"/>
      <c r="H634" s="17"/>
      <c r="I634" s="17"/>
      <c r="J634" s="17" t="b">
        <v>0</v>
      </c>
    </row>
    <row r="635">
      <c r="A635" s="17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 t="str">
        <f>IFERROR(VLOOKUP(B635,'MASTER DATA'!$A$1:$E$212,4,FALSE),"")</f>
        <v/>
      </c>
      <c r="G635" s="17"/>
      <c r="H635" s="17"/>
      <c r="I635" s="17"/>
      <c r="J635" s="17" t="b">
        <v>0</v>
      </c>
    </row>
    <row r="636">
      <c r="A636" s="17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 t="str">
        <f>IFERROR(VLOOKUP(B636,'MASTER DATA'!$A$1:$E$212,4,FALSE),"")</f>
        <v/>
      </c>
      <c r="G636" s="17"/>
      <c r="H636" s="17"/>
      <c r="I636" s="17"/>
      <c r="J636" s="17" t="b">
        <v>0</v>
      </c>
    </row>
    <row r="637">
      <c r="A637" s="17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 t="str">
        <f>IFERROR(VLOOKUP(B637,'MASTER DATA'!$A$1:$E$212,4,FALSE),"")</f>
        <v/>
      </c>
      <c r="G637" s="17"/>
      <c r="H637" s="17"/>
      <c r="I637" s="17"/>
      <c r="J637" s="17" t="b">
        <v>0</v>
      </c>
    </row>
    <row r="638">
      <c r="A638" s="17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 t="str">
        <f>IFERROR(VLOOKUP(B638,'MASTER DATA'!$A$1:$E$212,4,FALSE),"")</f>
        <v/>
      </c>
      <c r="G638" s="17"/>
      <c r="H638" s="17"/>
      <c r="I638" s="17"/>
      <c r="J638" s="17" t="b">
        <v>0</v>
      </c>
    </row>
    <row r="639">
      <c r="A639" s="17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 t="str">
        <f>IFERROR(VLOOKUP(B639,'MASTER DATA'!$A$1:$E$212,4,FALSE),"")</f>
        <v/>
      </c>
      <c r="G639" s="17"/>
      <c r="H639" s="17"/>
      <c r="I639" s="17"/>
      <c r="J639" s="17" t="b">
        <v>0</v>
      </c>
    </row>
    <row r="640">
      <c r="A640" s="17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 t="str">
        <f>IFERROR(VLOOKUP(B640,'MASTER DATA'!$A$1:$E$212,4,FALSE),"")</f>
        <v/>
      </c>
      <c r="G640" s="17"/>
      <c r="H640" s="17"/>
      <c r="I640" s="17"/>
      <c r="J640" s="17" t="b">
        <v>0</v>
      </c>
    </row>
    <row r="641">
      <c r="A641" s="17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 t="str">
        <f>IFERROR(VLOOKUP(B641,'MASTER DATA'!$A$1:$E$212,4,FALSE),"")</f>
        <v/>
      </c>
      <c r="G641" s="17"/>
      <c r="H641" s="17"/>
      <c r="I641" s="17"/>
      <c r="J641" s="17" t="b">
        <v>0</v>
      </c>
    </row>
    <row r="642">
      <c r="A642" s="17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 t="str">
        <f>IFERROR(VLOOKUP(B642,'MASTER DATA'!$A$1:$E$212,4,FALSE),"")</f>
        <v/>
      </c>
      <c r="G642" s="17"/>
      <c r="H642" s="17"/>
      <c r="I642" s="17"/>
      <c r="J642" s="17" t="b">
        <v>0</v>
      </c>
    </row>
    <row r="643">
      <c r="A643" s="17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 t="str">
        <f>IFERROR(VLOOKUP(B643,'MASTER DATA'!$A$1:$E$212,4,FALSE),"")</f>
        <v/>
      </c>
      <c r="G643" s="17"/>
      <c r="H643" s="17"/>
      <c r="I643" s="17"/>
      <c r="J643" s="17" t="b">
        <v>0</v>
      </c>
    </row>
    <row r="644">
      <c r="A644" s="17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 t="str">
        <f>IFERROR(VLOOKUP(B644,'MASTER DATA'!$A$1:$E$212,4,FALSE),"")</f>
        <v/>
      </c>
      <c r="G644" s="17"/>
      <c r="H644" s="17"/>
      <c r="I644" s="17"/>
      <c r="J644" s="17" t="b">
        <v>0</v>
      </c>
    </row>
    <row r="645">
      <c r="A645" s="17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 t="str">
        <f>IFERROR(VLOOKUP(B645,'MASTER DATA'!$A$1:$E$212,4,FALSE),"")</f>
        <v/>
      </c>
      <c r="G645" s="17"/>
      <c r="H645" s="17"/>
      <c r="I645" s="17"/>
      <c r="J645" s="17" t="b">
        <v>0</v>
      </c>
    </row>
    <row r="646">
      <c r="A646" s="17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 t="str">
        <f>IFERROR(VLOOKUP(B646,'MASTER DATA'!$A$1:$E$212,4,FALSE),"")</f>
        <v/>
      </c>
      <c r="G646" s="17"/>
      <c r="H646" s="17"/>
      <c r="I646" s="17"/>
      <c r="J646" s="17" t="b">
        <v>0</v>
      </c>
    </row>
    <row r="647">
      <c r="A647" s="17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 t="str">
        <f>IFERROR(VLOOKUP(B647,'MASTER DATA'!$A$1:$E$212,4,FALSE),"")</f>
        <v/>
      </c>
      <c r="G647" s="17"/>
      <c r="H647" s="17"/>
      <c r="I647" s="17"/>
      <c r="J647" s="17" t="b">
        <v>0</v>
      </c>
    </row>
    <row r="648">
      <c r="A648" s="17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 t="str">
        <f>IFERROR(VLOOKUP(B648,'MASTER DATA'!$A$1:$E$212,4,FALSE),"")</f>
        <v/>
      </c>
      <c r="G648" s="17"/>
      <c r="H648" s="17"/>
      <c r="I648" s="17"/>
      <c r="J648" s="17" t="b">
        <v>0</v>
      </c>
    </row>
    <row r="649">
      <c r="A649" s="17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 t="str">
        <f>IFERROR(VLOOKUP(B649,'MASTER DATA'!$A$1:$E$212,4,FALSE),"")</f>
        <v/>
      </c>
      <c r="G649" s="17"/>
      <c r="H649" s="17"/>
      <c r="I649" s="17"/>
      <c r="J649" s="17" t="b">
        <v>0</v>
      </c>
    </row>
    <row r="650">
      <c r="A650" s="17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 t="str">
        <f>IFERROR(VLOOKUP(B650,'MASTER DATA'!$A$1:$E$212,4,FALSE),"")</f>
        <v/>
      </c>
      <c r="G650" s="17"/>
      <c r="H650" s="17"/>
      <c r="I650" s="17"/>
      <c r="J650" s="17" t="b">
        <v>0</v>
      </c>
    </row>
    <row r="651">
      <c r="A651" s="17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 t="str">
        <f>IFERROR(VLOOKUP(B651,'MASTER DATA'!$A$1:$E$212,4,FALSE),"")</f>
        <v/>
      </c>
      <c r="G651" s="17"/>
      <c r="H651" s="17"/>
      <c r="I651" s="17"/>
      <c r="J651" s="17" t="b">
        <v>0</v>
      </c>
    </row>
    <row r="652">
      <c r="A652" s="17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 t="str">
        <f>IFERROR(VLOOKUP(B652,'MASTER DATA'!$A$1:$E$212,4,FALSE),"")</f>
        <v/>
      </c>
      <c r="G652" s="17"/>
      <c r="H652" s="17"/>
      <c r="I652" s="17"/>
      <c r="J652" s="17" t="b">
        <v>0</v>
      </c>
    </row>
    <row r="653">
      <c r="A653" s="17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 t="str">
        <f>IFERROR(VLOOKUP(B653,'MASTER DATA'!$A$1:$E$212,4,FALSE),"")</f>
        <v/>
      </c>
      <c r="G653" s="17"/>
      <c r="H653" s="17"/>
      <c r="I653" s="17"/>
      <c r="J653" s="17" t="b">
        <v>0</v>
      </c>
    </row>
    <row r="654">
      <c r="A654" s="17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 t="str">
        <f>IFERROR(VLOOKUP(B654,'MASTER DATA'!$A$1:$E$212,4,FALSE),"")</f>
        <v/>
      </c>
      <c r="G654" s="17"/>
      <c r="H654" s="17"/>
      <c r="I654" s="17"/>
      <c r="J654" s="17" t="b">
        <v>0</v>
      </c>
    </row>
    <row r="655">
      <c r="A655" s="17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 t="str">
        <f>IFERROR(VLOOKUP(B655,'MASTER DATA'!$A$1:$E$212,4,FALSE),"")</f>
        <v/>
      </c>
      <c r="G655" s="17"/>
      <c r="H655" s="17"/>
      <c r="I655" s="17"/>
      <c r="J655" s="17" t="b">
        <v>0</v>
      </c>
    </row>
    <row r="656">
      <c r="A656" s="17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 t="str">
        <f>IFERROR(VLOOKUP(B656,'MASTER DATA'!$A$1:$E$212,4,FALSE),"")</f>
        <v/>
      </c>
      <c r="G656" s="17"/>
      <c r="H656" s="17"/>
      <c r="I656" s="17"/>
      <c r="J656" s="17" t="b">
        <v>0</v>
      </c>
    </row>
    <row r="657">
      <c r="A657" s="17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 t="str">
        <f>IFERROR(VLOOKUP(B657,'MASTER DATA'!$A$1:$E$212,4,FALSE),"")</f>
        <v/>
      </c>
      <c r="G657" s="17"/>
      <c r="H657" s="17"/>
      <c r="I657" s="17"/>
      <c r="J657" s="17" t="b">
        <v>0</v>
      </c>
    </row>
    <row r="658">
      <c r="A658" s="17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 t="str">
        <f>IFERROR(VLOOKUP(B658,'MASTER DATA'!$A$1:$E$212,4,FALSE),"")</f>
        <v/>
      </c>
      <c r="G658" s="17"/>
      <c r="H658" s="17"/>
      <c r="I658" s="17"/>
      <c r="J658" s="17" t="b">
        <v>0</v>
      </c>
    </row>
    <row r="659">
      <c r="A659" s="17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 t="str">
        <f>IFERROR(VLOOKUP(B659,'MASTER DATA'!$A$1:$E$212,4,FALSE),"")</f>
        <v/>
      </c>
      <c r="G659" s="17"/>
      <c r="H659" s="17"/>
      <c r="I659" s="17"/>
      <c r="J659" s="17" t="b">
        <v>0</v>
      </c>
    </row>
    <row r="660">
      <c r="A660" s="17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 t="str">
        <f>IFERROR(VLOOKUP(B660,'MASTER DATA'!$A$1:$E$212,4,FALSE),"")</f>
        <v/>
      </c>
      <c r="G660" s="17"/>
      <c r="H660" s="17"/>
      <c r="I660" s="17"/>
      <c r="J660" s="17" t="b">
        <v>0</v>
      </c>
    </row>
    <row r="661">
      <c r="A661" s="17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 t="str">
        <f>IFERROR(VLOOKUP(B661,'MASTER DATA'!$A$1:$E$212,4,FALSE),"")</f>
        <v/>
      </c>
      <c r="G661" s="17"/>
      <c r="H661" s="17"/>
      <c r="I661" s="17"/>
      <c r="J661" s="17" t="b">
        <v>0</v>
      </c>
    </row>
    <row r="662">
      <c r="A662" s="17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 t="str">
        <f>IFERROR(VLOOKUP(B662,'MASTER DATA'!$A$1:$E$212,4,FALSE),"")</f>
        <v/>
      </c>
      <c r="G662" s="17"/>
      <c r="H662" s="17"/>
      <c r="I662" s="17"/>
      <c r="J662" s="17" t="b">
        <v>0</v>
      </c>
    </row>
    <row r="663">
      <c r="A663" s="17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 t="str">
        <f>IFERROR(VLOOKUP(B663,'MASTER DATA'!$A$1:$E$212,4,FALSE),"")</f>
        <v/>
      </c>
      <c r="G663" s="17"/>
      <c r="H663" s="17"/>
      <c r="I663" s="17"/>
      <c r="J663" s="17" t="b">
        <v>0</v>
      </c>
    </row>
    <row r="664">
      <c r="A664" s="17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 t="str">
        <f>IFERROR(VLOOKUP(B664,'MASTER DATA'!$A$1:$E$212,4,FALSE),"")</f>
        <v/>
      </c>
      <c r="G664" s="17"/>
      <c r="H664" s="17"/>
      <c r="I664" s="17"/>
      <c r="J664" s="17" t="b">
        <v>0</v>
      </c>
    </row>
    <row r="665">
      <c r="A665" s="17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 t="str">
        <f>IFERROR(VLOOKUP(B665,'MASTER DATA'!$A$1:$E$212,4,FALSE),"")</f>
        <v/>
      </c>
      <c r="G665" s="17"/>
      <c r="H665" s="17"/>
      <c r="I665" s="17"/>
      <c r="J665" s="17" t="b">
        <v>0</v>
      </c>
    </row>
    <row r="666">
      <c r="A666" s="17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 t="str">
        <f>IFERROR(VLOOKUP(B666,'MASTER DATA'!$A$1:$E$212,4,FALSE),"")</f>
        <v/>
      </c>
      <c r="G666" s="17"/>
      <c r="H666" s="17"/>
      <c r="I666" s="17"/>
      <c r="J666" s="17" t="b">
        <v>0</v>
      </c>
    </row>
    <row r="667">
      <c r="A667" s="17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 t="str">
        <f>IFERROR(VLOOKUP(B667,'MASTER DATA'!$A$1:$E$212,4,FALSE),"")</f>
        <v/>
      </c>
      <c r="G667" s="17"/>
      <c r="H667" s="17"/>
      <c r="I667" s="17"/>
      <c r="J667" s="17" t="b">
        <v>0</v>
      </c>
    </row>
    <row r="668">
      <c r="A668" s="17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 t="str">
        <f>IFERROR(VLOOKUP(B668,'MASTER DATA'!$A$1:$E$212,4,FALSE),"")</f>
        <v/>
      </c>
      <c r="G668" s="17"/>
      <c r="H668" s="17"/>
      <c r="I668" s="17"/>
      <c r="J668" s="17" t="b">
        <v>0</v>
      </c>
    </row>
    <row r="669">
      <c r="A669" s="17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 t="str">
        <f>IFERROR(VLOOKUP(B669,'MASTER DATA'!$A$1:$E$212,4,FALSE),"")</f>
        <v/>
      </c>
      <c r="G669" s="17"/>
      <c r="H669" s="17"/>
      <c r="I669" s="17"/>
      <c r="J669" s="17" t="b">
        <v>0</v>
      </c>
    </row>
    <row r="670">
      <c r="A670" s="17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 t="str">
        <f>IFERROR(VLOOKUP(B670,'MASTER DATA'!$A$1:$E$212,4,FALSE),"")</f>
        <v/>
      </c>
      <c r="G670" s="17"/>
      <c r="H670" s="17"/>
      <c r="I670" s="17"/>
      <c r="J670" s="17" t="b">
        <v>0</v>
      </c>
    </row>
    <row r="671">
      <c r="A671" s="17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 t="str">
        <f>IFERROR(VLOOKUP(B671,'MASTER DATA'!$A$1:$E$212,4,FALSE),"")</f>
        <v/>
      </c>
      <c r="G671" s="17"/>
      <c r="H671" s="17"/>
      <c r="I671" s="17"/>
      <c r="J671" s="17" t="b">
        <v>0</v>
      </c>
    </row>
    <row r="672">
      <c r="A672" s="17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 t="str">
        <f>IFERROR(VLOOKUP(B672,'MASTER DATA'!$A$1:$E$212,4,FALSE),"")</f>
        <v/>
      </c>
      <c r="G672" s="17"/>
      <c r="H672" s="17"/>
      <c r="I672" s="17"/>
      <c r="J672" s="17" t="b">
        <v>0</v>
      </c>
    </row>
    <row r="673">
      <c r="A673" s="17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 t="str">
        <f>IFERROR(VLOOKUP(B673,'MASTER DATA'!$A$1:$E$212,4,FALSE),"")</f>
        <v/>
      </c>
      <c r="G673" s="17"/>
      <c r="H673" s="17"/>
      <c r="I673" s="17"/>
      <c r="J673" s="17" t="b">
        <v>0</v>
      </c>
    </row>
    <row r="674">
      <c r="A674" s="17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 t="str">
        <f>IFERROR(VLOOKUP(B674,'MASTER DATA'!$A$1:$E$212,4,FALSE),"")</f>
        <v/>
      </c>
      <c r="G674" s="17"/>
      <c r="H674" s="17"/>
      <c r="I674" s="17"/>
      <c r="J674" s="17" t="b">
        <v>0</v>
      </c>
    </row>
    <row r="675">
      <c r="A675" s="17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 t="str">
        <f>IFERROR(VLOOKUP(B675,'MASTER DATA'!$A$1:$E$212,4,FALSE),"")</f>
        <v/>
      </c>
      <c r="G675" s="17"/>
      <c r="H675" s="17"/>
      <c r="I675" s="17"/>
      <c r="J675" s="17" t="b">
        <v>0</v>
      </c>
    </row>
    <row r="676">
      <c r="A676" s="17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 t="str">
        <f>IFERROR(VLOOKUP(B676,'MASTER DATA'!$A$1:$E$212,4,FALSE),"")</f>
        <v/>
      </c>
      <c r="G676" s="17"/>
      <c r="H676" s="17"/>
      <c r="I676" s="17"/>
      <c r="J676" s="17" t="b">
        <v>0</v>
      </c>
    </row>
    <row r="677">
      <c r="A677" s="17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 t="str">
        <f>IFERROR(VLOOKUP(B677,'MASTER DATA'!$A$1:$E$212,4,FALSE),"")</f>
        <v/>
      </c>
      <c r="G677" s="17"/>
      <c r="H677" s="17"/>
      <c r="I677" s="17"/>
      <c r="J677" s="17" t="b">
        <v>0</v>
      </c>
    </row>
    <row r="678">
      <c r="A678" s="17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 t="str">
        <f>IFERROR(VLOOKUP(B678,'MASTER DATA'!$A$1:$E$212,4,FALSE),"")</f>
        <v/>
      </c>
      <c r="G678" s="17"/>
      <c r="H678" s="17"/>
      <c r="I678" s="17"/>
      <c r="J678" s="17" t="b">
        <v>0</v>
      </c>
    </row>
    <row r="679">
      <c r="A679" s="17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 t="str">
        <f>IFERROR(VLOOKUP(B679,'MASTER DATA'!$A$1:$E$212,4,FALSE),"")</f>
        <v/>
      </c>
      <c r="G679" s="17"/>
      <c r="H679" s="17"/>
      <c r="I679" s="17"/>
      <c r="J679" s="17" t="b">
        <v>0</v>
      </c>
    </row>
    <row r="680">
      <c r="A680" s="17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 t="str">
        <f>IFERROR(VLOOKUP(B680,'MASTER DATA'!$A$1:$E$212,4,FALSE),"")</f>
        <v/>
      </c>
      <c r="G680" s="17"/>
      <c r="H680" s="17"/>
      <c r="I680" s="17"/>
      <c r="J680" s="17" t="b">
        <v>0</v>
      </c>
    </row>
    <row r="681">
      <c r="A681" s="17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 t="str">
        <f>IFERROR(VLOOKUP(B681,'MASTER DATA'!$A$1:$E$212,4,FALSE),"")</f>
        <v/>
      </c>
      <c r="G681" s="17"/>
      <c r="H681" s="17"/>
      <c r="I681" s="17"/>
      <c r="J681" s="17" t="b">
        <v>0</v>
      </c>
    </row>
    <row r="682">
      <c r="A682" s="17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 t="str">
        <f>IFERROR(VLOOKUP(B682,'MASTER DATA'!$A$1:$E$212,4,FALSE),"")</f>
        <v/>
      </c>
      <c r="G682" s="17"/>
      <c r="H682" s="17"/>
      <c r="I682" s="17"/>
      <c r="J682" s="17" t="b">
        <v>0</v>
      </c>
    </row>
    <row r="683">
      <c r="A683" s="17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 t="str">
        <f>IFERROR(VLOOKUP(B683,'MASTER DATA'!$A$1:$E$212,4,FALSE),"")</f>
        <v/>
      </c>
      <c r="G683" s="17"/>
      <c r="H683" s="17"/>
      <c r="I683" s="17"/>
      <c r="J683" s="17" t="b">
        <v>0</v>
      </c>
    </row>
    <row r="684">
      <c r="A684" s="17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 t="str">
        <f>IFERROR(VLOOKUP(B684,'MASTER DATA'!$A$1:$E$212,4,FALSE),"")</f>
        <v/>
      </c>
      <c r="G684" s="17"/>
      <c r="H684" s="17"/>
      <c r="I684" s="17"/>
      <c r="J684" s="17" t="b">
        <v>0</v>
      </c>
    </row>
    <row r="685">
      <c r="A685" s="17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 t="str">
        <f>IFERROR(VLOOKUP(B685,'MASTER DATA'!$A$1:$E$212,4,FALSE),"")</f>
        <v/>
      </c>
      <c r="G685" s="17"/>
      <c r="H685" s="17"/>
      <c r="I685" s="17"/>
      <c r="J685" s="17" t="b">
        <v>0</v>
      </c>
    </row>
    <row r="686">
      <c r="A686" s="17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 t="str">
        <f>IFERROR(VLOOKUP(B686,'MASTER DATA'!$A$1:$E$212,4,FALSE),"")</f>
        <v/>
      </c>
      <c r="G686" s="17"/>
      <c r="H686" s="17"/>
      <c r="I686" s="17"/>
      <c r="J686" s="17" t="b">
        <v>0</v>
      </c>
    </row>
    <row r="687">
      <c r="A687" s="17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 t="str">
        <f>IFERROR(VLOOKUP(B687,'MASTER DATA'!$A$1:$E$212,4,FALSE),"")</f>
        <v/>
      </c>
      <c r="G687" s="17"/>
      <c r="H687" s="17"/>
      <c r="I687" s="17"/>
      <c r="J687" s="17" t="b">
        <v>0</v>
      </c>
    </row>
    <row r="688">
      <c r="A688" s="17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 t="str">
        <f>IFERROR(VLOOKUP(B688,'MASTER DATA'!$A$1:$E$212,4,FALSE),"")</f>
        <v/>
      </c>
      <c r="G688" s="17"/>
      <c r="H688" s="17"/>
      <c r="I688" s="17"/>
      <c r="J688" s="17" t="b">
        <v>0</v>
      </c>
    </row>
    <row r="689">
      <c r="A689" s="17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 t="str">
        <f>IFERROR(VLOOKUP(B689,'MASTER DATA'!$A$1:$E$212,4,FALSE),"")</f>
        <v/>
      </c>
      <c r="G689" s="17"/>
      <c r="H689" s="17"/>
      <c r="I689" s="17"/>
      <c r="J689" s="17" t="b">
        <v>0</v>
      </c>
    </row>
    <row r="690">
      <c r="A690" s="17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 t="str">
        <f>IFERROR(VLOOKUP(B690,'MASTER DATA'!$A$1:$E$212,4,FALSE),"")</f>
        <v/>
      </c>
      <c r="G690" s="17"/>
      <c r="H690" s="17"/>
      <c r="I690" s="17"/>
      <c r="J690" s="17" t="b">
        <v>0</v>
      </c>
    </row>
    <row r="691">
      <c r="A691" s="17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 t="str">
        <f>IFERROR(VLOOKUP(B691,'MASTER DATA'!$A$1:$E$212,4,FALSE),"")</f>
        <v/>
      </c>
      <c r="G691" s="17"/>
      <c r="H691" s="17"/>
      <c r="I691" s="17"/>
      <c r="J691" s="17" t="b">
        <v>0</v>
      </c>
    </row>
    <row r="692">
      <c r="A692" s="17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 t="str">
        <f>IFERROR(VLOOKUP(B692,'MASTER DATA'!$A$1:$E$212,4,FALSE),"")</f>
        <v/>
      </c>
      <c r="G692" s="17"/>
      <c r="H692" s="17"/>
      <c r="I692" s="17"/>
      <c r="J692" s="17" t="b">
        <v>0</v>
      </c>
    </row>
    <row r="693">
      <c r="A693" s="17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 t="str">
        <f>IFERROR(VLOOKUP(B693,'MASTER DATA'!$A$1:$E$212,4,FALSE),"")</f>
        <v/>
      </c>
      <c r="G693" s="17"/>
      <c r="H693" s="17"/>
      <c r="I693" s="17"/>
      <c r="J693" s="17" t="b">
        <v>0</v>
      </c>
    </row>
    <row r="694">
      <c r="A694" s="17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 t="str">
        <f>IFERROR(VLOOKUP(B694,'MASTER DATA'!$A$1:$E$212,4,FALSE),"")</f>
        <v/>
      </c>
      <c r="G694" s="17"/>
      <c r="H694" s="17"/>
      <c r="I694" s="17"/>
      <c r="J694" s="17" t="b">
        <v>0</v>
      </c>
    </row>
    <row r="695">
      <c r="A695" s="17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 t="str">
        <f>IFERROR(VLOOKUP(B695,'MASTER DATA'!$A$1:$E$212,4,FALSE),"")</f>
        <v/>
      </c>
      <c r="G695" s="17"/>
      <c r="H695" s="17"/>
      <c r="I695" s="17"/>
      <c r="J695" s="17" t="b">
        <v>0</v>
      </c>
    </row>
    <row r="696">
      <c r="A696" s="17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 t="str">
        <f>IFERROR(VLOOKUP(B696,'MASTER DATA'!$A$1:$E$212,4,FALSE),"")</f>
        <v/>
      </c>
      <c r="G696" s="17"/>
      <c r="H696" s="17"/>
      <c r="I696" s="17"/>
      <c r="J696" s="17" t="b">
        <v>0</v>
      </c>
    </row>
    <row r="697">
      <c r="A697" s="17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 t="str">
        <f>IFERROR(VLOOKUP(B697,'MASTER DATA'!$A$1:$E$212,4,FALSE),"")</f>
        <v/>
      </c>
      <c r="G697" s="17"/>
      <c r="H697" s="17"/>
      <c r="I697" s="17"/>
      <c r="J697" s="17" t="b">
        <v>0</v>
      </c>
    </row>
    <row r="698">
      <c r="A698" s="17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 t="str">
        <f>IFERROR(VLOOKUP(B698,'MASTER DATA'!$A$1:$E$212,4,FALSE),"")</f>
        <v/>
      </c>
      <c r="G698" s="17"/>
      <c r="H698" s="17"/>
      <c r="I698" s="17"/>
      <c r="J698" s="17" t="b">
        <v>0</v>
      </c>
    </row>
    <row r="699">
      <c r="A699" s="17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 t="str">
        <f>IFERROR(VLOOKUP(B699,'MASTER DATA'!$A$1:$E$212,4,FALSE),"")</f>
        <v/>
      </c>
      <c r="G699" s="17"/>
      <c r="H699" s="17"/>
      <c r="I699" s="17"/>
      <c r="J699" s="17" t="b">
        <v>0</v>
      </c>
    </row>
    <row r="700">
      <c r="A700" s="17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 t="str">
        <f>IFERROR(VLOOKUP(B700,'MASTER DATA'!$A$1:$E$212,4,FALSE),"")</f>
        <v/>
      </c>
      <c r="G700" s="17"/>
      <c r="H700" s="17"/>
      <c r="I700" s="17"/>
      <c r="J700" s="17" t="b">
        <v>0</v>
      </c>
    </row>
    <row r="701">
      <c r="A701" s="17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 t="str">
        <f>IFERROR(VLOOKUP(B701,'MASTER DATA'!$A$1:$E$212,4,FALSE),"")</f>
        <v/>
      </c>
      <c r="G701" s="17"/>
      <c r="H701" s="17"/>
      <c r="I701" s="17"/>
      <c r="J701" s="17" t="b">
        <v>0</v>
      </c>
    </row>
    <row r="702">
      <c r="A702" s="17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 t="str">
        <f>IFERROR(VLOOKUP(B702,'MASTER DATA'!$A$1:$E$212,4,FALSE),"")</f>
        <v/>
      </c>
      <c r="G702" s="17"/>
      <c r="H702" s="17"/>
      <c r="I702" s="17"/>
      <c r="J702" s="17" t="b">
        <v>0</v>
      </c>
    </row>
    <row r="703">
      <c r="A703" s="17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 t="str">
        <f>IFERROR(VLOOKUP(B703,'MASTER DATA'!$A$1:$E$212,4,FALSE),"")</f>
        <v/>
      </c>
      <c r="G703" s="17"/>
      <c r="H703" s="17"/>
      <c r="I703" s="17"/>
      <c r="J703" s="17" t="b">
        <v>0</v>
      </c>
    </row>
    <row r="704">
      <c r="A704" s="17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 t="str">
        <f>IFERROR(VLOOKUP(B704,'MASTER DATA'!$A$1:$E$212,4,FALSE),"")</f>
        <v/>
      </c>
      <c r="G704" s="17"/>
      <c r="H704" s="17"/>
      <c r="I704" s="17"/>
      <c r="J704" s="17" t="b">
        <v>0</v>
      </c>
    </row>
    <row r="705">
      <c r="A705" s="17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 t="str">
        <f>IFERROR(VLOOKUP(B705,'MASTER DATA'!$A$1:$E$212,4,FALSE),"")</f>
        <v/>
      </c>
      <c r="G705" s="17"/>
      <c r="H705" s="17"/>
      <c r="I705" s="17"/>
      <c r="J705" s="17" t="b">
        <v>0</v>
      </c>
    </row>
    <row r="706">
      <c r="A706" s="17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 t="str">
        <f>IFERROR(VLOOKUP(B706,'MASTER DATA'!$A$1:$E$212,4,FALSE),"")</f>
        <v/>
      </c>
      <c r="G706" s="17"/>
      <c r="H706" s="17"/>
      <c r="I706" s="17"/>
      <c r="J706" s="17" t="b">
        <v>0</v>
      </c>
    </row>
    <row r="707">
      <c r="A707" s="17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 t="str">
        <f>IFERROR(VLOOKUP(B707,'MASTER DATA'!$A$1:$E$212,4,FALSE),"")</f>
        <v/>
      </c>
      <c r="G707" s="17"/>
      <c r="H707" s="17"/>
      <c r="I707" s="17"/>
      <c r="J707" s="17" t="b">
        <v>0</v>
      </c>
    </row>
    <row r="708">
      <c r="A708" s="17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 t="str">
        <f>IFERROR(VLOOKUP(B708,'MASTER DATA'!$A$1:$E$212,4,FALSE),"")</f>
        <v/>
      </c>
      <c r="G708" s="17"/>
      <c r="H708" s="17"/>
      <c r="I708" s="17"/>
      <c r="J708" s="17" t="b">
        <v>0</v>
      </c>
    </row>
    <row r="709">
      <c r="A709" s="17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 t="str">
        <f>IFERROR(VLOOKUP(B709,'MASTER DATA'!$A$1:$E$212,4,FALSE),"")</f>
        <v/>
      </c>
      <c r="G709" s="17"/>
      <c r="H709" s="17"/>
      <c r="I709" s="17"/>
      <c r="J709" s="17" t="b">
        <v>0</v>
      </c>
    </row>
    <row r="710">
      <c r="A710" s="17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 t="str">
        <f>IFERROR(VLOOKUP(B710,'MASTER DATA'!$A$1:$E$212,4,FALSE),"")</f>
        <v/>
      </c>
      <c r="G710" s="17"/>
      <c r="H710" s="17"/>
      <c r="I710" s="17"/>
      <c r="J710" s="17" t="b">
        <v>0</v>
      </c>
    </row>
    <row r="711">
      <c r="A711" s="17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 t="str">
        <f>IFERROR(VLOOKUP(B711,'MASTER DATA'!$A$1:$E$212,4,FALSE),"")</f>
        <v/>
      </c>
      <c r="G711" s="17"/>
      <c r="H711" s="17"/>
      <c r="I711" s="17"/>
      <c r="J711" s="17" t="b">
        <v>0</v>
      </c>
    </row>
    <row r="712">
      <c r="A712" s="17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 t="str">
        <f>IFERROR(VLOOKUP(B712,'MASTER DATA'!$A$1:$E$212,4,FALSE),"")</f>
        <v/>
      </c>
      <c r="G712" s="17"/>
      <c r="H712" s="17"/>
      <c r="I712" s="17"/>
      <c r="J712" s="17" t="b">
        <v>0</v>
      </c>
    </row>
    <row r="713">
      <c r="A713" s="17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 t="str">
        <f>IFERROR(VLOOKUP(B713,'MASTER DATA'!$A$1:$E$212,4,FALSE),"")</f>
        <v/>
      </c>
      <c r="G713" s="17"/>
      <c r="H713" s="17"/>
      <c r="I713" s="17"/>
      <c r="J713" s="17" t="b">
        <v>0</v>
      </c>
    </row>
    <row r="714">
      <c r="A714" s="17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 t="str">
        <f>IFERROR(VLOOKUP(B714,'MASTER DATA'!$A$1:$E$212,4,FALSE),"")</f>
        <v/>
      </c>
      <c r="G714" s="17"/>
      <c r="H714" s="17"/>
      <c r="I714" s="17"/>
      <c r="J714" s="17" t="b">
        <v>0</v>
      </c>
    </row>
    <row r="715">
      <c r="A715" s="17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 t="str">
        <f>IFERROR(VLOOKUP(B715,'MASTER DATA'!$A$1:$E$212,4,FALSE),"")</f>
        <v/>
      </c>
      <c r="G715" s="17"/>
      <c r="H715" s="17"/>
      <c r="I715" s="17"/>
      <c r="J715" s="17" t="b">
        <v>0</v>
      </c>
    </row>
    <row r="716">
      <c r="A716" s="17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 t="str">
        <f>IFERROR(VLOOKUP(B716,'MASTER DATA'!$A$1:$E$212,4,FALSE),"")</f>
        <v/>
      </c>
      <c r="G716" s="17"/>
      <c r="H716" s="17"/>
      <c r="I716" s="17"/>
      <c r="J716" s="17" t="b">
        <v>0</v>
      </c>
    </row>
    <row r="717">
      <c r="A717" s="17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 t="str">
        <f>IFERROR(VLOOKUP(B717,'MASTER DATA'!$A$1:$E$212,4,FALSE),"")</f>
        <v/>
      </c>
      <c r="G717" s="17"/>
      <c r="H717" s="17"/>
      <c r="I717" s="17"/>
      <c r="J717" s="17" t="b">
        <v>0</v>
      </c>
    </row>
    <row r="718">
      <c r="A718" s="17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 t="str">
        <f>IFERROR(VLOOKUP(B718,'MASTER DATA'!$A$1:$E$212,4,FALSE),"")</f>
        <v/>
      </c>
      <c r="G718" s="17"/>
      <c r="H718" s="17"/>
      <c r="I718" s="17"/>
      <c r="J718" s="17" t="b">
        <v>0</v>
      </c>
    </row>
    <row r="719">
      <c r="A719" s="17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 t="str">
        <f>IFERROR(VLOOKUP(B719,'MASTER DATA'!$A$1:$E$212,4,FALSE),"")</f>
        <v/>
      </c>
      <c r="G719" s="17"/>
      <c r="H719" s="17"/>
      <c r="I719" s="17"/>
      <c r="J719" s="17" t="b">
        <v>0</v>
      </c>
    </row>
    <row r="720">
      <c r="A720" s="17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 t="str">
        <f>IFERROR(VLOOKUP(B720,'MASTER DATA'!$A$1:$E$212,4,FALSE),"")</f>
        <v/>
      </c>
      <c r="G720" s="17"/>
      <c r="H720" s="17"/>
      <c r="I720" s="17"/>
      <c r="J720" s="17" t="b">
        <v>0</v>
      </c>
    </row>
    <row r="721">
      <c r="A721" s="17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 t="str">
        <f>IFERROR(VLOOKUP(B721,'MASTER DATA'!$A$1:$E$212,4,FALSE),"")</f>
        <v/>
      </c>
      <c r="G721" s="17"/>
      <c r="H721" s="17"/>
      <c r="I721" s="17"/>
      <c r="J721" s="17" t="b">
        <v>0</v>
      </c>
    </row>
    <row r="722">
      <c r="A722" s="17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 t="str">
        <f>IFERROR(VLOOKUP(B722,'MASTER DATA'!$A$1:$E$212,4,FALSE),"")</f>
        <v/>
      </c>
      <c r="G722" s="17"/>
      <c r="H722" s="17"/>
      <c r="I722" s="17"/>
      <c r="J722" s="17" t="b">
        <v>0</v>
      </c>
    </row>
    <row r="723">
      <c r="A723" s="17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 t="str">
        <f>IFERROR(VLOOKUP(B723,'MASTER DATA'!$A$1:$E$212,4,FALSE),"")</f>
        <v/>
      </c>
      <c r="G723" s="17"/>
      <c r="H723" s="17"/>
      <c r="I723" s="17"/>
      <c r="J723" s="17" t="b">
        <v>0</v>
      </c>
    </row>
    <row r="724">
      <c r="A724" s="17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 t="str">
        <f>IFERROR(VLOOKUP(B724,'MASTER DATA'!$A$1:$E$212,4,FALSE),"")</f>
        <v/>
      </c>
      <c r="G724" s="17"/>
      <c r="H724" s="17"/>
      <c r="I724" s="17"/>
      <c r="J724" s="17" t="b">
        <v>0</v>
      </c>
    </row>
    <row r="725">
      <c r="A725" s="17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 t="str">
        <f>IFERROR(VLOOKUP(B725,'MASTER DATA'!$A$1:$E$212,4,FALSE),"")</f>
        <v/>
      </c>
      <c r="G725" s="17"/>
      <c r="H725" s="17"/>
      <c r="I725" s="17"/>
      <c r="J725" s="17" t="b">
        <v>0</v>
      </c>
    </row>
    <row r="726">
      <c r="A726" s="17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 t="str">
        <f>IFERROR(VLOOKUP(B726,'MASTER DATA'!$A$1:$E$212,4,FALSE),"")</f>
        <v/>
      </c>
      <c r="G726" s="17"/>
      <c r="H726" s="17"/>
      <c r="I726" s="17"/>
      <c r="J726" s="17" t="b">
        <v>0</v>
      </c>
    </row>
    <row r="727">
      <c r="A727" s="17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 t="str">
        <f>IFERROR(VLOOKUP(B727,'MASTER DATA'!$A$1:$E$212,4,FALSE),"")</f>
        <v/>
      </c>
      <c r="G727" s="17"/>
      <c r="H727" s="17"/>
      <c r="I727" s="17"/>
      <c r="J727" s="17" t="b">
        <v>0</v>
      </c>
    </row>
    <row r="728">
      <c r="A728" s="17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 t="str">
        <f>IFERROR(VLOOKUP(B728,'MASTER DATA'!$A$1:$E$212,4,FALSE),"")</f>
        <v/>
      </c>
      <c r="G728" s="17"/>
      <c r="H728" s="17"/>
      <c r="I728" s="17"/>
      <c r="J728" s="17" t="b">
        <v>0</v>
      </c>
    </row>
    <row r="729">
      <c r="A729" s="17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 t="str">
        <f>IFERROR(VLOOKUP(B729,'MASTER DATA'!$A$1:$E$212,4,FALSE),"")</f>
        <v/>
      </c>
      <c r="G729" s="17"/>
      <c r="H729" s="17"/>
      <c r="I729" s="17"/>
      <c r="J729" s="17" t="b">
        <v>0</v>
      </c>
    </row>
    <row r="730">
      <c r="A730" s="17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 t="str">
        <f>IFERROR(VLOOKUP(B730,'MASTER DATA'!$A$1:$E$212,4,FALSE),"")</f>
        <v/>
      </c>
      <c r="G730" s="17"/>
      <c r="H730" s="17"/>
      <c r="I730" s="17"/>
      <c r="J730" s="17" t="b">
        <v>0</v>
      </c>
    </row>
    <row r="731">
      <c r="A731" s="17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 t="str">
        <f>IFERROR(VLOOKUP(B731,'MASTER DATA'!$A$1:$E$212,4,FALSE),"")</f>
        <v/>
      </c>
      <c r="G731" s="17"/>
      <c r="H731" s="17"/>
      <c r="I731" s="17"/>
      <c r="J731" s="17" t="b">
        <v>0</v>
      </c>
    </row>
    <row r="732">
      <c r="A732" s="17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 t="str">
        <f>IFERROR(VLOOKUP(B732,'MASTER DATA'!$A$1:$E$212,4,FALSE),"")</f>
        <v/>
      </c>
      <c r="G732" s="17"/>
      <c r="H732" s="17"/>
      <c r="I732" s="17"/>
      <c r="J732" s="17" t="b">
        <v>0</v>
      </c>
    </row>
    <row r="733">
      <c r="A733" s="17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 t="str">
        <f>IFERROR(VLOOKUP(B733,'MASTER DATA'!$A$1:$E$212,4,FALSE),"")</f>
        <v/>
      </c>
      <c r="G733" s="17"/>
      <c r="H733" s="17"/>
      <c r="I733" s="17"/>
      <c r="J733" s="17" t="b">
        <v>0</v>
      </c>
    </row>
    <row r="734">
      <c r="A734" s="17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 t="str">
        <f>IFERROR(VLOOKUP(B734,'MASTER DATA'!$A$1:$E$212,4,FALSE),"")</f>
        <v/>
      </c>
      <c r="G734" s="17"/>
      <c r="H734" s="17"/>
      <c r="I734" s="17"/>
      <c r="J734" s="17" t="b">
        <v>0</v>
      </c>
    </row>
    <row r="735">
      <c r="A735" s="17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 t="str">
        <f>IFERROR(VLOOKUP(B735,'MASTER DATA'!$A$1:$E$212,4,FALSE),"")</f>
        <v/>
      </c>
      <c r="G735" s="17"/>
      <c r="H735" s="17"/>
      <c r="I735" s="17"/>
      <c r="J735" s="17" t="b">
        <v>0</v>
      </c>
    </row>
    <row r="736">
      <c r="A736" s="17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 t="str">
        <f>IFERROR(VLOOKUP(B736,'MASTER DATA'!$A$1:$E$212,4,FALSE),"")</f>
        <v/>
      </c>
      <c r="G736" s="17"/>
      <c r="H736" s="17"/>
      <c r="I736" s="17"/>
      <c r="J736" s="17" t="b">
        <v>0</v>
      </c>
    </row>
    <row r="737">
      <c r="A737" s="17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 t="str">
        <f>IFERROR(VLOOKUP(B737,'MASTER DATA'!$A$1:$E$212,4,FALSE),"")</f>
        <v/>
      </c>
      <c r="G737" s="17"/>
      <c r="H737" s="17"/>
      <c r="I737" s="17"/>
      <c r="J737" s="17" t="b">
        <v>0</v>
      </c>
    </row>
    <row r="738">
      <c r="A738" s="17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 t="str">
        <f>IFERROR(VLOOKUP(B738,'MASTER DATA'!$A$1:$E$212,4,FALSE),"")</f>
        <v/>
      </c>
      <c r="G738" s="17"/>
      <c r="H738" s="17"/>
      <c r="I738" s="17"/>
      <c r="J738" s="17" t="b">
        <v>0</v>
      </c>
    </row>
    <row r="739">
      <c r="A739" s="17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 t="str">
        <f>IFERROR(VLOOKUP(B739,'MASTER DATA'!$A$1:$E$212,4,FALSE),"")</f>
        <v/>
      </c>
      <c r="G739" s="17"/>
      <c r="H739" s="17"/>
      <c r="I739" s="17"/>
      <c r="J739" s="17" t="b">
        <v>0</v>
      </c>
    </row>
    <row r="740">
      <c r="A740" s="17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 t="str">
        <f>IFERROR(VLOOKUP(B740,'MASTER DATA'!$A$1:$E$212,4,FALSE),"")</f>
        <v/>
      </c>
      <c r="G740" s="17"/>
      <c r="H740" s="17"/>
      <c r="I740" s="17"/>
      <c r="J740" s="17" t="b">
        <v>0</v>
      </c>
    </row>
    <row r="741">
      <c r="A741" s="17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 t="str">
        <f>IFERROR(VLOOKUP(B741,'MASTER DATA'!$A$1:$E$212,4,FALSE),"")</f>
        <v/>
      </c>
      <c r="G741" s="17"/>
      <c r="H741" s="17"/>
      <c r="I741" s="17"/>
      <c r="J741" s="17" t="b">
        <v>0</v>
      </c>
    </row>
    <row r="742">
      <c r="A742" s="17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 t="str">
        <f>IFERROR(VLOOKUP(B742,'MASTER DATA'!$A$1:$E$212,4,FALSE),"")</f>
        <v/>
      </c>
      <c r="G742" s="17"/>
      <c r="H742" s="17"/>
      <c r="I742" s="17"/>
      <c r="J742" s="17" t="b">
        <v>0</v>
      </c>
    </row>
    <row r="743">
      <c r="A743" s="17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 t="str">
        <f>IFERROR(VLOOKUP(B743,'MASTER DATA'!$A$1:$E$212,4,FALSE),"")</f>
        <v/>
      </c>
      <c r="G743" s="17"/>
      <c r="H743" s="17"/>
      <c r="I743" s="17"/>
      <c r="J743" s="17" t="b">
        <v>0</v>
      </c>
    </row>
    <row r="744">
      <c r="A744" s="17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 t="str">
        <f>IFERROR(VLOOKUP(B744,'MASTER DATA'!$A$1:$E$212,4,FALSE),"")</f>
        <v/>
      </c>
      <c r="G744" s="17"/>
      <c r="H744" s="17"/>
      <c r="I744" s="17"/>
      <c r="J744" s="17" t="b">
        <v>0</v>
      </c>
    </row>
    <row r="745">
      <c r="A745" s="17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 t="str">
        <f>IFERROR(VLOOKUP(B745,'MASTER DATA'!$A$1:$E$212,4,FALSE),"")</f>
        <v/>
      </c>
      <c r="G745" s="17"/>
      <c r="H745" s="17"/>
      <c r="I745" s="17"/>
      <c r="J745" s="17" t="b">
        <v>0</v>
      </c>
    </row>
    <row r="746">
      <c r="A746" s="17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 t="str">
        <f>IFERROR(VLOOKUP(B746,'MASTER DATA'!$A$1:$E$212,4,FALSE),"")</f>
        <v/>
      </c>
      <c r="G746" s="17"/>
      <c r="H746" s="17"/>
      <c r="I746" s="17"/>
      <c r="J746" s="17" t="b">
        <v>0</v>
      </c>
    </row>
    <row r="747">
      <c r="A747" s="17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 t="str">
        <f>IFERROR(VLOOKUP(B747,'MASTER DATA'!$A$1:$E$212,4,FALSE),"")</f>
        <v/>
      </c>
      <c r="G747" s="17"/>
      <c r="H747" s="17"/>
      <c r="I747" s="17"/>
      <c r="J747" s="17" t="b">
        <v>0</v>
      </c>
    </row>
    <row r="748">
      <c r="A748" s="17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 t="str">
        <f>IFERROR(VLOOKUP(B748,'MASTER DATA'!$A$1:$E$212,4,FALSE),"")</f>
        <v/>
      </c>
      <c r="G748" s="17"/>
      <c r="H748" s="17"/>
      <c r="I748" s="17"/>
      <c r="J748" s="17" t="b">
        <v>0</v>
      </c>
    </row>
    <row r="749">
      <c r="A749" s="17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 t="str">
        <f>IFERROR(VLOOKUP(B749,'MASTER DATA'!$A$1:$E$212,4,FALSE),"")</f>
        <v/>
      </c>
      <c r="G749" s="17"/>
      <c r="H749" s="17"/>
      <c r="I749" s="17"/>
      <c r="J749" s="17" t="b">
        <v>0</v>
      </c>
    </row>
    <row r="750">
      <c r="A750" s="17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 t="str">
        <f>IFERROR(VLOOKUP(B750,'MASTER DATA'!$A$1:$E$212,4,FALSE),"")</f>
        <v/>
      </c>
      <c r="G750" s="17"/>
      <c r="H750" s="17"/>
      <c r="I750" s="17"/>
      <c r="J750" s="17" t="b">
        <v>0</v>
      </c>
    </row>
    <row r="751">
      <c r="A751" s="17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 t="str">
        <f>IFERROR(VLOOKUP(B751,'MASTER DATA'!$A$1:$E$212,4,FALSE),"")</f>
        <v/>
      </c>
      <c r="G751" s="17"/>
      <c r="H751" s="17"/>
      <c r="I751" s="17"/>
      <c r="J751" s="17" t="b">
        <v>0</v>
      </c>
    </row>
    <row r="752">
      <c r="A752" s="17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 t="str">
        <f>IFERROR(VLOOKUP(B752,'MASTER DATA'!$A$1:$E$212,4,FALSE),"")</f>
        <v/>
      </c>
      <c r="G752" s="17"/>
      <c r="H752" s="17"/>
      <c r="I752" s="17"/>
      <c r="J752" s="17" t="b">
        <v>0</v>
      </c>
    </row>
    <row r="753">
      <c r="A753" s="17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 t="str">
        <f>IFERROR(VLOOKUP(B753,'MASTER DATA'!$A$1:$E$212,4,FALSE),"")</f>
        <v/>
      </c>
      <c r="G753" s="17"/>
      <c r="H753" s="17"/>
      <c r="I753" s="17"/>
      <c r="J753" s="17" t="b">
        <v>0</v>
      </c>
    </row>
    <row r="754">
      <c r="A754" s="17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 t="str">
        <f>IFERROR(VLOOKUP(B754,'MASTER DATA'!$A$1:$E$212,4,FALSE),"")</f>
        <v/>
      </c>
      <c r="G754" s="17"/>
      <c r="H754" s="17"/>
      <c r="I754" s="17"/>
      <c r="J754" s="17" t="b">
        <v>0</v>
      </c>
    </row>
    <row r="755">
      <c r="A755" s="17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 t="str">
        <f>IFERROR(VLOOKUP(B755,'MASTER DATA'!$A$1:$E$212,4,FALSE),"")</f>
        <v/>
      </c>
      <c r="G755" s="17"/>
      <c r="H755" s="17"/>
      <c r="I755" s="17"/>
      <c r="J755" s="17" t="b">
        <v>0</v>
      </c>
    </row>
    <row r="756">
      <c r="A756" s="17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 t="str">
        <f>IFERROR(VLOOKUP(B756,'MASTER DATA'!$A$1:$E$212,4,FALSE),"")</f>
        <v/>
      </c>
      <c r="G756" s="17"/>
      <c r="H756" s="17"/>
      <c r="I756" s="17"/>
      <c r="J756" s="17" t="b">
        <v>0</v>
      </c>
    </row>
    <row r="757">
      <c r="A757" s="17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 t="str">
        <f>IFERROR(VLOOKUP(B757,'MASTER DATA'!$A$1:$E$212,4,FALSE),"")</f>
        <v/>
      </c>
      <c r="G757" s="17"/>
      <c r="H757" s="17"/>
      <c r="I757" s="17"/>
      <c r="J757" s="17" t="b">
        <v>0</v>
      </c>
    </row>
    <row r="758">
      <c r="A758" s="17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 t="str">
        <f>IFERROR(VLOOKUP(B758,'MASTER DATA'!$A$1:$E$212,4,FALSE),"")</f>
        <v/>
      </c>
      <c r="G758" s="17"/>
      <c r="H758" s="17"/>
      <c r="I758" s="17"/>
      <c r="J758" s="17" t="b">
        <v>0</v>
      </c>
    </row>
    <row r="759">
      <c r="A759" s="17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 t="str">
        <f>IFERROR(VLOOKUP(B759,'MASTER DATA'!$A$1:$E$212,4,FALSE),"")</f>
        <v/>
      </c>
      <c r="G759" s="17"/>
      <c r="H759" s="17"/>
      <c r="I759" s="17"/>
      <c r="J759" s="17" t="b">
        <v>0</v>
      </c>
    </row>
    <row r="760">
      <c r="A760" s="17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 t="str">
        <f>IFERROR(VLOOKUP(B760,'MASTER DATA'!$A$1:$E$212,4,FALSE),"")</f>
        <v/>
      </c>
      <c r="G760" s="17"/>
      <c r="H760" s="17"/>
      <c r="I760" s="17"/>
      <c r="J760" s="17" t="b">
        <v>0</v>
      </c>
    </row>
    <row r="761">
      <c r="A761" s="17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 t="str">
        <f>IFERROR(VLOOKUP(B761,'MASTER DATA'!$A$1:$E$212,4,FALSE),"")</f>
        <v/>
      </c>
      <c r="G761" s="17"/>
      <c r="H761" s="17"/>
      <c r="I761" s="17"/>
      <c r="J761" s="17" t="b">
        <v>0</v>
      </c>
    </row>
    <row r="762">
      <c r="A762" s="17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 t="str">
        <f>IFERROR(VLOOKUP(B762,'MASTER DATA'!$A$1:$E$212,4,FALSE),"")</f>
        <v/>
      </c>
      <c r="G762" s="17"/>
      <c r="H762" s="17"/>
      <c r="I762" s="17"/>
      <c r="J762" s="17" t="b">
        <v>0</v>
      </c>
    </row>
    <row r="763">
      <c r="A763" s="17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 t="str">
        <f>IFERROR(VLOOKUP(B763,'MASTER DATA'!$A$1:$E$212,4,FALSE),"")</f>
        <v/>
      </c>
      <c r="G763" s="17"/>
      <c r="H763" s="17"/>
      <c r="I763" s="17"/>
      <c r="J763" s="17" t="b">
        <v>0</v>
      </c>
    </row>
    <row r="764">
      <c r="A764" s="17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 t="str">
        <f>IFERROR(VLOOKUP(B764,'MASTER DATA'!$A$1:$E$212,4,FALSE),"")</f>
        <v/>
      </c>
      <c r="G764" s="17"/>
      <c r="H764" s="17"/>
      <c r="I764" s="17"/>
      <c r="J764" s="17" t="b">
        <v>0</v>
      </c>
    </row>
    <row r="765">
      <c r="A765" s="17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 t="str">
        <f>IFERROR(VLOOKUP(B765,'MASTER DATA'!$A$1:$E$212,4,FALSE),"")</f>
        <v/>
      </c>
      <c r="G765" s="17"/>
      <c r="H765" s="17"/>
      <c r="I765" s="17"/>
      <c r="J765" s="17" t="b">
        <v>0</v>
      </c>
    </row>
    <row r="766">
      <c r="A766" s="17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 t="str">
        <f>IFERROR(VLOOKUP(B766,'MASTER DATA'!$A$1:$E$212,4,FALSE),"")</f>
        <v/>
      </c>
      <c r="G766" s="17"/>
      <c r="H766" s="17"/>
      <c r="I766" s="17"/>
      <c r="J766" s="17" t="b">
        <v>0</v>
      </c>
    </row>
    <row r="767">
      <c r="A767" s="17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 t="str">
        <f>IFERROR(VLOOKUP(B767,'MASTER DATA'!$A$1:$E$212,4,FALSE),"")</f>
        <v/>
      </c>
      <c r="G767" s="17"/>
      <c r="H767" s="17"/>
      <c r="I767" s="17"/>
      <c r="J767" s="17" t="b">
        <v>0</v>
      </c>
    </row>
    <row r="768">
      <c r="A768" s="17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 t="str">
        <f>IFERROR(VLOOKUP(B768,'MASTER DATA'!$A$1:$E$212,4,FALSE),"")</f>
        <v/>
      </c>
      <c r="G768" s="17"/>
      <c r="H768" s="17"/>
      <c r="I768" s="17"/>
      <c r="J768" s="17" t="b">
        <v>0</v>
      </c>
    </row>
    <row r="769">
      <c r="A769" s="17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 t="str">
        <f>IFERROR(VLOOKUP(B769,'MASTER DATA'!$A$1:$E$212,4,FALSE),"")</f>
        <v/>
      </c>
      <c r="G769" s="17"/>
      <c r="H769" s="17"/>
      <c r="I769" s="17"/>
      <c r="J769" s="17" t="b">
        <v>0</v>
      </c>
    </row>
    <row r="770">
      <c r="A770" s="17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 t="str">
        <f>IFERROR(VLOOKUP(B770,'MASTER DATA'!$A$1:$E$212,4,FALSE),"")</f>
        <v/>
      </c>
      <c r="G770" s="17"/>
      <c r="H770" s="17"/>
      <c r="I770" s="17"/>
      <c r="J770" s="17" t="b">
        <v>0</v>
      </c>
    </row>
    <row r="771">
      <c r="A771" s="17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 t="str">
        <f>IFERROR(VLOOKUP(B771,'MASTER DATA'!$A$1:$E$212,4,FALSE),"")</f>
        <v/>
      </c>
      <c r="G771" s="17"/>
      <c r="H771" s="17"/>
      <c r="I771" s="17"/>
      <c r="J771" s="17" t="b">
        <v>0</v>
      </c>
    </row>
    <row r="772">
      <c r="A772" s="17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 t="str">
        <f>IFERROR(VLOOKUP(B772,'MASTER DATA'!$A$1:$E$212,4,FALSE),"")</f>
        <v/>
      </c>
      <c r="G772" s="17"/>
      <c r="H772" s="17"/>
      <c r="I772" s="17"/>
      <c r="J772" s="17" t="b">
        <v>0</v>
      </c>
    </row>
    <row r="773">
      <c r="A773" s="17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 t="str">
        <f>IFERROR(VLOOKUP(B773,'MASTER DATA'!$A$1:$E$212,4,FALSE),"")</f>
        <v/>
      </c>
      <c r="G773" s="17"/>
      <c r="H773" s="17"/>
      <c r="I773" s="17"/>
      <c r="J773" s="17" t="b">
        <v>0</v>
      </c>
    </row>
    <row r="774">
      <c r="A774" s="17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 t="str">
        <f>IFERROR(VLOOKUP(B774,'MASTER DATA'!$A$1:$E$212,4,FALSE),"")</f>
        <v/>
      </c>
      <c r="G774" s="17"/>
      <c r="H774" s="17"/>
      <c r="I774" s="17"/>
      <c r="J774" s="17" t="b">
        <v>0</v>
      </c>
    </row>
    <row r="775">
      <c r="A775" s="17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 t="str">
        <f>IFERROR(VLOOKUP(B775,'MASTER DATA'!$A$1:$E$212,4,FALSE),"")</f>
        <v/>
      </c>
      <c r="G775" s="17"/>
      <c r="H775" s="17"/>
      <c r="I775" s="17"/>
      <c r="J775" s="17" t="b">
        <v>0</v>
      </c>
    </row>
    <row r="776">
      <c r="A776" s="17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 t="str">
        <f>IFERROR(VLOOKUP(B776,'MASTER DATA'!$A$1:$E$212,4,FALSE),"")</f>
        <v/>
      </c>
      <c r="G776" s="17"/>
      <c r="H776" s="17"/>
      <c r="I776" s="17"/>
      <c r="J776" s="17" t="b">
        <v>0</v>
      </c>
    </row>
    <row r="777">
      <c r="A777" s="17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 t="str">
        <f>IFERROR(VLOOKUP(B777,'MASTER DATA'!$A$1:$E$212,4,FALSE),"")</f>
        <v/>
      </c>
      <c r="G777" s="17"/>
      <c r="H777" s="17"/>
      <c r="I777" s="17"/>
      <c r="J777" s="17" t="b">
        <v>0</v>
      </c>
    </row>
    <row r="778">
      <c r="A778" s="17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 t="str">
        <f>IFERROR(VLOOKUP(B778,'MASTER DATA'!$A$1:$E$212,4,FALSE),"")</f>
        <v/>
      </c>
      <c r="G778" s="17"/>
      <c r="H778" s="17"/>
      <c r="I778" s="17"/>
      <c r="J778" s="17" t="b">
        <v>0</v>
      </c>
    </row>
    <row r="779">
      <c r="A779" s="17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 t="str">
        <f>IFERROR(VLOOKUP(B779,'MASTER DATA'!$A$1:$E$212,4,FALSE),"")</f>
        <v/>
      </c>
      <c r="G779" s="17"/>
      <c r="H779" s="17"/>
      <c r="I779" s="17"/>
      <c r="J779" s="17" t="b">
        <v>0</v>
      </c>
    </row>
    <row r="780">
      <c r="A780" s="17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 t="str">
        <f>IFERROR(VLOOKUP(B780,'MASTER DATA'!$A$1:$E$212,4,FALSE),"")</f>
        <v/>
      </c>
      <c r="G780" s="17"/>
      <c r="H780" s="17"/>
      <c r="I780" s="17"/>
      <c r="J780" s="17" t="b">
        <v>0</v>
      </c>
    </row>
    <row r="781">
      <c r="A781" s="17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 t="str">
        <f>IFERROR(VLOOKUP(B781,'MASTER DATA'!$A$1:$E$212,4,FALSE),"")</f>
        <v/>
      </c>
      <c r="G781" s="17"/>
      <c r="H781" s="17"/>
      <c r="I781" s="17"/>
      <c r="J781" s="17" t="b">
        <v>0</v>
      </c>
    </row>
    <row r="782">
      <c r="A782" s="17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 t="str">
        <f>IFERROR(VLOOKUP(B782,'MASTER DATA'!$A$1:$E$212,4,FALSE),"")</f>
        <v/>
      </c>
      <c r="G782" s="17"/>
      <c r="H782" s="17"/>
      <c r="I782" s="17"/>
      <c r="J782" s="17" t="b">
        <v>0</v>
      </c>
    </row>
    <row r="783">
      <c r="A783" s="17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 t="str">
        <f>IFERROR(VLOOKUP(B783,'MASTER DATA'!$A$1:$E$212,4,FALSE),"")</f>
        <v/>
      </c>
      <c r="G783" s="17"/>
      <c r="H783" s="17"/>
      <c r="I783" s="17"/>
      <c r="J783" s="17" t="b">
        <v>0</v>
      </c>
    </row>
    <row r="784">
      <c r="A784" s="17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 t="str">
        <f>IFERROR(VLOOKUP(B784,'MASTER DATA'!$A$1:$E$212,4,FALSE),"")</f>
        <v/>
      </c>
      <c r="G784" s="17"/>
      <c r="H784" s="17"/>
      <c r="I784" s="17"/>
      <c r="J784" s="17" t="b">
        <v>0</v>
      </c>
    </row>
    <row r="785">
      <c r="A785" s="17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 t="str">
        <f>IFERROR(VLOOKUP(B785,'MASTER DATA'!$A$1:$E$212,4,FALSE),"")</f>
        <v/>
      </c>
      <c r="G785" s="17"/>
      <c r="H785" s="17"/>
      <c r="I785" s="17"/>
      <c r="J785" s="17" t="b">
        <v>0</v>
      </c>
    </row>
    <row r="786">
      <c r="A786" s="17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 t="str">
        <f>IFERROR(VLOOKUP(B786,'MASTER DATA'!$A$1:$E$212,4,FALSE),"")</f>
        <v/>
      </c>
      <c r="G786" s="17"/>
      <c r="H786" s="17"/>
      <c r="I786" s="17"/>
      <c r="J786" s="17" t="b">
        <v>0</v>
      </c>
    </row>
    <row r="787">
      <c r="A787" s="17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 t="str">
        <f>IFERROR(VLOOKUP(B787,'MASTER DATA'!$A$1:$E$212,4,FALSE),"")</f>
        <v/>
      </c>
      <c r="G787" s="17"/>
      <c r="H787" s="17"/>
      <c r="I787" s="17"/>
      <c r="J787" s="17" t="b">
        <v>0</v>
      </c>
    </row>
    <row r="788">
      <c r="A788" s="17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 t="str">
        <f>IFERROR(VLOOKUP(B788,'MASTER DATA'!$A$1:$E$212,4,FALSE),"")</f>
        <v/>
      </c>
      <c r="G788" s="17"/>
      <c r="H788" s="17"/>
      <c r="I788" s="17"/>
      <c r="J788" s="17" t="b">
        <v>0</v>
      </c>
    </row>
    <row r="789">
      <c r="A789" s="17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 t="str">
        <f>IFERROR(VLOOKUP(B789,'MASTER DATA'!$A$1:$E$212,4,FALSE),"")</f>
        <v/>
      </c>
      <c r="G789" s="17"/>
      <c r="H789" s="17"/>
      <c r="I789" s="17"/>
      <c r="J789" s="17" t="b">
        <v>0</v>
      </c>
    </row>
    <row r="790">
      <c r="A790" s="17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 t="str">
        <f>IFERROR(VLOOKUP(B790,'MASTER DATA'!$A$1:$E$212,4,FALSE),"")</f>
        <v/>
      </c>
      <c r="G790" s="17"/>
      <c r="H790" s="17"/>
      <c r="I790" s="17"/>
      <c r="J790" s="17" t="b">
        <v>0</v>
      </c>
    </row>
    <row r="791">
      <c r="A791" s="17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 t="str">
        <f>IFERROR(VLOOKUP(B791,'MASTER DATA'!$A$1:$E$212,4,FALSE),"")</f>
        <v/>
      </c>
      <c r="G791" s="17"/>
      <c r="H791" s="17"/>
      <c r="I791" s="17"/>
      <c r="J791" s="17" t="b">
        <v>0</v>
      </c>
    </row>
    <row r="792">
      <c r="A792" s="17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 t="str">
        <f>IFERROR(VLOOKUP(B792,'MASTER DATA'!$A$1:$E$212,4,FALSE),"")</f>
        <v/>
      </c>
      <c r="G792" s="17"/>
      <c r="H792" s="17"/>
      <c r="I792" s="17"/>
      <c r="J792" s="17" t="b">
        <v>0</v>
      </c>
    </row>
    <row r="793">
      <c r="A793" s="17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 t="str">
        <f>IFERROR(VLOOKUP(B793,'MASTER DATA'!$A$1:$E$212,4,FALSE),"")</f>
        <v/>
      </c>
      <c r="G793" s="17"/>
      <c r="H793" s="17"/>
      <c r="I793" s="17"/>
      <c r="J793" s="17" t="b">
        <v>0</v>
      </c>
    </row>
    <row r="794">
      <c r="A794" s="17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 t="str">
        <f>IFERROR(VLOOKUP(B794,'MASTER DATA'!$A$1:$E$212,4,FALSE),"")</f>
        <v/>
      </c>
      <c r="G794" s="17"/>
      <c r="H794" s="17"/>
      <c r="I794" s="17"/>
      <c r="J794" s="17" t="b">
        <v>0</v>
      </c>
    </row>
    <row r="795">
      <c r="A795" s="17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 t="str">
        <f>IFERROR(VLOOKUP(B795,'MASTER DATA'!$A$1:$E$212,4,FALSE),"")</f>
        <v/>
      </c>
      <c r="G795" s="17"/>
      <c r="H795" s="17"/>
      <c r="I795" s="17"/>
      <c r="J795" s="17" t="b">
        <v>0</v>
      </c>
    </row>
    <row r="796">
      <c r="A796" s="17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 t="str">
        <f>IFERROR(VLOOKUP(B796,'MASTER DATA'!$A$1:$E$212,4,FALSE),"")</f>
        <v/>
      </c>
      <c r="G796" s="17"/>
      <c r="H796" s="17"/>
      <c r="I796" s="17"/>
      <c r="J796" s="17" t="b">
        <v>0</v>
      </c>
    </row>
    <row r="797">
      <c r="A797" s="17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 t="str">
        <f>IFERROR(VLOOKUP(B797,'MASTER DATA'!$A$1:$E$212,4,FALSE),"")</f>
        <v/>
      </c>
      <c r="G797" s="17"/>
      <c r="H797" s="17"/>
      <c r="I797" s="17"/>
      <c r="J797" s="17" t="b">
        <v>0</v>
      </c>
    </row>
    <row r="798">
      <c r="A798" s="17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 t="str">
        <f>IFERROR(VLOOKUP(B798,'MASTER DATA'!$A$1:$E$212,4,FALSE),"")</f>
        <v/>
      </c>
      <c r="G798" s="17"/>
      <c r="H798" s="17"/>
      <c r="I798" s="17"/>
      <c r="J798" s="17" t="b">
        <v>0</v>
      </c>
    </row>
    <row r="799">
      <c r="A799" s="17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 t="str">
        <f>IFERROR(VLOOKUP(B799,'MASTER DATA'!$A$1:$E$212,4,FALSE),"")</f>
        <v/>
      </c>
      <c r="G799" s="17"/>
      <c r="H799" s="17"/>
      <c r="I799" s="17"/>
      <c r="J799" s="17" t="b">
        <v>0</v>
      </c>
    </row>
    <row r="800">
      <c r="A800" s="17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 t="str">
        <f>IFERROR(VLOOKUP(B800,'MASTER DATA'!$A$1:$E$212,4,FALSE),"")</f>
        <v/>
      </c>
      <c r="G800" s="17"/>
      <c r="H800" s="17"/>
      <c r="I800" s="17"/>
      <c r="J800" s="17" t="b">
        <v>0</v>
      </c>
    </row>
    <row r="801">
      <c r="A801" s="17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 t="str">
        <f>IFERROR(VLOOKUP(B801,'MASTER DATA'!$A$1:$E$212,4,FALSE),"")</f>
        <v/>
      </c>
      <c r="G801" s="17"/>
      <c r="H801" s="17"/>
      <c r="I801" s="17"/>
      <c r="J801" s="17" t="b">
        <v>0</v>
      </c>
    </row>
    <row r="802">
      <c r="A802" s="17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 t="str">
        <f>IFERROR(VLOOKUP(B802,'MASTER DATA'!$A$1:$E$212,4,FALSE),"")</f>
        <v/>
      </c>
      <c r="G802" s="17"/>
      <c r="H802" s="17"/>
      <c r="I802" s="17"/>
      <c r="J802" s="17" t="b">
        <v>0</v>
      </c>
    </row>
    <row r="803">
      <c r="A803" s="17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 t="str">
        <f>IFERROR(VLOOKUP(B803,'MASTER DATA'!$A$1:$E$212,4,FALSE),"")</f>
        <v/>
      </c>
      <c r="G803" s="17"/>
      <c r="H803" s="17"/>
      <c r="I803" s="17"/>
      <c r="J803" s="17" t="b">
        <v>0</v>
      </c>
    </row>
    <row r="804">
      <c r="A804" s="17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 t="str">
        <f>IFERROR(VLOOKUP(B804,'MASTER DATA'!$A$1:$E$212,4,FALSE),"")</f>
        <v/>
      </c>
      <c r="G804" s="17"/>
      <c r="H804" s="17"/>
      <c r="I804" s="17"/>
      <c r="J804" s="17" t="b">
        <v>0</v>
      </c>
    </row>
    <row r="805">
      <c r="A805" s="17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 t="str">
        <f>IFERROR(VLOOKUP(B805,'MASTER DATA'!$A$1:$E$212,4,FALSE),"")</f>
        <v/>
      </c>
      <c r="G805" s="17"/>
      <c r="H805" s="17"/>
      <c r="I805" s="17"/>
      <c r="J805" s="17" t="b">
        <v>0</v>
      </c>
    </row>
    <row r="806">
      <c r="A806" s="17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 t="str">
        <f>IFERROR(VLOOKUP(B806,'MASTER DATA'!$A$1:$E$212,4,FALSE),"")</f>
        <v/>
      </c>
      <c r="G806" s="17"/>
      <c r="H806" s="17"/>
      <c r="I806" s="17"/>
      <c r="J806" s="17" t="b">
        <v>0</v>
      </c>
    </row>
    <row r="807">
      <c r="A807" s="17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 t="str">
        <f>IFERROR(VLOOKUP(B807,'MASTER DATA'!$A$1:$E$212,4,FALSE),"")</f>
        <v/>
      </c>
      <c r="G807" s="17"/>
      <c r="H807" s="17"/>
      <c r="I807" s="17"/>
      <c r="J807" s="17" t="b">
        <v>0</v>
      </c>
    </row>
    <row r="808">
      <c r="A808" s="17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 t="str">
        <f>IFERROR(VLOOKUP(B808,'MASTER DATA'!$A$1:$E$212,4,FALSE),"")</f>
        <v/>
      </c>
      <c r="G808" s="17"/>
      <c r="H808" s="17"/>
      <c r="I808" s="17"/>
      <c r="J808" s="17" t="b">
        <v>0</v>
      </c>
    </row>
    <row r="809">
      <c r="A809" s="17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 t="str">
        <f>IFERROR(VLOOKUP(B809,'MASTER DATA'!$A$1:$E$212,4,FALSE),"")</f>
        <v/>
      </c>
      <c r="G809" s="17"/>
      <c r="H809" s="17"/>
      <c r="I809" s="17"/>
      <c r="J809" s="17" t="b">
        <v>0</v>
      </c>
    </row>
    <row r="810">
      <c r="A810" s="17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 t="str">
        <f>IFERROR(VLOOKUP(B810,'MASTER DATA'!$A$1:$E$212,4,FALSE),"")</f>
        <v/>
      </c>
      <c r="G810" s="17"/>
      <c r="H810" s="17"/>
      <c r="I810" s="17"/>
      <c r="J810" s="17" t="b">
        <v>0</v>
      </c>
    </row>
    <row r="811">
      <c r="A811" s="17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 t="str">
        <f>IFERROR(VLOOKUP(B811,'MASTER DATA'!$A$1:$E$212,4,FALSE),"")</f>
        <v/>
      </c>
      <c r="G811" s="17"/>
      <c r="H811" s="17"/>
      <c r="I811" s="17"/>
      <c r="J811" s="17" t="b">
        <v>0</v>
      </c>
    </row>
    <row r="812">
      <c r="A812" s="17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 t="str">
        <f>IFERROR(VLOOKUP(B812,'MASTER DATA'!$A$1:$E$212,4,FALSE),"")</f>
        <v/>
      </c>
      <c r="G812" s="17"/>
      <c r="H812" s="17"/>
      <c r="I812" s="17"/>
      <c r="J812" s="17" t="b">
        <v>0</v>
      </c>
    </row>
    <row r="813">
      <c r="A813" s="17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 t="str">
        <f>IFERROR(VLOOKUP(B813,'MASTER DATA'!$A$1:$E$212,4,FALSE),"")</f>
        <v/>
      </c>
      <c r="G813" s="17"/>
      <c r="H813" s="17"/>
      <c r="I813" s="17"/>
      <c r="J813" s="17" t="b">
        <v>0</v>
      </c>
    </row>
    <row r="814">
      <c r="A814" s="17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 t="str">
        <f>IFERROR(VLOOKUP(B814,'MASTER DATA'!$A$1:$E$212,4,FALSE),"")</f>
        <v/>
      </c>
      <c r="G814" s="17"/>
      <c r="H814" s="17"/>
      <c r="I814" s="17"/>
      <c r="J814" s="17" t="b">
        <v>0</v>
      </c>
    </row>
    <row r="815">
      <c r="A815" s="17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 t="str">
        <f>IFERROR(VLOOKUP(B815,'MASTER DATA'!$A$1:$E$212,4,FALSE),"")</f>
        <v/>
      </c>
      <c r="G815" s="17"/>
      <c r="H815" s="17"/>
      <c r="I815" s="17"/>
      <c r="J815" s="17" t="b">
        <v>0</v>
      </c>
    </row>
    <row r="816">
      <c r="A816" s="17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 t="str">
        <f>IFERROR(VLOOKUP(B816,'MASTER DATA'!$A$1:$E$212,4,FALSE),"")</f>
        <v/>
      </c>
      <c r="G816" s="17"/>
      <c r="H816" s="17"/>
      <c r="I816" s="17"/>
      <c r="J816" s="17" t="b">
        <v>0</v>
      </c>
    </row>
    <row r="817">
      <c r="A817" s="17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 t="str">
        <f>IFERROR(VLOOKUP(B817,'MASTER DATA'!$A$1:$E$212,4,FALSE),"")</f>
        <v/>
      </c>
      <c r="G817" s="17"/>
      <c r="H817" s="17"/>
      <c r="I817" s="17"/>
      <c r="J817" s="17" t="b">
        <v>0</v>
      </c>
    </row>
    <row r="818">
      <c r="A818" s="17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 t="str">
        <f>IFERROR(VLOOKUP(B818,'MASTER DATA'!$A$1:$E$212,4,FALSE),"")</f>
        <v/>
      </c>
      <c r="G818" s="17"/>
      <c r="H818" s="17"/>
      <c r="I818" s="17"/>
      <c r="J818" s="17" t="b">
        <v>0</v>
      </c>
    </row>
    <row r="819">
      <c r="A819" s="17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 t="str">
        <f>IFERROR(VLOOKUP(B819,'MASTER DATA'!$A$1:$E$212,4,FALSE),"")</f>
        <v/>
      </c>
      <c r="G819" s="17"/>
      <c r="H819" s="17"/>
      <c r="I819" s="17"/>
      <c r="J819" s="17" t="b">
        <v>0</v>
      </c>
    </row>
    <row r="820">
      <c r="A820" s="17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 t="str">
        <f>IFERROR(VLOOKUP(B820,'MASTER DATA'!$A$1:$E$212,4,FALSE),"")</f>
        <v/>
      </c>
      <c r="G820" s="17"/>
      <c r="H820" s="17"/>
      <c r="I820" s="17"/>
      <c r="J820" s="17" t="b">
        <v>0</v>
      </c>
    </row>
    <row r="821">
      <c r="A821" s="17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 t="str">
        <f>IFERROR(VLOOKUP(B821,'MASTER DATA'!$A$1:$E$212,4,FALSE),"")</f>
        <v/>
      </c>
      <c r="G821" s="17"/>
      <c r="H821" s="17"/>
      <c r="I821" s="17"/>
      <c r="J821" s="17" t="b">
        <v>0</v>
      </c>
    </row>
    <row r="822">
      <c r="A822" s="17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 t="str">
        <f>IFERROR(VLOOKUP(B822,'MASTER DATA'!$A$1:$E$212,4,FALSE),"")</f>
        <v/>
      </c>
      <c r="G822" s="17"/>
      <c r="H822" s="17"/>
      <c r="I822" s="17"/>
      <c r="J822" s="17" t="b">
        <v>0</v>
      </c>
    </row>
    <row r="823">
      <c r="A823" s="17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 t="str">
        <f>IFERROR(VLOOKUP(B823,'MASTER DATA'!$A$1:$E$212,4,FALSE),"")</f>
        <v/>
      </c>
      <c r="G823" s="17"/>
      <c r="H823" s="17"/>
      <c r="I823" s="17"/>
      <c r="J823" s="17" t="b">
        <v>0</v>
      </c>
    </row>
    <row r="824">
      <c r="A824" s="17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 t="str">
        <f>IFERROR(VLOOKUP(B824,'MASTER DATA'!$A$1:$E$212,4,FALSE),"")</f>
        <v/>
      </c>
      <c r="G824" s="17"/>
      <c r="H824" s="17"/>
      <c r="I824" s="17"/>
      <c r="J824" s="17" t="b">
        <v>0</v>
      </c>
    </row>
    <row r="825">
      <c r="A825" s="17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 t="str">
        <f>IFERROR(VLOOKUP(B825,'MASTER DATA'!$A$1:$E$212,4,FALSE),"")</f>
        <v/>
      </c>
      <c r="G825" s="17"/>
      <c r="H825" s="17"/>
      <c r="I825" s="17"/>
      <c r="J825" s="17" t="b">
        <v>0</v>
      </c>
    </row>
    <row r="826">
      <c r="A826" s="17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 t="str">
        <f>IFERROR(VLOOKUP(B826,'MASTER DATA'!$A$1:$E$212,4,FALSE),"")</f>
        <v/>
      </c>
      <c r="G826" s="17"/>
      <c r="H826" s="17"/>
      <c r="I826" s="17"/>
      <c r="J826" s="17" t="b">
        <v>0</v>
      </c>
    </row>
    <row r="827">
      <c r="A827" s="17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 t="str">
        <f>IFERROR(VLOOKUP(B827,'MASTER DATA'!$A$1:$E$212,4,FALSE),"")</f>
        <v/>
      </c>
      <c r="G827" s="17"/>
      <c r="H827" s="17"/>
      <c r="I827" s="17"/>
      <c r="J827" s="17" t="b">
        <v>0</v>
      </c>
    </row>
    <row r="828">
      <c r="A828" s="17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 t="str">
        <f>IFERROR(VLOOKUP(B828,'MASTER DATA'!$A$1:$E$212,4,FALSE),"")</f>
        <v/>
      </c>
      <c r="G828" s="17"/>
      <c r="H828" s="17"/>
      <c r="I828" s="17"/>
      <c r="J828" s="17" t="b">
        <v>0</v>
      </c>
    </row>
    <row r="829">
      <c r="A829" s="17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 t="str">
        <f>IFERROR(VLOOKUP(B829,'MASTER DATA'!$A$1:$E$212,4,FALSE),"")</f>
        <v/>
      </c>
      <c r="G829" s="17"/>
      <c r="H829" s="17"/>
      <c r="I829" s="17"/>
      <c r="J829" s="17" t="b">
        <v>0</v>
      </c>
    </row>
    <row r="830">
      <c r="A830" s="17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 t="str">
        <f>IFERROR(VLOOKUP(B830,'MASTER DATA'!$A$1:$E$212,4,FALSE),"")</f>
        <v/>
      </c>
      <c r="G830" s="17"/>
      <c r="H830" s="17"/>
      <c r="I830" s="17"/>
      <c r="J830" s="17" t="b">
        <v>0</v>
      </c>
    </row>
    <row r="831">
      <c r="A831" s="17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 t="str">
        <f>IFERROR(VLOOKUP(B831,'MASTER DATA'!$A$1:$E$212,4,FALSE),"")</f>
        <v/>
      </c>
      <c r="G831" s="17"/>
      <c r="H831" s="17"/>
      <c r="I831" s="17"/>
      <c r="J831" s="17" t="b">
        <v>0</v>
      </c>
    </row>
    <row r="832">
      <c r="A832" s="17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 t="str">
        <f>IFERROR(VLOOKUP(B832,'MASTER DATA'!$A$1:$E$212,4,FALSE),"")</f>
        <v/>
      </c>
      <c r="G832" s="17"/>
      <c r="H832" s="17"/>
      <c r="I832" s="17"/>
      <c r="J832" s="17" t="b">
        <v>0</v>
      </c>
    </row>
    <row r="833">
      <c r="A833" s="17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 t="str">
        <f>IFERROR(VLOOKUP(B833,'MASTER DATA'!$A$1:$E$212,4,FALSE),"")</f>
        <v/>
      </c>
      <c r="G833" s="17"/>
      <c r="H833" s="17"/>
      <c r="I833" s="17"/>
      <c r="J833" s="17" t="b">
        <v>0</v>
      </c>
    </row>
    <row r="834">
      <c r="A834" s="17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 t="str">
        <f>IFERROR(VLOOKUP(B834,'MASTER DATA'!$A$1:$E$212,4,FALSE),"")</f>
        <v/>
      </c>
      <c r="G834" s="17"/>
      <c r="H834" s="17"/>
      <c r="I834" s="17"/>
      <c r="J834" s="17" t="b">
        <v>0</v>
      </c>
    </row>
    <row r="835">
      <c r="A835" s="17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 t="str">
        <f>IFERROR(VLOOKUP(B835,'MASTER DATA'!$A$1:$E$212,4,FALSE),"")</f>
        <v/>
      </c>
      <c r="G835" s="17"/>
      <c r="H835" s="17"/>
      <c r="I835" s="17"/>
      <c r="J835" s="17" t="b">
        <v>0</v>
      </c>
    </row>
    <row r="836">
      <c r="A836" s="17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 t="str">
        <f>IFERROR(VLOOKUP(B836,'MASTER DATA'!$A$1:$E$212,4,FALSE),"")</f>
        <v/>
      </c>
      <c r="G836" s="17"/>
      <c r="H836" s="17"/>
      <c r="I836" s="17"/>
      <c r="J836" s="17" t="b">
        <v>0</v>
      </c>
    </row>
    <row r="837">
      <c r="A837" s="17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 t="str">
        <f>IFERROR(VLOOKUP(B837,'MASTER DATA'!$A$1:$E$212,4,FALSE),"")</f>
        <v/>
      </c>
      <c r="G837" s="17"/>
      <c r="H837" s="17"/>
      <c r="I837" s="17"/>
      <c r="J837" s="17" t="b">
        <v>0</v>
      </c>
    </row>
    <row r="838">
      <c r="A838" s="17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 t="str">
        <f>IFERROR(VLOOKUP(B838,'MASTER DATA'!$A$1:$E$212,4,FALSE),"")</f>
        <v/>
      </c>
      <c r="G838" s="17"/>
      <c r="H838" s="17"/>
      <c r="I838" s="17"/>
      <c r="J838" s="17" t="b">
        <v>0</v>
      </c>
    </row>
    <row r="839">
      <c r="A839" s="17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 t="str">
        <f>IFERROR(VLOOKUP(B839,'MASTER DATA'!$A$1:$E$212,4,FALSE),"")</f>
        <v/>
      </c>
      <c r="G839" s="17"/>
      <c r="H839" s="17"/>
      <c r="I839" s="17"/>
      <c r="J839" s="17" t="b">
        <v>0</v>
      </c>
    </row>
    <row r="840">
      <c r="A840" s="17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 t="str">
        <f>IFERROR(VLOOKUP(B840,'MASTER DATA'!$A$1:$E$212,4,FALSE),"")</f>
        <v/>
      </c>
      <c r="G840" s="17"/>
      <c r="H840" s="17"/>
      <c r="I840" s="17"/>
      <c r="J840" s="17" t="b">
        <v>0</v>
      </c>
    </row>
    <row r="841">
      <c r="A841" s="17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 t="str">
        <f>IFERROR(VLOOKUP(B841,'MASTER DATA'!$A$1:$E$212,4,FALSE),"")</f>
        <v/>
      </c>
      <c r="G841" s="17"/>
      <c r="H841" s="17"/>
      <c r="I841" s="17"/>
      <c r="J841" s="17" t="b">
        <v>0</v>
      </c>
    </row>
    <row r="842">
      <c r="A842" s="17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 t="str">
        <f>IFERROR(VLOOKUP(B842,'MASTER DATA'!$A$1:$E$212,4,FALSE),"")</f>
        <v/>
      </c>
      <c r="G842" s="17"/>
      <c r="H842" s="17"/>
      <c r="I842" s="17"/>
      <c r="J842" s="17" t="b">
        <v>0</v>
      </c>
    </row>
    <row r="843">
      <c r="A843" s="17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 t="str">
        <f>IFERROR(VLOOKUP(B843,'MASTER DATA'!$A$1:$E$212,4,FALSE),"")</f>
        <v/>
      </c>
      <c r="G843" s="17"/>
      <c r="H843" s="17"/>
      <c r="I843" s="17"/>
      <c r="J843" s="17" t="b">
        <v>0</v>
      </c>
    </row>
    <row r="844">
      <c r="A844" s="17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 t="str">
        <f>IFERROR(VLOOKUP(B844,'MASTER DATA'!$A$1:$E$212,4,FALSE),"")</f>
        <v/>
      </c>
      <c r="G844" s="17"/>
      <c r="H844" s="17"/>
      <c r="I844" s="17"/>
      <c r="J844" s="17" t="b">
        <v>0</v>
      </c>
    </row>
    <row r="845">
      <c r="A845" s="17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 t="str">
        <f>IFERROR(VLOOKUP(B845,'MASTER DATA'!$A$1:$E$212,4,FALSE),"")</f>
        <v/>
      </c>
      <c r="G845" s="17"/>
      <c r="H845" s="17"/>
      <c r="I845" s="17"/>
      <c r="J845" s="17" t="b">
        <v>0</v>
      </c>
    </row>
    <row r="846">
      <c r="A846" s="17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 t="str">
        <f>IFERROR(VLOOKUP(B846,'MASTER DATA'!$A$1:$E$212,4,FALSE),"")</f>
        <v/>
      </c>
      <c r="G846" s="17"/>
      <c r="H846" s="17"/>
      <c r="I846" s="17"/>
      <c r="J846" s="17" t="b">
        <v>0</v>
      </c>
    </row>
    <row r="847">
      <c r="A847" s="17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 t="str">
        <f>IFERROR(VLOOKUP(B847,'MASTER DATA'!$A$1:$E$212,4,FALSE),"")</f>
        <v/>
      </c>
      <c r="G847" s="17"/>
      <c r="H847" s="17"/>
      <c r="I847" s="17"/>
      <c r="J847" s="17" t="b">
        <v>0</v>
      </c>
    </row>
    <row r="848">
      <c r="A848" s="17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 t="str">
        <f>IFERROR(VLOOKUP(B848,'MASTER DATA'!$A$1:$E$212,4,FALSE),"")</f>
        <v/>
      </c>
      <c r="G848" s="17"/>
      <c r="H848" s="17"/>
      <c r="I848" s="17"/>
      <c r="J848" s="17" t="b">
        <v>0</v>
      </c>
    </row>
    <row r="849">
      <c r="A849" s="17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 t="str">
        <f>IFERROR(VLOOKUP(B849,'MASTER DATA'!$A$1:$E$212,4,FALSE),"")</f>
        <v/>
      </c>
      <c r="G849" s="17"/>
      <c r="H849" s="17"/>
      <c r="I849" s="17"/>
      <c r="J849" s="17" t="b">
        <v>0</v>
      </c>
    </row>
    <row r="850">
      <c r="A850" s="17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 t="str">
        <f>IFERROR(VLOOKUP(B850,'MASTER DATA'!$A$1:$E$212,4,FALSE),"")</f>
        <v/>
      </c>
      <c r="G850" s="17"/>
      <c r="H850" s="17"/>
      <c r="I850" s="17"/>
      <c r="J850" s="17" t="b">
        <v>0</v>
      </c>
    </row>
    <row r="851">
      <c r="A851" s="17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 t="str">
        <f>IFERROR(VLOOKUP(B851,'MASTER DATA'!$A$1:$E$212,4,FALSE),"")</f>
        <v/>
      </c>
      <c r="G851" s="17"/>
      <c r="H851" s="17"/>
      <c r="I851" s="17"/>
      <c r="J851" s="17" t="b">
        <v>0</v>
      </c>
    </row>
    <row r="852">
      <c r="A852" s="17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 t="str">
        <f>IFERROR(VLOOKUP(B852,'MASTER DATA'!$A$1:$E$212,4,FALSE),"")</f>
        <v/>
      </c>
      <c r="G852" s="17"/>
      <c r="H852" s="17"/>
      <c r="I852" s="17"/>
      <c r="J852" s="17" t="b">
        <v>0</v>
      </c>
    </row>
    <row r="853">
      <c r="A853" s="17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 t="str">
        <f>IFERROR(VLOOKUP(B853,'MASTER DATA'!$A$1:$E$212,4,FALSE),"")</f>
        <v/>
      </c>
      <c r="G853" s="17"/>
      <c r="H853" s="17"/>
      <c r="I853" s="17"/>
      <c r="J853" s="17" t="b">
        <v>0</v>
      </c>
    </row>
    <row r="854">
      <c r="A854" s="17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 t="str">
        <f>IFERROR(VLOOKUP(B854,'MASTER DATA'!$A$1:$E$212,4,FALSE),"")</f>
        <v/>
      </c>
      <c r="G854" s="17"/>
      <c r="H854" s="17"/>
      <c r="I854" s="17"/>
      <c r="J854" s="17" t="b">
        <v>0</v>
      </c>
    </row>
    <row r="855">
      <c r="A855" s="17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 t="str">
        <f>IFERROR(VLOOKUP(B855,'MASTER DATA'!$A$1:$E$212,4,FALSE),"")</f>
        <v/>
      </c>
      <c r="G855" s="17"/>
      <c r="H855" s="17"/>
      <c r="I855" s="17"/>
      <c r="J855" s="17" t="b">
        <v>0</v>
      </c>
    </row>
    <row r="856">
      <c r="A856" s="17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 t="str">
        <f>IFERROR(VLOOKUP(B856,'MASTER DATA'!$A$1:$E$212,4,FALSE),"")</f>
        <v/>
      </c>
      <c r="G856" s="17"/>
      <c r="H856" s="17"/>
      <c r="I856" s="17"/>
      <c r="J856" s="17" t="b">
        <v>0</v>
      </c>
    </row>
    <row r="857">
      <c r="A857" s="17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 t="str">
        <f>IFERROR(VLOOKUP(B857,'MASTER DATA'!$A$1:$E$212,4,FALSE),"")</f>
        <v/>
      </c>
      <c r="G857" s="17"/>
      <c r="H857" s="17"/>
      <c r="I857" s="17"/>
      <c r="J857" s="17" t="b">
        <v>0</v>
      </c>
    </row>
    <row r="858">
      <c r="A858" s="17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 t="str">
        <f>IFERROR(VLOOKUP(B858,'MASTER DATA'!$A$1:$E$212,4,FALSE),"")</f>
        <v/>
      </c>
      <c r="G858" s="17"/>
      <c r="H858" s="17"/>
      <c r="I858" s="17"/>
      <c r="J858" s="17" t="b">
        <v>0</v>
      </c>
    </row>
    <row r="859">
      <c r="A859" s="17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 t="str">
        <f>IFERROR(VLOOKUP(B859,'MASTER DATA'!$A$1:$E$212,4,FALSE),"")</f>
        <v/>
      </c>
      <c r="G859" s="17"/>
      <c r="H859" s="17"/>
      <c r="I859" s="17"/>
      <c r="J859" s="17" t="b">
        <v>0</v>
      </c>
    </row>
    <row r="860">
      <c r="A860" s="17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 t="str">
        <f>IFERROR(VLOOKUP(B860,'MASTER DATA'!$A$1:$E$212,4,FALSE),"")</f>
        <v/>
      </c>
      <c r="G860" s="17"/>
      <c r="H860" s="17"/>
      <c r="I860" s="17"/>
      <c r="J860" s="17" t="b">
        <v>0</v>
      </c>
    </row>
    <row r="861">
      <c r="A861" s="17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 t="str">
        <f>IFERROR(VLOOKUP(B861,'MASTER DATA'!$A$1:$E$212,4,FALSE),"")</f>
        <v/>
      </c>
      <c r="G861" s="17"/>
      <c r="H861" s="17"/>
      <c r="I861" s="17"/>
      <c r="J861" s="17" t="b">
        <v>0</v>
      </c>
    </row>
    <row r="862">
      <c r="A862" s="17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 t="str">
        <f>IFERROR(VLOOKUP(B862,'MASTER DATA'!$A$1:$E$212,4,FALSE),"")</f>
        <v/>
      </c>
      <c r="G862" s="17"/>
      <c r="H862" s="17"/>
      <c r="I862" s="17"/>
      <c r="J862" s="17" t="b">
        <v>0</v>
      </c>
    </row>
    <row r="863">
      <c r="A863" s="17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 t="str">
        <f>IFERROR(VLOOKUP(B863,'MASTER DATA'!$A$1:$E$212,4,FALSE),"")</f>
        <v/>
      </c>
      <c r="G863" s="17"/>
      <c r="H863" s="17"/>
      <c r="I863" s="17"/>
      <c r="J863" s="17" t="b">
        <v>0</v>
      </c>
    </row>
    <row r="864">
      <c r="A864" s="17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 t="str">
        <f>IFERROR(VLOOKUP(B864,'MASTER DATA'!$A$1:$E$212,4,FALSE),"")</f>
        <v/>
      </c>
      <c r="G864" s="17"/>
      <c r="H864" s="17"/>
      <c r="I864" s="17"/>
      <c r="J864" s="17" t="b">
        <v>0</v>
      </c>
    </row>
    <row r="865">
      <c r="A865" s="17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 t="str">
        <f>IFERROR(VLOOKUP(B865,'MASTER DATA'!$A$1:$E$212,4,FALSE),"")</f>
        <v/>
      </c>
      <c r="G865" s="17"/>
      <c r="H865" s="17"/>
      <c r="I865" s="17"/>
      <c r="J865" s="17" t="b">
        <v>0</v>
      </c>
    </row>
    <row r="866">
      <c r="A866" s="17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 t="str">
        <f>IFERROR(VLOOKUP(B866,'MASTER DATA'!$A$1:$E$212,4,FALSE),"")</f>
        <v/>
      </c>
      <c r="G866" s="17"/>
      <c r="H866" s="17"/>
      <c r="I866" s="17"/>
      <c r="J866" s="17" t="b">
        <v>0</v>
      </c>
    </row>
    <row r="867">
      <c r="A867" s="17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 t="str">
        <f>IFERROR(VLOOKUP(B867,'MASTER DATA'!$A$1:$E$212,4,FALSE),"")</f>
        <v/>
      </c>
      <c r="G867" s="17"/>
      <c r="H867" s="17"/>
      <c r="I867" s="17"/>
      <c r="J867" s="17" t="b">
        <v>0</v>
      </c>
    </row>
    <row r="868">
      <c r="A868" s="17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 t="str">
        <f>IFERROR(VLOOKUP(B868,'MASTER DATA'!$A$1:$E$212,4,FALSE),"")</f>
        <v/>
      </c>
      <c r="G868" s="17"/>
      <c r="H868" s="17"/>
      <c r="I868" s="17"/>
      <c r="J868" s="17" t="b">
        <v>0</v>
      </c>
    </row>
    <row r="869">
      <c r="A869" s="17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 t="str">
        <f>IFERROR(VLOOKUP(B869,'MASTER DATA'!$A$1:$E$212,4,FALSE),"")</f>
        <v/>
      </c>
      <c r="G869" s="17"/>
      <c r="H869" s="17"/>
      <c r="I869" s="17"/>
      <c r="J869" s="17" t="b">
        <v>0</v>
      </c>
    </row>
    <row r="870">
      <c r="A870" s="17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 t="str">
        <f>IFERROR(VLOOKUP(B870,'MASTER DATA'!$A$1:$E$212,4,FALSE),"")</f>
        <v/>
      </c>
      <c r="G870" s="17"/>
      <c r="H870" s="17"/>
      <c r="I870" s="17"/>
      <c r="J870" s="17" t="b">
        <v>0</v>
      </c>
    </row>
    <row r="871">
      <c r="A871" s="17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 t="str">
        <f>IFERROR(VLOOKUP(B871,'MASTER DATA'!$A$1:$E$212,4,FALSE),"")</f>
        <v/>
      </c>
      <c r="G871" s="17"/>
      <c r="H871" s="17"/>
      <c r="I871" s="17"/>
      <c r="J871" s="17" t="b">
        <v>0</v>
      </c>
    </row>
    <row r="872">
      <c r="A872" s="17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 t="str">
        <f>IFERROR(VLOOKUP(B872,'MASTER DATA'!$A$1:$E$212,4,FALSE),"")</f>
        <v/>
      </c>
      <c r="G872" s="17"/>
      <c r="H872" s="17"/>
      <c r="I872" s="17"/>
      <c r="J872" s="17" t="b">
        <v>0</v>
      </c>
    </row>
    <row r="873">
      <c r="A873" s="17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 t="str">
        <f>IFERROR(VLOOKUP(B873,'MASTER DATA'!$A$1:$E$212,4,FALSE),"")</f>
        <v/>
      </c>
      <c r="G873" s="17"/>
      <c r="H873" s="17"/>
      <c r="I873" s="17"/>
      <c r="J873" s="17" t="b">
        <v>0</v>
      </c>
    </row>
    <row r="874">
      <c r="A874" s="17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 t="str">
        <f>IFERROR(VLOOKUP(B874,'MASTER DATA'!$A$1:$E$212,4,FALSE),"")</f>
        <v/>
      </c>
      <c r="G874" s="17"/>
      <c r="H874" s="17"/>
      <c r="I874" s="17"/>
      <c r="J874" s="17" t="b">
        <v>0</v>
      </c>
    </row>
    <row r="875">
      <c r="A875" s="17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 t="str">
        <f>IFERROR(VLOOKUP(B875,'MASTER DATA'!$A$1:$E$212,4,FALSE),"")</f>
        <v/>
      </c>
      <c r="G875" s="17"/>
      <c r="H875" s="17"/>
      <c r="I875" s="17"/>
      <c r="J875" s="17" t="b">
        <v>0</v>
      </c>
    </row>
    <row r="876">
      <c r="A876" s="17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 t="str">
        <f>IFERROR(VLOOKUP(B876,'MASTER DATA'!$A$1:$E$212,4,FALSE),"")</f>
        <v/>
      </c>
      <c r="G876" s="17"/>
      <c r="H876" s="17"/>
      <c r="I876" s="17"/>
      <c r="J876" s="17" t="b">
        <v>0</v>
      </c>
    </row>
    <row r="877">
      <c r="A877" s="17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 t="str">
        <f>IFERROR(VLOOKUP(B877,'MASTER DATA'!$A$1:$E$212,4,FALSE),"")</f>
        <v/>
      </c>
      <c r="G877" s="17"/>
      <c r="H877" s="17"/>
      <c r="I877" s="17"/>
      <c r="J877" s="17" t="b">
        <v>0</v>
      </c>
    </row>
    <row r="878">
      <c r="A878" s="17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 t="str">
        <f>IFERROR(VLOOKUP(B878,'MASTER DATA'!$A$1:$E$212,4,FALSE),"")</f>
        <v/>
      </c>
      <c r="G878" s="17"/>
      <c r="H878" s="17"/>
      <c r="I878" s="17"/>
      <c r="J878" s="17" t="b">
        <v>0</v>
      </c>
    </row>
    <row r="879">
      <c r="A879" s="17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 t="str">
        <f>IFERROR(VLOOKUP(B879,'MASTER DATA'!$A$1:$E$212,4,FALSE),"")</f>
        <v/>
      </c>
      <c r="G879" s="17"/>
      <c r="H879" s="17"/>
      <c r="I879" s="17"/>
      <c r="J879" s="17" t="b">
        <v>0</v>
      </c>
    </row>
    <row r="880">
      <c r="A880" s="17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 t="str">
        <f>IFERROR(VLOOKUP(B880,'MASTER DATA'!$A$1:$E$212,4,FALSE),"")</f>
        <v/>
      </c>
      <c r="G880" s="17"/>
      <c r="H880" s="17"/>
      <c r="I880" s="17"/>
      <c r="J880" s="17" t="b">
        <v>0</v>
      </c>
    </row>
    <row r="881">
      <c r="A881" s="17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 t="str">
        <f>IFERROR(VLOOKUP(B881,'MASTER DATA'!$A$1:$E$212,4,FALSE),"")</f>
        <v/>
      </c>
      <c r="G881" s="17"/>
      <c r="H881" s="17"/>
      <c r="I881" s="17"/>
      <c r="J881" s="17" t="b">
        <v>0</v>
      </c>
    </row>
    <row r="882">
      <c r="A882" s="17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 t="str">
        <f>IFERROR(VLOOKUP(B882,'MASTER DATA'!$A$1:$E$212,4,FALSE),"")</f>
        <v/>
      </c>
      <c r="G882" s="17"/>
      <c r="H882" s="17"/>
      <c r="I882" s="17"/>
      <c r="J882" s="17" t="b">
        <v>0</v>
      </c>
    </row>
    <row r="883">
      <c r="A883" s="17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 t="str">
        <f>IFERROR(VLOOKUP(B883,'MASTER DATA'!$A$1:$E$212,4,FALSE),"")</f>
        <v/>
      </c>
      <c r="G883" s="17"/>
      <c r="H883" s="17"/>
      <c r="I883" s="17"/>
      <c r="J883" s="17" t="b">
        <v>0</v>
      </c>
    </row>
    <row r="884">
      <c r="A884" s="17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 t="str">
        <f>IFERROR(VLOOKUP(B884,'MASTER DATA'!$A$1:$E$212,4,FALSE),"")</f>
        <v/>
      </c>
      <c r="G884" s="17"/>
      <c r="H884" s="17"/>
      <c r="I884" s="17"/>
      <c r="J884" s="17" t="b">
        <v>0</v>
      </c>
    </row>
    <row r="885">
      <c r="A885" s="17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 t="str">
        <f>IFERROR(VLOOKUP(B885,'MASTER DATA'!$A$1:$E$212,4,FALSE),"")</f>
        <v/>
      </c>
      <c r="G885" s="17"/>
      <c r="H885" s="17"/>
      <c r="I885" s="17"/>
      <c r="J885" s="17" t="b">
        <v>0</v>
      </c>
    </row>
    <row r="886">
      <c r="A886" s="17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 t="str">
        <f>IFERROR(VLOOKUP(B886,'MASTER DATA'!$A$1:$E$212,4,FALSE),"")</f>
        <v/>
      </c>
      <c r="G886" s="17"/>
      <c r="H886" s="17"/>
      <c r="I886" s="17"/>
      <c r="J886" s="17" t="b">
        <v>0</v>
      </c>
    </row>
    <row r="887">
      <c r="A887" s="17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 t="str">
        <f>IFERROR(VLOOKUP(B887,'MASTER DATA'!$A$1:$E$212,4,FALSE),"")</f>
        <v/>
      </c>
      <c r="G887" s="17"/>
      <c r="H887" s="17"/>
      <c r="I887" s="17"/>
      <c r="J887" s="17" t="b">
        <v>0</v>
      </c>
    </row>
    <row r="888">
      <c r="A888" s="17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 t="str">
        <f>IFERROR(VLOOKUP(B888,'MASTER DATA'!$A$1:$E$212,4,FALSE),"")</f>
        <v/>
      </c>
      <c r="G888" s="17"/>
      <c r="H888" s="17"/>
      <c r="I888" s="17"/>
      <c r="J888" s="17" t="b">
        <v>0</v>
      </c>
    </row>
    <row r="889">
      <c r="A889" s="17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 t="str">
        <f>IFERROR(VLOOKUP(B889,'MASTER DATA'!$A$1:$E$212,4,FALSE),"")</f>
        <v/>
      </c>
      <c r="G889" s="17"/>
      <c r="H889" s="17"/>
      <c r="I889" s="17"/>
      <c r="J889" s="17" t="b">
        <v>0</v>
      </c>
    </row>
    <row r="890">
      <c r="A890" s="17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 t="str">
        <f>IFERROR(VLOOKUP(B890,'MASTER DATA'!$A$1:$E$212,4,FALSE),"")</f>
        <v/>
      </c>
      <c r="G890" s="17"/>
      <c r="H890" s="17"/>
      <c r="I890" s="17"/>
      <c r="J890" s="17" t="b">
        <v>0</v>
      </c>
    </row>
    <row r="891">
      <c r="A891" s="17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 t="str">
        <f>IFERROR(VLOOKUP(B891,'MASTER DATA'!$A$1:$E$212,4,FALSE),"")</f>
        <v/>
      </c>
      <c r="G891" s="17"/>
      <c r="H891" s="17"/>
      <c r="I891" s="17"/>
      <c r="J891" s="17" t="b">
        <v>0</v>
      </c>
    </row>
    <row r="892">
      <c r="A892" s="17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 t="str">
        <f>IFERROR(VLOOKUP(B892,'MASTER DATA'!$A$1:$E$212,4,FALSE),"")</f>
        <v/>
      </c>
      <c r="G892" s="17"/>
      <c r="H892" s="17"/>
      <c r="I892" s="17"/>
      <c r="J892" s="17" t="b">
        <v>0</v>
      </c>
    </row>
    <row r="893">
      <c r="A893" s="17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 t="str">
        <f>IFERROR(VLOOKUP(B893,'MASTER DATA'!$A$1:$E$212,4,FALSE),"")</f>
        <v/>
      </c>
      <c r="G893" s="17"/>
      <c r="H893" s="17"/>
      <c r="I893" s="17"/>
      <c r="J893" s="17" t="b">
        <v>0</v>
      </c>
    </row>
    <row r="894">
      <c r="A894" s="17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 t="str">
        <f>IFERROR(VLOOKUP(B894,'MASTER DATA'!$A$1:$E$212,4,FALSE),"")</f>
        <v/>
      </c>
      <c r="G894" s="17"/>
      <c r="H894" s="17"/>
      <c r="I894" s="17"/>
      <c r="J894" s="17" t="b">
        <v>0</v>
      </c>
    </row>
    <row r="895">
      <c r="A895" s="17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 t="str">
        <f>IFERROR(VLOOKUP(B895,'MASTER DATA'!$A$1:$E$212,4,FALSE),"")</f>
        <v/>
      </c>
      <c r="G895" s="17"/>
      <c r="H895" s="17"/>
      <c r="I895" s="17"/>
      <c r="J895" s="17" t="b">
        <v>0</v>
      </c>
    </row>
    <row r="896">
      <c r="A896" s="17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 t="str">
        <f>IFERROR(VLOOKUP(B896,'MASTER DATA'!$A$1:$E$212,4,FALSE),"")</f>
        <v/>
      </c>
      <c r="G896" s="17"/>
      <c r="H896" s="17"/>
      <c r="I896" s="17"/>
      <c r="J896" s="17" t="b">
        <v>0</v>
      </c>
    </row>
    <row r="897">
      <c r="A897" s="17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 t="str">
        <f>IFERROR(VLOOKUP(B897,'MASTER DATA'!$A$1:$E$212,4,FALSE),"")</f>
        <v/>
      </c>
      <c r="G897" s="17"/>
      <c r="H897" s="17"/>
      <c r="I897" s="17"/>
      <c r="J897" s="17" t="b">
        <v>0</v>
      </c>
    </row>
    <row r="898">
      <c r="A898" s="17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 t="str">
        <f>IFERROR(VLOOKUP(B898,'MASTER DATA'!$A$1:$E$212,4,FALSE),"")</f>
        <v/>
      </c>
      <c r="G898" s="17"/>
      <c r="H898" s="17"/>
      <c r="I898" s="17"/>
      <c r="J898" s="17" t="b">
        <v>0</v>
      </c>
    </row>
    <row r="899">
      <c r="A899" s="17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 t="str">
        <f>IFERROR(VLOOKUP(B899,'MASTER DATA'!$A$1:$E$212,4,FALSE),"")</f>
        <v/>
      </c>
      <c r="G899" s="17"/>
      <c r="H899" s="17"/>
      <c r="I899" s="17"/>
      <c r="J899" s="17" t="b">
        <v>0</v>
      </c>
    </row>
    <row r="900">
      <c r="A900" s="17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 t="str">
        <f>IFERROR(VLOOKUP(B900,'MASTER DATA'!$A$1:$E$212,4,FALSE),"")</f>
        <v/>
      </c>
      <c r="G900" s="17"/>
      <c r="H900" s="17"/>
      <c r="I900" s="17"/>
      <c r="J900" s="17" t="b">
        <v>0</v>
      </c>
    </row>
    <row r="901">
      <c r="A901" s="17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 t="str">
        <f>IFERROR(VLOOKUP(B901,'MASTER DATA'!$A$1:$E$212,4,FALSE),"")</f>
        <v/>
      </c>
      <c r="G901" s="17"/>
      <c r="H901" s="17"/>
      <c r="I901" s="17"/>
      <c r="J901" s="17" t="b">
        <v>0</v>
      </c>
    </row>
    <row r="902">
      <c r="A902" s="17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 t="str">
        <f>IFERROR(VLOOKUP(B902,'MASTER DATA'!$A$1:$E$212,4,FALSE),"")</f>
        <v/>
      </c>
      <c r="G902" s="17"/>
      <c r="H902" s="17"/>
      <c r="I902" s="17"/>
      <c r="J902" s="17" t="b">
        <v>0</v>
      </c>
    </row>
    <row r="903">
      <c r="A903" s="17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 t="str">
        <f>IFERROR(VLOOKUP(B903,'MASTER DATA'!$A$1:$E$212,4,FALSE),"")</f>
        <v/>
      </c>
      <c r="G903" s="17"/>
      <c r="H903" s="17"/>
      <c r="I903" s="17"/>
      <c r="J903" s="17" t="b">
        <v>0</v>
      </c>
    </row>
    <row r="904">
      <c r="A904" s="17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 t="str">
        <f>IFERROR(VLOOKUP(B904,'MASTER DATA'!$A$1:$E$212,4,FALSE),"")</f>
        <v/>
      </c>
      <c r="G904" s="17"/>
      <c r="H904" s="17"/>
      <c r="I904" s="17"/>
      <c r="J904" s="17" t="b">
        <v>0</v>
      </c>
    </row>
    <row r="905">
      <c r="A905" s="17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 t="str">
        <f>IFERROR(VLOOKUP(B905,'MASTER DATA'!$A$1:$E$212,4,FALSE),"")</f>
        <v/>
      </c>
      <c r="G905" s="17"/>
      <c r="H905" s="17"/>
      <c r="I905" s="17"/>
      <c r="J905" s="17" t="b">
        <v>0</v>
      </c>
    </row>
    <row r="906">
      <c r="A906" s="17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 t="str">
        <f>IFERROR(VLOOKUP(B906,'MASTER DATA'!$A$1:$E$212,4,FALSE),"")</f>
        <v/>
      </c>
      <c r="G906" s="17"/>
      <c r="H906" s="17"/>
      <c r="I906" s="17"/>
      <c r="J906" s="17" t="b">
        <v>0</v>
      </c>
    </row>
    <row r="907">
      <c r="A907" s="17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 t="str">
        <f>IFERROR(VLOOKUP(B907,'MASTER DATA'!$A$1:$E$212,4,FALSE),"")</f>
        <v/>
      </c>
      <c r="G907" s="17"/>
      <c r="H907" s="17"/>
      <c r="I907" s="17"/>
      <c r="J907" s="17" t="b">
        <v>0</v>
      </c>
    </row>
    <row r="908">
      <c r="A908" s="17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 t="str">
        <f>IFERROR(VLOOKUP(B908,'MASTER DATA'!$A$1:$E$212,4,FALSE),"")</f>
        <v/>
      </c>
      <c r="G908" s="17"/>
      <c r="H908" s="17"/>
      <c r="I908" s="17"/>
      <c r="J908" s="17" t="b">
        <v>0</v>
      </c>
    </row>
    <row r="909">
      <c r="A909" s="17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 t="str">
        <f>IFERROR(VLOOKUP(B909,'MASTER DATA'!$A$1:$E$212,4,FALSE),"")</f>
        <v/>
      </c>
      <c r="G909" s="17"/>
      <c r="H909" s="17"/>
      <c r="I909" s="17"/>
      <c r="J909" s="17" t="b">
        <v>0</v>
      </c>
    </row>
    <row r="910">
      <c r="A910" s="17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 t="str">
        <f>IFERROR(VLOOKUP(B910,'MASTER DATA'!$A$1:$E$212,4,FALSE),"")</f>
        <v/>
      </c>
      <c r="G910" s="17"/>
      <c r="H910" s="17"/>
      <c r="I910" s="17"/>
      <c r="J910" s="17" t="b">
        <v>0</v>
      </c>
    </row>
    <row r="911">
      <c r="A911" s="17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 t="str">
        <f>IFERROR(VLOOKUP(B911,'MASTER DATA'!$A$1:$E$212,4,FALSE),"")</f>
        <v/>
      </c>
      <c r="G911" s="17"/>
      <c r="H911" s="17"/>
      <c r="I911" s="17"/>
      <c r="J911" s="17" t="b">
        <v>0</v>
      </c>
    </row>
    <row r="912">
      <c r="A912" s="17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 t="str">
        <f>IFERROR(VLOOKUP(B912,'MASTER DATA'!$A$1:$E$212,4,FALSE),"")</f>
        <v/>
      </c>
      <c r="G912" s="17"/>
      <c r="H912" s="17"/>
      <c r="I912" s="17"/>
      <c r="J912" s="17" t="b">
        <v>0</v>
      </c>
    </row>
    <row r="913">
      <c r="A913" s="17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 t="str">
        <f>IFERROR(VLOOKUP(B913,'MASTER DATA'!$A$1:$E$212,4,FALSE),"")</f>
        <v/>
      </c>
      <c r="G913" s="17"/>
      <c r="H913" s="17"/>
      <c r="I913" s="17"/>
      <c r="J913" s="17" t="b">
        <v>0</v>
      </c>
    </row>
    <row r="914">
      <c r="A914" s="17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 t="str">
        <f>IFERROR(VLOOKUP(B914,'MASTER DATA'!$A$1:$E$212,4,FALSE),"")</f>
        <v/>
      </c>
      <c r="G914" s="17"/>
      <c r="H914" s="17"/>
      <c r="I914" s="17"/>
      <c r="J914" s="17" t="b">
        <v>0</v>
      </c>
    </row>
    <row r="915">
      <c r="A915" s="17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 t="str">
        <f>IFERROR(VLOOKUP(B915,'MASTER DATA'!$A$1:$E$212,4,FALSE),"")</f>
        <v/>
      </c>
      <c r="G915" s="17"/>
      <c r="H915" s="17"/>
      <c r="I915" s="17"/>
      <c r="J915" s="17" t="b">
        <v>0</v>
      </c>
    </row>
    <row r="916">
      <c r="A916" s="17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 t="str">
        <f>IFERROR(VLOOKUP(B916,'MASTER DATA'!$A$1:$E$212,4,FALSE),"")</f>
        <v/>
      </c>
      <c r="G916" s="17"/>
      <c r="H916" s="17"/>
      <c r="I916" s="17"/>
      <c r="J916" s="17" t="b">
        <v>0</v>
      </c>
    </row>
    <row r="917">
      <c r="A917" s="17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 t="str">
        <f>IFERROR(VLOOKUP(B917,'MASTER DATA'!$A$1:$E$212,4,FALSE),"")</f>
        <v/>
      </c>
      <c r="G917" s="17"/>
      <c r="H917" s="17"/>
      <c r="I917" s="17"/>
      <c r="J917" s="17" t="b">
        <v>0</v>
      </c>
    </row>
    <row r="918">
      <c r="A918" s="17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 t="str">
        <f>IFERROR(VLOOKUP(B918,'MASTER DATA'!$A$1:$E$212,4,FALSE),"")</f>
        <v/>
      </c>
      <c r="G918" s="17"/>
      <c r="H918" s="17"/>
      <c r="I918" s="17"/>
      <c r="J918" s="17" t="b">
        <v>0</v>
      </c>
    </row>
    <row r="919">
      <c r="A919" s="17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 t="str">
        <f>IFERROR(VLOOKUP(B919,'MASTER DATA'!$A$1:$E$212,4,FALSE),"")</f>
        <v/>
      </c>
      <c r="G919" s="17"/>
      <c r="H919" s="17"/>
      <c r="I919" s="17"/>
      <c r="J919" s="17" t="b">
        <v>0</v>
      </c>
    </row>
    <row r="920">
      <c r="A920" s="17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 t="str">
        <f>IFERROR(VLOOKUP(B920,'MASTER DATA'!$A$1:$E$212,4,FALSE),"")</f>
        <v/>
      </c>
      <c r="G920" s="17"/>
      <c r="H920" s="17"/>
      <c r="I920" s="17"/>
      <c r="J920" s="17" t="b">
        <v>0</v>
      </c>
    </row>
    <row r="921">
      <c r="A921" s="17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 t="str">
        <f>IFERROR(VLOOKUP(B921,'MASTER DATA'!$A$1:$E$212,4,FALSE),"")</f>
        <v/>
      </c>
      <c r="G921" s="17"/>
      <c r="H921" s="17"/>
      <c r="I921" s="17"/>
      <c r="J921" s="17" t="b">
        <v>0</v>
      </c>
    </row>
    <row r="922">
      <c r="A922" s="17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 t="str">
        <f>IFERROR(VLOOKUP(B922,'MASTER DATA'!$A$1:$E$212,4,FALSE),"")</f>
        <v/>
      </c>
      <c r="G922" s="17"/>
      <c r="H922" s="17"/>
      <c r="I922" s="17"/>
      <c r="J922" s="17" t="b">
        <v>0</v>
      </c>
    </row>
    <row r="923">
      <c r="A923" s="17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 t="str">
        <f>IFERROR(VLOOKUP(B923,'MASTER DATA'!$A$1:$E$212,4,FALSE),"")</f>
        <v/>
      </c>
      <c r="G923" s="17"/>
      <c r="H923" s="17"/>
      <c r="I923" s="17"/>
      <c r="J923" s="17" t="b">
        <v>0</v>
      </c>
    </row>
    <row r="924">
      <c r="A924" s="17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 t="str">
        <f>IFERROR(VLOOKUP(B924,'MASTER DATA'!$A$1:$E$212,4,FALSE),"")</f>
        <v/>
      </c>
      <c r="G924" s="17"/>
      <c r="H924" s="17"/>
      <c r="I924" s="17"/>
      <c r="J924" s="17" t="b">
        <v>0</v>
      </c>
    </row>
    <row r="925">
      <c r="A925" s="17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 t="str">
        <f>IFERROR(VLOOKUP(B925,'MASTER DATA'!$A$1:$E$212,4,FALSE),"")</f>
        <v/>
      </c>
      <c r="G925" s="17"/>
      <c r="H925" s="17"/>
      <c r="I925" s="17"/>
      <c r="J925" s="17" t="b">
        <v>0</v>
      </c>
    </row>
    <row r="926">
      <c r="A926" s="17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 t="str">
        <f>IFERROR(VLOOKUP(B926,'MASTER DATA'!$A$1:$E$212,4,FALSE),"")</f>
        <v/>
      </c>
      <c r="G926" s="17"/>
      <c r="H926" s="17"/>
      <c r="I926" s="17"/>
      <c r="J926" s="17" t="b">
        <v>0</v>
      </c>
    </row>
    <row r="927">
      <c r="A927" s="17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 t="str">
        <f>IFERROR(VLOOKUP(B927,'MASTER DATA'!$A$1:$E$212,4,FALSE),"")</f>
        <v/>
      </c>
      <c r="G927" s="17"/>
      <c r="H927" s="17"/>
      <c r="I927" s="17"/>
      <c r="J927" s="17" t="b">
        <v>0</v>
      </c>
    </row>
    <row r="928">
      <c r="A928" s="17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 t="str">
        <f>IFERROR(VLOOKUP(B928,'MASTER DATA'!$A$1:$E$212,4,FALSE),"")</f>
        <v/>
      </c>
      <c r="G928" s="17"/>
      <c r="H928" s="17"/>
      <c r="I928" s="17"/>
      <c r="J928" s="17" t="b">
        <v>0</v>
      </c>
    </row>
    <row r="929">
      <c r="A929" s="17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 t="str">
        <f>IFERROR(VLOOKUP(B929,'MASTER DATA'!$A$1:$E$212,4,FALSE),"")</f>
        <v/>
      </c>
      <c r="G929" s="17"/>
      <c r="H929" s="17"/>
      <c r="I929" s="17"/>
      <c r="J929" s="17" t="b">
        <v>0</v>
      </c>
    </row>
    <row r="930">
      <c r="A930" s="17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 t="str">
        <f>IFERROR(VLOOKUP(B930,'MASTER DATA'!$A$1:$E$212,4,FALSE),"")</f>
        <v/>
      </c>
      <c r="G930" s="17"/>
      <c r="H930" s="17"/>
      <c r="I930" s="17"/>
      <c r="J930" s="17" t="b">
        <v>0</v>
      </c>
    </row>
    <row r="931">
      <c r="A931" s="17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 t="str">
        <f>IFERROR(VLOOKUP(B931,'MASTER DATA'!$A$1:$E$212,4,FALSE),"")</f>
        <v/>
      </c>
      <c r="G931" s="17"/>
      <c r="H931" s="17"/>
      <c r="I931" s="17"/>
      <c r="J931" s="17" t="b">
        <v>0</v>
      </c>
    </row>
    <row r="932">
      <c r="A932" s="17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 t="str">
        <f>IFERROR(VLOOKUP(B932,'MASTER DATA'!$A$1:$E$212,4,FALSE),"")</f>
        <v/>
      </c>
      <c r="G932" s="17"/>
      <c r="H932" s="17"/>
      <c r="I932" s="17"/>
      <c r="J932" s="17" t="b">
        <v>0</v>
      </c>
    </row>
    <row r="933">
      <c r="A933" s="17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 t="str">
        <f>IFERROR(VLOOKUP(B933,'MASTER DATA'!$A$1:$E$212,4,FALSE),"")</f>
        <v/>
      </c>
      <c r="G933" s="17"/>
      <c r="H933" s="17"/>
      <c r="I933" s="17"/>
      <c r="J933" s="17" t="b">
        <v>0</v>
      </c>
    </row>
    <row r="934">
      <c r="A934" s="17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 t="str">
        <f>IFERROR(VLOOKUP(B934,'MASTER DATA'!$A$1:$E$212,4,FALSE),"")</f>
        <v/>
      </c>
      <c r="G934" s="17"/>
      <c r="H934" s="17"/>
      <c r="I934" s="17"/>
      <c r="J934" s="17" t="b">
        <v>0</v>
      </c>
    </row>
    <row r="935">
      <c r="A935" s="17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 t="str">
        <f>IFERROR(VLOOKUP(B935,'MASTER DATA'!$A$1:$E$212,4,FALSE),"")</f>
        <v/>
      </c>
      <c r="G935" s="17"/>
      <c r="H935" s="17"/>
      <c r="I935" s="17"/>
      <c r="J935" s="17" t="b">
        <v>0</v>
      </c>
    </row>
    <row r="936">
      <c r="A936" s="17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 t="str">
        <f>IFERROR(VLOOKUP(B936,'MASTER DATA'!$A$1:$E$212,4,FALSE),"")</f>
        <v/>
      </c>
      <c r="G936" s="17"/>
      <c r="H936" s="17"/>
      <c r="I936" s="17"/>
      <c r="J936" s="17" t="b">
        <v>0</v>
      </c>
    </row>
    <row r="937">
      <c r="A937" s="17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 t="str">
        <f>IFERROR(VLOOKUP(B937,'MASTER DATA'!$A$1:$E$212,4,FALSE),"")</f>
        <v/>
      </c>
      <c r="G937" s="17"/>
      <c r="H937" s="17"/>
      <c r="I937" s="17"/>
      <c r="J937" s="17" t="b">
        <v>0</v>
      </c>
    </row>
    <row r="938">
      <c r="A938" s="17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 t="str">
        <f>IFERROR(VLOOKUP(B938,'MASTER DATA'!$A$1:$E$212,4,FALSE),"")</f>
        <v/>
      </c>
      <c r="G938" s="17"/>
      <c r="H938" s="17"/>
      <c r="I938" s="17"/>
      <c r="J938" s="17" t="b">
        <v>0</v>
      </c>
    </row>
    <row r="939">
      <c r="A939" s="17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 t="str">
        <f>IFERROR(VLOOKUP(B939,'MASTER DATA'!$A$1:$E$212,4,FALSE),"")</f>
        <v/>
      </c>
      <c r="G939" s="17"/>
      <c r="H939" s="17"/>
      <c r="I939" s="17"/>
      <c r="J939" s="17" t="b">
        <v>0</v>
      </c>
    </row>
    <row r="940">
      <c r="A940" s="17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 t="str">
        <f>IFERROR(VLOOKUP(B940,'MASTER DATA'!$A$1:$E$212,4,FALSE),"")</f>
        <v/>
      </c>
      <c r="G940" s="17"/>
      <c r="H940" s="17"/>
      <c r="I940" s="17"/>
      <c r="J940" s="17" t="b">
        <v>0</v>
      </c>
    </row>
    <row r="941">
      <c r="A941" s="17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 t="str">
        <f>IFERROR(VLOOKUP(B941,'MASTER DATA'!$A$1:$E$212,4,FALSE),"")</f>
        <v/>
      </c>
      <c r="G941" s="17"/>
      <c r="H941" s="17"/>
      <c r="I941" s="17"/>
      <c r="J941" s="17" t="b">
        <v>0</v>
      </c>
    </row>
    <row r="942">
      <c r="A942" s="17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 t="str">
        <f>IFERROR(VLOOKUP(B942,'MASTER DATA'!$A$1:$E$212,4,FALSE),"")</f>
        <v/>
      </c>
      <c r="G942" s="17"/>
      <c r="H942" s="17"/>
      <c r="I942" s="17"/>
      <c r="J942" s="17" t="b">
        <v>0</v>
      </c>
    </row>
    <row r="943">
      <c r="A943" s="17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 t="str">
        <f>IFERROR(VLOOKUP(B943,'MASTER DATA'!$A$1:$E$212,4,FALSE),"")</f>
        <v/>
      </c>
      <c r="G943" s="17"/>
      <c r="H943" s="17"/>
      <c r="I943" s="17"/>
      <c r="J943" s="17" t="b">
        <v>0</v>
      </c>
    </row>
    <row r="944">
      <c r="A944" s="17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 t="str">
        <f>IFERROR(VLOOKUP(B944,'MASTER DATA'!$A$1:$E$212,4,FALSE),"")</f>
        <v/>
      </c>
      <c r="G944" s="17"/>
      <c r="H944" s="17"/>
      <c r="I944" s="17"/>
      <c r="J944" s="17" t="b">
        <v>0</v>
      </c>
    </row>
    <row r="945">
      <c r="A945" s="17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 t="str">
        <f>IFERROR(VLOOKUP(B945,'MASTER DATA'!$A$1:$E$212,4,FALSE),"")</f>
        <v/>
      </c>
      <c r="G945" s="17"/>
      <c r="H945" s="17"/>
      <c r="I945" s="17"/>
      <c r="J945" s="17" t="b">
        <v>0</v>
      </c>
    </row>
    <row r="946">
      <c r="A946" s="17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 t="str">
        <f>IFERROR(VLOOKUP(B946,'MASTER DATA'!$A$1:$E$212,4,FALSE),"")</f>
        <v/>
      </c>
      <c r="G946" s="17"/>
      <c r="H946" s="17"/>
      <c r="I946" s="17"/>
      <c r="J946" s="17" t="b">
        <v>0</v>
      </c>
    </row>
    <row r="947">
      <c r="A947" s="17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 t="str">
        <f>IFERROR(VLOOKUP(B947,'MASTER DATA'!$A$1:$E$212,4,FALSE),"")</f>
        <v/>
      </c>
      <c r="G947" s="17"/>
      <c r="H947" s="17"/>
      <c r="I947" s="17"/>
      <c r="J947" s="17" t="b">
        <v>0</v>
      </c>
    </row>
    <row r="948">
      <c r="A948" s="17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 t="str">
        <f>IFERROR(VLOOKUP(B948,'MASTER DATA'!$A$1:$E$212,4,FALSE),"")</f>
        <v/>
      </c>
      <c r="G948" s="17"/>
      <c r="H948" s="17"/>
      <c r="I948" s="17"/>
      <c r="J948" s="17" t="b">
        <v>0</v>
      </c>
    </row>
    <row r="949">
      <c r="A949" s="17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 t="str">
        <f>IFERROR(VLOOKUP(B949,'MASTER DATA'!$A$1:$E$212,4,FALSE),"")</f>
        <v/>
      </c>
      <c r="G949" s="17"/>
      <c r="H949" s="17"/>
      <c r="I949" s="17"/>
      <c r="J949" s="17" t="b">
        <v>0</v>
      </c>
    </row>
    <row r="950">
      <c r="A950" s="17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 t="str">
        <f>IFERROR(VLOOKUP(B950,'MASTER DATA'!$A$1:$E$212,4,FALSE),"")</f>
        <v/>
      </c>
      <c r="G950" s="17"/>
      <c r="H950" s="17"/>
      <c r="I950" s="17"/>
      <c r="J950" s="17" t="b">
        <v>0</v>
      </c>
    </row>
    <row r="951">
      <c r="A951" s="17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 t="str">
        <f>IFERROR(VLOOKUP(B951,'MASTER DATA'!$A$1:$E$212,4,FALSE),"")</f>
        <v/>
      </c>
      <c r="G951" s="17"/>
      <c r="H951" s="17"/>
      <c r="I951" s="17"/>
      <c r="J951" s="17" t="b">
        <v>0</v>
      </c>
    </row>
    <row r="952">
      <c r="A952" s="17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 t="str">
        <f>IFERROR(VLOOKUP(B952,'MASTER DATA'!$A$1:$E$212,4,FALSE),"")</f>
        <v/>
      </c>
      <c r="G952" s="17"/>
      <c r="H952" s="17"/>
      <c r="I952" s="17"/>
      <c r="J952" s="17" t="b">
        <v>0</v>
      </c>
    </row>
    <row r="953">
      <c r="A953" s="17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 t="str">
        <f>IFERROR(VLOOKUP(B953,'MASTER DATA'!$A$1:$E$212,4,FALSE),"")</f>
        <v/>
      </c>
      <c r="G953" s="17"/>
      <c r="H953" s="17"/>
      <c r="I953" s="17"/>
      <c r="J953" s="17" t="b">
        <v>0</v>
      </c>
    </row>
    <row r="954">
      <c r="A954" s="17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 t="str">
        <f>IFERROR(VLOOKUP(B954,'MASTER DATA'!$A$1:$E$212,4,FALSE),"")</f>
        <v/>
      </c>
      <c r="G954" s="17"/>
      <c r="H954" s="17"/>
      <c r="I954" s="17"/>
      <c r="J954" s="17" t="b">
        <v>0</v>
      </c>
    </row>
    <row r="955">
      <c r="A955" s="17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 t="str">
        <f>IFERROR(VLOOKUP(B955,'MASTER DATA'!$A$1:$E$212,4,FALSE),"")</f>
        <v/>
      </c>
      <c r="G955" s="17"/>
      <c r="H955" s="17"/>
      <c r="I955" s="17"/>
      <c r="J955" s="17" t="b">
        <v>0</v>
      </c>
    </row>
    <row r="956">
      <c r="A956" s="17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 t="str">
        <f>IFERROR(VLOOKUP(B956,'MASTER DATA'!$A$1:$E$212,4,FALSE),"")</f>
        <v/>
      </c>
      <c r="G956" s="17"/>
      <c r="H956" s="17"/>
      <c r="I956" s="17"/>
      <c r="J956" s="17" t="b">
        <v>0</v>
      </c>
    </row>
    <row r="957">
      <c r="A957" s="17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 t="str">
        <f>IFERROR(VLOOKUP(B957,'MASTER DATA'!$A$1:$E$212,4,FALSE),"")</f>
        <v/>
      </c>
      <c r="G957" s="17"/>
      <c r="H957" s="17"/>
      <c r="I957" s="17"/>
      <c r="J957" s="17" t="b">
        <v>0</v>
      </c>
    </row>
    <row r="958">
      <c r="A958" s="17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 t="str">
        <f>IFERROR(VLOOKUP(B958,'MASTER DATA'!$A$1:$E$212,4,FALSE),"")</f>
        <v/>
      </c>
      <c r="G958" s="17"/>
      <c r="H958" s="17"/>
      <c r="I958" s="17"/>
      <c r="J958" s="17" t="b">
        <v>0</v>
      </c>
    </row>
    <row r="959">
      <c r="A959" s="17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 t="str">
        <f>IFERROR(VLOOKUP(B959,'MASTER DATA'!$A$1:$E$212,4,FALSE),"")</f>
        <v/>
      </c>
      <c r="G959" s="17"/>
      <c r="H959" s="17"/>
      <c r="I959" s="17"/>
      <c r="J959" s="17" t="b">
        <v>0</v>
      </c>
    </row>
    <row r="960">
      <c r="A960" s="17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 t="str">
        <f>IFERROR(VLOOKUP(B960,'MASTER DATA'!$A$1:$E$212,4,FALSE),"")</f>
        <v/>
      </c>
      <c r="G960" s="17"/>
      <c r="H960" s="17"/>
      <c r="I960" s="17"/>
      <c r="J960" s="17" t="b">
        <v>0</v>
      </c>
    </row>
    <row r="961">
      <c r="A961" s="17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 t="str">
        <f>IFERROR(VLOOKUP(B961,'MASTER DATA'!$A$1:$E$212,4,FALSE),"")</f>
        <v/>
      </c>
      <c r="G961" s="17"/>
      <c r="H961" s="17"/>
      <c r="I961" s="17"/>
      <c r="J961" s="17" t="b">
        <v>0</v>
      </c>
    </row>
    <row r="962">
      <c r="A962" s="17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 t="str">
        <f>IFERROR(VLOOKUP(B962,'MASTER DATA'!$A$1:$E$212,4,FALSE),"")</f>
        <v/>
      </c>
      <c r="G962" s="17"/>
      <c r="H962" s="17"/>
      <c r="I962" s="17"/>
      <c r="J962" s="17" t="b">
        <v>0</v>
      </c>
    </row>
    <row r="963">
      <c r="A963" s="17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 t="str">
        <f>IFERROR(VLOOKUP(B963,'MASTER DATA'!$A$1:$E$212,4,FALSE),"")</f>
        <v/>
      </c>
      <c r="G963" s="17"/>
      <c r="H963" s="17"/>
      <c r="I963" s="17"/>
      <c r="J963" s="17" t="b">
        <v>0</v>
      </c>
    </row>
    <row r="964">
      <c r="A964" s="17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 t="str">
        <f>IFERROR(VLOOKUP(B964,'MASTER DATA'!$A$1:$E$212,4,FALSE),"")</f>
        <v/>
      </c>
      <c r="G964" s="17"/>
      <c r="H964" s="17"/>
      <c r="I964" s="17"/>
      <c r="J964" s="17" t="b">
        <v>0</v>
      </c>
    </row>
    <row r="965">
      <c r="A965" s="17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 t="str">
        <f>IFERROR(VLOOKUP(B965,'MASTER DATA'!$A$1:$E$212,4,FALSE),"")</f>
        <v/>
      </c>
      <c r="G965" s="17"/>
      <c r="H965" s="17"/>
      <c r="I965" s="17"/>
      <c r="J965" s="17" t="b">
        <v>0</v>
      </c>
    </row>
    <row r="966">
      <c r="A966" s="17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 t="str">
        <f>IFERROR(VLOOKUP(B966,'MASTER DATA'!$A$1:$E$212,4,FALSE),"")</f>
        <v/>
      </c>
      <c r="G966" s="17"/>
      <c r="H966" s="17"/>
      <c r="I966" s="17"/>
      <c r="J966" s="17" t="b">
        <v>0</v>
      </c>
    </row>
    <row r="967">
      <c r="A967" s="17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 t="str">
        <f>IFERROR(VLOOKUP(B967,'MASTER DATA'!$A$1:$E$212,4,FALSE),"")</f>
        <v/>
      </c>
      <c r="G967" s="17"/>
      <c r="H967" s="17"/>
      <c r="I967" s="17"/>
      <c r="J967" s="17" t="b">
        <v>0</v>
      </c>
    </row>
    <row r="968">
      <c r="A968" s="17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 t="str">
        <f>IFERROR(VLOOKUP(B968,'MASTER DATA'!$A$1:$E$212,4,FALSE),"")</f>
        <v/>
      </c>
      <c r="G968" s="17"/>
      <c r="H968" s="17"/>
      <c r="I968" s="17"/>
      <c r="J968" s="17" t="b">
        <v>0</v>
      </c>
    </row>
    <row r="969">
      <c r="A969" s="17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 t="str">
        <f>IFERROR(VLOOKUP(B969,'MASTER DATA'!$A$1:$E$212,4,FALSE),"")</f>
        <v/>
      </c>
      <c r="G969" s="17"/>
      <c r="H969" s="17"/>
      <c r="I969" s="17"/>
      <c r="J969" s="17" t="b">
        <v>0</v>
      </c>
    </row>
    <row r="970">
      <c r="A970" s="17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 t="str">
        <f>IFERROR(VLOOKUP(B970,'MASTER DATA'!$A$1:$E$212,4,FALSE),"")</f>
        <v/>
      </c>
      <c r="G970" s="17"/>
      <c r="H970" s="17"/>
      <c r="I970" s="17"/>
      <c r="J970" s="17" t="b">
        <v>0</v>
      </c>
    </row>
    <row r="971">
      <c r="A971" s="17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 t="str">
        <f>IFERROR(VLOOKUP(B971,'MASTER DATA'!$A$1:$E$212,4,FALSE),"")</f>
        <v/>
      </c>
      <c r="G971" s="17"/>
      <c r="H971" s="17"/>
      <c r="I971" s="17"/>
      <c r="J971" s="17" t="b">
        <v>0</v>
      </c>
    </row>
    <row r="972">
      <c r="A972" s="17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 t="str">
        <f>IFERROR(VLOOKUP(B972,'MASTER DATA'!$A$1:$E$212,4,FALSE),"")</f>
        <v/>
      </c>
      <c r="G972" s="17"/>
      <c r="H972" s="17"/>
      <c r="I972" s="17"/>
      <c r="J972" s="17" t="b">
        <v>0</v>
      </c>
    </row>
    <row r="973">
      <c r="A973" s="17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 t="str">
        <f>IFERROR(VLOOKUP(B973,'MASTER DATA'!$A$1:$E$212,4,FALSE),"")</f>
        <v/>
      </c>
      <c r="G973" s="17"/>
      <c r="H973" s="17"/>
      <c r="I973" s="17"/>
      <c r="J973" s="17" t="b">
        <v>0</v>
      </c>
    </row>
    <row r="974">
      <c r="A974" s="17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 t="str">
        <f>IFERROR(VLOOKUP(B974,'MASTER DATA'!$A$1:$E$212,4,FALSE),"")</f>
        <v/>
      </c>
      <c r="G974" s="17"/>
      <c r="H974" s="17"/>
      <c r="I974" s="17"/>
      <c r="J974" s="17" t="b">
        <v>0</v>
      </c>
    </row>
    <row r="975">
      <c r="A975" s="17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 t="str">
        <f>IFERROR(VLOOKUP(B975,'MASTER DATA'!$A$1:$E$212,4,FALSE),"")</f>
        <v/>
      </c>
      <c r="G975" s="17"/>
      <c r="H975" s="17"/>
      <c r="I975" s="17"/>
      <c r="J975" s="17" t="b">
        <v>0</v>
      </c>
    </row>
    <row r="976">
      <c r="A976" s="17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 t="str">
        <f>IFERROR(VLOOKUP(B976,'MASTER DATA'!$A$1:$E$212,4,FALSE),"")</f>
        <v/>
      </c>
      <c r="G976" s="17"/>
      <c r="H976" s="17"/>
      <c r="I976" s="17"/>
      <c r="J976" s="17" t="b">
        <v>0</v>
      </c>
    </row>
    <row r="977">
      <c r="A977" s="17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 t="str">
        <f>IFERROR(VLOOKUP(B977,'MASTER DATA'!$A$1:$E$212,4,FALSE),"")</f>
        <v/>
      </c>
      <c r="G977" s="17"/>
      <c r="H977" s="17"/>
      <c r="I977" s="17"/>
      <c r="J977" s="17" t="b">
        <v>0</v>
      </c>
    </row>
    <row r="978">
      <c r="A978" s="17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 t="str">
        <f>IFERROR(VLOOKUP(B978,'MASTER DATA'!$A$1:$E$212,4,FALSE),"")</f>
        <v/>
      </c>
      <c r="G978" s="17"/>
      <c r="H978" s="17"/>
      <c r="I978" s="17"/>
      <c r="J978" s="17" t="b">
        <v>0</v>
      </c>
    </row>
    <row r="979">
      <c r="A979" s="17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 t="str">
        <f>IFERROR(VLOOKUP(B979,'MASTER DATA'!$A$1:$E$212,4,FALSE),"")</f>
        <v/>
      </c>
      <c r="G979" s="17"/>
      <c r="H979" s="17"/>
      <c r="I979" s="17"/>
      <c r="J979" s="17" t="b">
        <v>0</v>
      </c>
    </row>
    <row r="980">
      <c r="A980" s="17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 t="str">
        <f>IFERROR(VLOOKUP(B980,'MASTER DATA'!$A$1:$E$212,4,FALSE),"")</f>
        <v/>
      </c>
      <c r="G980" s="17"/>
      <c r="H980" s="17"/>
      <c r="I980" s="17"/>
      <c r="J980" s="17" t="b">
        <v>0</v>
      </c>
    </row>
    <row r="981">
      <c r="A981" s="17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 t="str">
        <f>IFERROR(VLOOKUP(B981,'MASTER DATA'!$A$1:$E$212,4,FALSE),"")</f>
        <v/>
      </c>
      <c r="G981" s="17"/>
      <c r="H981" s="17"/>
      <c r="I981" s="17"/>
      <c r="J981" s="17" t="b">
        <v>0</v>
      </c>
    </row>
    <row r="982">
      <c r="A982" s="17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 t="str">
        <f>IFERROR(VLOOKUP(B982,'MASTER DATA'!$A$1:$E$212,4,FALSE),"")</f>
        <v/>
      </c>
      <c r="G982" s="17"/>
      <c r="H982" s="17"/>
      <c r="I982" s="17"/>
      <c r="J982" s="17" t="b">
        <v>0</v>
      </c>
    </row>
    <row r="983">
      <c r="A983" s="17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 t="str">
        <f>IFERROR(VLOOKUP(B983,'MASTER DATA'!$A$1:$E$212,4,FALSE),"")</f>
        <v/>
      </c>
      <c r="G983" s="17"/>
      <c r="H983" s="17"/>
      <c r="I983" s="17"/>
      <c r="J983" s="17" t="b">
        <v>0</v>
      </c>
    </row>
    <row r="984">
      <c r="A984" s="17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 t="str">
        <f>IFERROR(VLOOKUP(B984,'MASTER DATA'!$A$1:$E$212,4,FALSE),"")</f>
        <v/>
      </c>
      <c r="G984" s="17"/>
      <c r="H984" s="17"/>
      <c r="I984" s="17"/>
      <c r="J984" s="17" t="b">
        <v>0</v>
      </c>
    </row>
    <row r="985">
      <c r="A985" s="17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 t="str">
        <f>IFERROR(VLOOKUP(B985,'MASTER DATA'!$A$1:$E$212,4,FALSE),"")</f>
        <v/>
      </c>
      <c r="G985" s="17"/>
      <c r="H985" s="17"/>
      <c r="I985" s="17"/>
      <c r="J985" s="17" t="b">
        <v>0</v>
      </c>
    </row>
    <row r="986">
      <c r="A986" s="17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 t="str">
        <f>IFERROR(VLOOKUP(B986,'MASTER DATA'!$A$1:$E$212,4,FALSE),"")</f>
        <v/>
      </c>
      <c r="G986" s="17"/>
      <c r="H986" s="17"/>
      <c r="I986" s="17"/>
      <c r="J986" s="17" t="b">
        <v>0</v>
      </c>
    </row>
    <row r="987">
      <c r="A987" s="17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 t="str">
        <f>IFERROR(VLOOKUP(B987,'MASTER DATA'!$A$1:$E$212,4,FALSE),"")</f>
        <v/>
      </c>
      <c r="G987" s="17"/>
      <c r="H987" s="17"/>
      <c r="I987" s="17"/>
      <c r="J987" s="17" t="b">
        <v>0</v>
      </c>
    </row>
    <row r="988">
      <c r="A988" s="17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 t="str">
        <f>IFERROR(VLOOKUP(B988,'MASTER DATA'!$A$1:$E$212,4,FALSE),"")</f>
        <v/>
      </c>
      <c r="G988" s="17"/>
      <c r="H988" s="17"/>
      <c r="I988" s="17"/>
      <c r="J988" s="17" t="b">
        <v>0</v>
      </c>
    </row>
    <row r="989">
      <c r="A989" s="17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 t="str">
        <f>IFERROR(VLOOKUP(B989,'MASTER DATA'!$A$1:$E$212,4,FALSE),"")</f>
        <v/>
      </c>
      <c r="G989" s="17"/>
      <c r="H989" s="17"/>
      <c r="I989" s="17"/>
      <c r="J989" s="17" t="b">
        <v>0</v>
      </c>
    </row>
    <row r="990">
      <c r="A990" s="17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 t="str">
        <f>IFERROR(VLOOKUP(B990,'MASTER DATA'!$A$1:$E$212,4,FALSE),"")</f>
        <v/>
      </c>
      <c r="G990" s="17"/>
      <c r="H990" s="17"/>
      <c r="I990" s="17"/>
      <c r="J990" s="17" t="b">
        <v>0</v>
      </c>
    </row>
    <row r="991">
      <c r="A991" s="17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 t="str">
        <f>IFERROR(VLOOKUP(B991,'MASTER DATA'!$A$1:$E$212,4,FALSE),"")</f>
        <v/>
      </c>
      <c r="G991" s="17"/>
      <c r="H991" s="17"/>
      <c r="I991" s="17"/>
      <c r="J991" s="17" t="b">
        <v>0</v>
      </c>
    </row>
    <row r="992">
      <c r="A992" s="17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 t="str">
        <f>IFERROR(VLOOKUP(B992,'MASTER DATA'!$A$1:$E$212,4,FALSE),"")</f>
        <v/>
      </c>
      <c r="G992" s="17"/>
      <c r="H992" s="17"/>
      <c r="I992" s="17"/>
      <c r="J992" s="17" t="b">
        <v>0</v>
      </c>
    </row>
    <row r="993">
      <c r="A993" s="17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 t="str">
        <f>IFERROR(VLOOKUP(B993,'MASTER DATA'!$A$1:$E$212,4,FALSE),"")</f>
        <v/>
      </c>
      <c r="G993" s="17"/>
      <c r="H993" s="17"/>
      <c r="I993" s="17"/>
      <c r="J993" s="17" t="b">
        <v>0</v>
      </c>
    </row>
    <row r="994">
      <c r="A994" s="17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 t="str">
        <f>IFERROR(VLOOKUP(B994,'MASTER DATA'!$A$1:$E$212,4,FALSE),"")</f>
        <v/>
      </c>
      <c r="G994" s="17"/>
      <c r="H994" s="17"/>
      <c r="I994" s="17"/>
      <c r="J994" s="17" t="b">
        <v>0</v>
      </c>
    </row>
    <row r="995">
      <c r="A995" s="17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 t="str">
        <f>IFERROR(VLOOKUP(B995,'MASTER DATA'!$A$1:$E$212,4,FALSE),"")</f>
        <v/>
      </c>
      <c r="G995" s="17"/>
      <c r="H995" s="17"/>
      <c r="I995" s="17"/>
      <c r="J995" s="17" t="b">
        <v>0</v>
      </c>
    </row>
    <row r="996">
      <c r="A996" s="17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 t="str">
        <f>IFERROR(VLOOKUP(B996,'MASTER DATA'!$A$1:$E$212,4,FALSE),"")</f>
        <v/>
      </c>
      <c r="G996" s="17"/>
      <c r="H996" s="17"/>
      <c r="I996" s="17"/>
      <c r="J996" s="17" t="b">
        <v>0</v>
      </c>
    </row>
    <row r="997">
      <c r="A997" s="17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 t="str">
        <f>IFERROR(VLOOKUP(B997,'MASTER DATA'!$A$1:$E$212,4,FALSE),"")</f>
        <v/>
      </c>
      <c r="G997" s="17"/>
      <c r="H997" s="17"/>
      <c r="I997" s="17"/>
      <c r="J997" s="17" t="b">
        <v>0</v>
      </c>
    </row>
    <row r="998">
      <c r="A998" s="17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 t="str">
        <f>IFERROR(VLOOKUP(B998,'MASTER DATA'!$A$1:$E$212,4,FALSE),"")</f>
        <v/>
      </c>
      <c r="G998" s="17"/>
      <c r="H998" s="17"/>
      <c r="I998" s="17"/>
      <c r="J998" s="17" t="b">
        <v>0</v>
      </c>
    </row>
    <row r="999">
      <c r="A999" s="17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 t="str">
        <f>IFERROR(VLOOKUP(B999,'MASTER DATA'!$A$1:$E$212,4,FALSE),"")</f>
        <v/>
      </c>
      <c r="G999" s="17"/>
      <c r="H999" s="17"/>
      <c r="I999" s="17"/>
      <c r="J999" s="17" t="b">
        <v>0</v>
      </c>
    </row>
    <row r="1000">
      <c r="A1000" s="17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 t="str">
        <f>IFERROR(VLOOKUP(B1000,'MASTER DATA'!$A$1:$E$212,4,FALSE),"")</f>
        <v/>
      </c>
      <c r="G1000" s="17"/>
      <c r="H1000" s="17"/>
      <c r="I1000" s="17"/>
      <c r="J1000" s="17" t="b">
        <v>0</v>
      </c>
    </row>
    <row r="1001">
      <c r="A1001" s="17"/>
      <c r="B1001" s="17"/>
      <c r="C1001" s="17" t="str">
        <f>IFERROR(VLOOKUP(B1001,'MASTER DATA'!$A$1:$E$212,2,FALSE),"")</f>
        <v/>
      </c>
      <c r="D1001" s="17" t="str">
        <f>IFERROR(VLOOKUP(B1001,'MASTER DATA'!$A$1:$E$212,5,FALSE),"")</f>
        <v/>
      </c>
      <c r="E1001" s="17"/>
      <c r="F1001" s="17" t="str">
        <f>IFERROR(VLOOKUP(B1001,'MASTER DATA'!$A$1:$E$212,4,FALSE),"")</f>
        <v/>
      </c>
      <c r="G1001" s="17"/>
      <c r="H1001" s="17"/>
      <c r="I1001" s="17"/>
      <c r="J1001" s="17" t="b">
        <v>0</v>
      </c>
    </row>
    <row r="1002">
      <c r="A1002" s="17"/>
      <c r="B1002" s="17"/>
      <c r="C1002" s="17" t="str">
        <f>IFERROR(VLOOKUP(B1002,'MASTER DATA'!$A$1:$E$212,2,FALSE),"")</f>
        <v/>
      </c>
      <c r="D1002" s="17" t="str">
        <f>IFERROR(VLOOKUP(B1002,'MASTER DATA'!$A$1:$E$212,5,FALSE),"")</f>
        <v/>
      </c>
      <c r="E1002" s="17"/>
      <c r="F1002" s="17" t="str">
        <f>IFERROR(VLOOKUP(B1002,'MASTER DATA'!$A$1:$E$212,4,FALSE),"")</f>
        <v/>
      </c>
      <c r="G1002" s="17"/>
      <c r="H1002" s="17"/>
      <c r="I1002" s="17"/>
      <c r="J1002" s="17" t="b">
        <v>0</v>
      </c>
    </row>
  </sheetData>
  <mergeCells count="4">
    <mergeCell ref="A1:J1"/>
    <mergeCell ref="A2:J2"/>
    <mergeCell ref="A3:J3"/>
    <mergeCell ref="A4:J4"/>
  </mergeCells>
  <dataValidations>
    <dataValidation type="list" allowBlank="1" showDropDown="1" showErrorMessage="1" sqref="B7:B59 B61:B1002">
      <formula1>'MASTER DATA'!$A$2:$A$215</formula1>
    </dataValidation>
    <dataValidation type="list" allowBlank="1" showErrorMessage="1" sqref="I7:I1002">
      <formula1>"Waste,Spoil,Training,Discontinued,Test food/kalibrasi"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7" max="7" width="17.29"/>
    <col customWidth="1" min="9" max="9" width="23.71"/>
  </cols>
  <sheetData>
    <row r="1">
      <c r="A1" s="1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1132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/>
      <c r="C6" s="16" t="s">
        <v>7</v>
      </c>
      <c r="D6" s="16" t="s">
        <v>8</v>
      </c>
      <c r="E6" s="4" t="s">
        <v>10</v>
      </c>
      <c r="F6" s="16" t="s">
        <v>9</v>
      </c>
      <c r="G6" s="4" t="s">
        <v>1133</v>
      </c>
      <c r="H6" s="4" t="s">
        <v>12</v>
      </c>
      <c r="I6" s="4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6">
        <v>46266.0</v>
      </c>
      <c r="B7" s="18" t="s">
        <v>108</v>
      </c>
      <c r="C7" s="17" t="str">
        <f>IFERROR(VLOOKUP(B7,'MASTER DATA'!$A$1:$E$212,2,FALSE),"")</f>
        <v>BB-100500</v>
      </c>
      <c r="D7" s="17" t="str">
        <f>IFERROR(VLOOKUP(B7,'MASTER DATA'!$A$1:$E$212,5,FALSE),"")</f>
        <v>BAHAN BAKU LUUCA</v>
      </c>
      <c r="E7" s="44" t="s">
        <v>879</v>
      </c>
      <c r="F7" s="17" t="str">
        <f>IFERROR(VLOOKUP(B7,'MASTER DATA'!$A$1:$E$212,4,FALSE),"")</f>
        <v>GR</v>
      </c>
      <c r="G7" s="18" t="s">
        <v>797</v>
      </c>
      <c r="H7" s="44" t="s">
        <v>1114</v>
      </c>
      <c r="I7" s="18" t="s">
        <v>1034</v>
      </c>
      <c r="J7" s="18" t="b">
        <v>1</v>
      </c>
    </row>
    <row r="8">
      <c r="A8" s="36">
        <v>46267.0</v>
      </c>
      <c r="B8" s="18" t="s">
        <v>33</v>
      </c>
      <c r="C8" s="17" t="str">
        <f>IFERROR(VLOOKUP(B8,'MASTER DATA'!$A$1:$E$212,2,FALSE),"")</f>
        <v>BB-100022</v>
      </c>
      <c r="D8" s="17" t="str">
        <f>IFERROR(VLOOKUP(B8,'MASTER DATA'!$A$1:$E$212,5,FALSE),"")</f>
        <v>BAHAN BAKU LUUCA</v>
      </c>
      <c r="E8" s="44" t="s">
        <v>1135</v>
      </c>
      <c r="F8" s="17" t="str">
        <f>IFERROR(VLOOKUP(B8,'MASTER DATA'!$A$1:$E$212,4,FALSE),"")</f>
        <v>GR</v>
      </c>
      <c r="G8" s="18" t="s">
        <v>703</v>
      </c>
      <c r="H8" s="44" t="s">
        <v>1114</v>
      </c>
      <c r="I8" s="18" t="s">
        <v>1034</v>
      </c>
      <c r="J8" s="18" t="b">
        <v>1</v>
      </c>
    </row>
    <row r="9">
      <c r="A9" s="36"/>
      <c r="B9" s="18" t="s">
        <v>34</v>
      </c>
      <c r="C9" s="17" t="str">
        <f>IFERROR(VLOOKUP(B9,'MASTER DATA'!$A$1:$E$212,2,FALSE),"")</f>
        <v>BB-100023</v>
      </c>
      <c r="D9" s="17" t="str">
        <f>IFERROR(VLOOKUP(B9,'MASTER DATA'!$A$1:$E$212,5,FALSE),"")</f>
        <v>BAHAN BAKU LUUCA</v>
      </c>
      <c r="E9" s="44" t="s">
        <v>1136</v>
      </c>
      <c r="F9" s="17" t="str">
        <f>IFERROR(VLOOKUP(B9,'MASTER DATA'!$A$1:$E$212,4,FALSE),"")</f>
        <v>GR</v>
      </c>
      <c r="G9" s="18" t="s">
        <v>703</v>
      </c>
      <c r="H9" s="44" t="s">
        <v>1114</v>
      </c>
      <c r="I9" s="18" t="s">
        <v>1034</v>
      </c>
      <c r="J9" s="18" t="b">
        <v>1</v>
      </c>
    </row>
    <row r="10">
      <c r="A10" s="18" t="s">
        <v>1086</v>
      </c>
      <c r="B10" s="18" t="s">
        <v>108</v>
      </c>
      <c r="C10" s="17" t="str">
        <f>IFERROR(VLOOKUP(B10,'MASTER DATA'!$A$1:$E$212,2,FALSE),"")</f>
        <v>BB-100500</v>
      </c>
      <c r="D10" s="17" t="str">
        <f>IFERROR(VLOOKUP(B10,'MASTER DATA'!$A$1:$E$212,5,FALSE),"")</f>
        <v>BAHAN BAKU LUUCA</v>
      </c>
      <c r="E10" s="44" t="s">
        <v>693</v>
      </c>
      <c r="F10" s="17" t="str">
        <f>IFERROR(VLOOKUP(B10,'MASTER DATA'!$A$1:$E$212,4,FALSE),"")</f>
        <v>GR</v>
      </c>
      <c r="G10" s="18" t="s">
        <v>797</v>
      </c>
      <c r="H10" s="44" t="s">
        <v>1114</v>
      </c>
      <c r="I10" s="18" t="s">
        <v>1034</v>
      </c>
      <c r="J10" s="18" t="b">
        <v>1</v>
      </c>
    </row>
    <row r="11">
      <c r="A11" s="18" t="s">
        <v>1086</v>
      </c>
      <c r="B11" s="18" t="s">
        <v>109</v>
      </c>
      <c r="C11" s="17" t="str">
        <f>IFERROR(VLOOKUP(B11,'MASTER DATA'!$A$1:$E$212,2,FALSE),"")</f>
        <v>BB-100501</v>
      </c>
      <c r="D11" s="17" t="str">
        <f>IFERROR(VLOOKUP(B11,'MASTER DATA'!$A$1:$E$212,5,FALSE),"")</f>
        <v>BAHAN BAKU LUUCA</v>
      </c>
      <c r="E11" s="44" t="s">
        <v>1137</v>
      </c>
      <c r="F11" s="17" t="str">
        <f>IFERROR(VLOOKUP(B11,'MASTER DATA'!$A$1:$E$212,4,FALSE),"")</f>
        <v>GR</v>
      </c>
      <c r="G11" s="18" t="s">
        <v>1120</v>
      </c>
      <c r="H11" s="44" t="s">
        <v>1114</v>
      </c>
      <c r="I11" s="18" t="s">
        <v>1034</v>
      </c>
      <c r="J11" s="18" t="b">
        <v>1</v>
      </c>
    </row>
    <row r="12">
      <c r="A12" s="17"/>
      <c r="B12" s="18" t="s">
        <v>109</v>
      </c>
      <c r="C12" s="17" t="str">
        <f>IFERROR(VLOOKUP(B12,'MASTER DATA'!$A$1:$E$212,2,FALSE),"")</f>
        <v>BB-100501</v>
      </c>
      <c r="D12" s="17" t="str">
        <f>IFERROR(VLOOKUP(B12,'MASTER DATA'!$A$1:$E$212,5,FALSE),"")</f>
        <v>BAHAN BAKU LUUCA</v>
      </c>
      <c r="E12" s="44" t="s">
        <v>1138</v>
      </c>
      <c r="F12" s="17" t="str">
        <f>IFERROR(VLOOKUP(B12,'MASTER DATA'!$A$1:$E$212,4,FALSE),"")</f>
        <v>GR</v>
      </c>
      <c r="G12" s="18" t="s">
        <v>496</v>
      </c>
      <c r="H12" s="44" t="s">
        <v>1114</v>
      </c>
      <c r="I12" s="18" t="s">
        <v>1041</v>
      </c>
      <c r="J12" s="18" t="b">
        <v>1</v>
      </c>
    </row>
    <row r="13">
      <c r="A13" s="17"/>
      <c r="B13" s="18" t="s">
        <v>108</v>
      </c>
      <c r="C13" s="17" t="str">
        <f>IFERROR(VLOOKUP(B13,'MASTER DATA'!$A$1:$E$212,2,FALSE),"")</f>
        <v>BB-100500</v>
      </c>
      <c r="D13" s="17" t="str">
        <f>IFERROR(VLOOKUP(B13,'MASTER DATA'!$A$1:$E$212,5,FALSE),"")</f>
        <v>BAHAN BAKU LUUCA</v>
      </c>
      <c r="E13" s="44">
        <v>10.0</v>
      </c>
      <c r="F13" s="17" t="str">
        <f>IFERROR(VLOOKUP(B13,'MASTER DATA'!$A$1:$E$212,4,FALSE),"")</f>
        <v>GR</v>
      </c>
      <c r="G13" s="18" t="s">
        <v>797</v>
      </c>
      <c r="H13" s="44" t="s">
        <v>888</v>
      </c>
      <c r="I13" s="18" t="s">
        <v>1034</v>
      </c>
      <c r="J13" s="18" t="b">
        <v>1</v>
      </c>
    </row>
    <row r="14">
      <c r="A14" s="36">
        <v>46268.0</v>
      </c>
      <c r="B14" s="18" t="s">
        <v>108</v>
      </c>
      <c r="C14" s="17" t="str">
        <f>IFERROR(VLOOKUP(B14,'MASTER DATA'!$A$1:$E$212,2,FALSE),"")</f>
        <v>BB-100500</v>
      </c>
      <c r="D14" s="17" t="str">
        <f>IFERROR(VLOOKUP(B14,'MASTER DATA'!$A$1:$E$212,5,FALSE),"")</f>
        <v>BAHAN BAKU LUUCA</v>
      </c>
      <c r="E14" s="44">
        <f>9+13</f>
        <v>22</v>
      </c>
      <c r="F14" s="17" t="str">
        <f>IFERROR(VLOOKUP(B14,'MASTER DATA'!$A$1:$E$212,4,FALSE),"")</f>
        <v>GR</v>
      </c>
      <c r="G14" s="18" t="s">
        <v>797</v>
      </c>
      <c r="H14" s="44" t="s">
        <v>888</v>
      </c>
      <c r="I14" s="18" t="s">
        <v>1034</v>
      </c>
      <c r="J14" s="18" t="b">
        <v>1</v>
      </c>
    </row>
    <row r="15">
      <c r="A15" s="17"/>
      <c r="B15" s="18" t="s">
        <v>108</v>
      </c>
      <c r="C15" s="17" t="str">
        <f>IFERROR(VLOOKUP(B15,'MASTER DATA'!$A$1:$E$212,2,FALSE),"")</f>
        <v>BB-100500</v>
      </c>
      <c r="D15" s="17" t="str">
        <f>IFERROR(VLOOKUP(B15,'MASTER DATA'!$A$1:$E$212,5,FALSE),"")</f>
        <v>BAHAN BAKU LUUCA</v>
      </c>
      <c r="E15" s="44">
        <f>3+73</f>
        <v>76</v>
      </c>
      <c r="F15" s="17" t="str">
        <f>IFERROR(VLOOKUP(B15,'MASTER DATA'!$A$1:$E$212,4,FALSE),"")</f>
        <v>GR</v>
      </c>
      <c r="G15" s="18" t="s">
        <v>819</v>
      </c>
      <c r="H15" s="44" t="s">
        <v>888</v>
      </c>
      <c r="I15" s="18" t="s">
        <v>1041</v>
      </c>
      <c r="J15" s="18" t="b">
        <v>1</v>
      </c>
    </row>
    <row r="16">
      <c r="A16" s="36">
        <v>46269.0</v>
      </c>
      <c r="B16" s="18" t="s">
        <v>108</v>
      </c>
      <c r="C16" s="17" t="str">
        <f>IFERROR(VLOOKUP(B16,'MASTER DATA'!$A$1:$E$212,2,FALSE),"")</f>
        <v>BB-100500</v>
      </c>
      <c r="D16" s="17" t="str">
        <f>IFERROR(VLOOKUP(B16,'MASTER DATA'!$A$1:$E$212,5,FALSE),"")</f>
        <v>BAHAN BAKU LUUCA</v>
      </c>
      <c r="E16" s="44">
        <f>17+19</f>
        <v>36</v>
      </c>
      <c r="F16" s="17" t="str">
        <f>IFERROR(VLOOKUP(B16,'MASTER DATA'!$A$1:$E$212,4,FALSE),"")</f>
        <v>GR</v>
      </c>
      <c r="G16" s="18" t="s">
        <v>797</v>
      </c>
      <c r="H16" s="44" t="s">
        <v>1079</v>
      </c>
      <c r="I16" s="18" t="s">
        <v>1034</v>
      </c>
      <c r="J16" s="17" t="b">
        <v>0</v>
      </c>
    </row>
    <row r="17">
      <c r="A17" s="17"/>
      <c r="B17" s="18" t="s">
        <v>108</v>
      </c>
      <c r="C17" s="17" t="str">
        <f>IFERROR(VLOOKUP(B17,'MASTER DATA'!$A$1:$E$212,2,FALSE),"")</f>
        <v>BB-100500</v>
      </c>
      <c r="D17" s="17" t="str">
        <f>IFERROR(VLOOKUP(B17,'MASTER DATA'!$A$1:$E$212,5,FALSE),"")</f>
        <v>BAHAN BAKU LUUCA</v>
      </c>
      <c r="E17" s="44">
        <f>74</f>
        <v>74</v>
      </c>
      <c r="F17" s="17" t="str">
        <f>IFERROR(VLOOKUP(B17,'MASTER DATA'!$A$1:$E$212,4,FALSE),"")</f>
        <v>GR</v>
      </c>
      <c r="G17" s="18" t="s">
        <v>819</v>
      </c>
      <c r="H17" s="44" t="s">
        <v>1114</v>
      </c>
      <c r="I17" s="18" t="s">
        <v>1041</v>
      </c>
      <c r="J17" s="17" t="b">
        <v>0</v>
      </c>
    </row>
    <row r="18">
      <c r="A18" s="36">
        <v>46270.0</v>
      </c>
      <c r="B18" s="18" t="s">
        <v>108</v>
      </c>
      <c r="C18" s="17" t="str">
        <f>IFERROR(VLOOKUP(B18,'MASTER DATA'!$A$1:$E$212,2,FALSE),"")</f>
        <v>BB-100500</v>
      </c>
      <c r="D18" s="17" t="str">
        <f>IFERROR(VLOOKUP(B18,'MASTER DATA'!$A$1:$E$212,5,FALSE),"")</f>
        <v>BAHAN BAKU LUUCA</v>
      </c>
      <c r="E18" s="38">
        <f>17+21</f>
        <v>38</v>
      </c>
      <c r="F18" s="17" t="str">
        <f>IFERROR(VLOOKUP(B18,'MASTER DATA'!$A$1:$E$212,4,FALSE),"")</f>
        <v>GR</v>
      </c>
      <c r="G18" s="18" t="s">
        <v>797</v>
      </c>
      <c r="H18" s="44" t="s">
        <v>1071</v>
      </c>
      <c r="I18" s="18" t="s">
        <v>1034</v>
      </c>
      <c r="J18" s="17" t="b">
        <v>0</v>
      </c>
    </row>
    <row r="19">
      <c r="A19" s="17"/>
      <c r="B19" s="18" t="s">
        <v>53</v>
      </c>
      <c r="C19" s="17" t="str">
        <f>IFERROR(VLOOKUP(B19,'MASTER DATA'!$A$1:$E$212,2,FALSE),"")</f>
        <v>BB-100502</v>
      </c>
      <c r="D19" s="17" t="str">
        <f>IFERROR(VLOOKUP(B19,'MASTER DATA'!$A$1:$E$212,5,FALSE),"")</f>
        <v>BAHAN BAKU LUUCA</v>
      </c>
      <c r="E19" s="44">
        <f>29+28</f>
        <v>57</v>
      </c>
      <c r="F19" s="17" t="str">
        <f>IFERROR(VLOOKUP(B19,'MASTER DATA'!$A$1:$E$212,4,FALSE),"")</f>
        <v>GR</v>
      </c>
      <c r="G19" s="18" t="s">
        <v>921</v>
      </c>
      <c r="H19" s="44" t="s">
        <v>1071</v>
      </c>
      <c r="I19" s="18" t="s">
        <v>1034</v>
      </c>
      <c r="J19" s="17" t="b">
        <v>0</v>
      </c>
    </row>
    <row r="20">
      <c r="A20" s="36">
        <v>46271.0</v>
      </c>
      <c r="B20" s="18" t="s">
        <v>53</v>
      </c>
      <c r="C20" s="17" t="str">
        <f>IFERROR(VLOOKUP(B20,'MASTER DATA'!$A$1:$E$212,2,FALSE),"")</f>
        <v>BB-100502</v>
      </c>
      <c r="D20" s="17" t="str">
        <f>IFERROR(VLOOKUP(B20,'MASTER DATA'!$A$1:$E$212,5,FALSE),"")</f>
        <v>BAHAN BAKU LUUCA</v>
      </c>
      <c r="E20" s="44">
        <f>34</f>
        <v>34</v>
      </c>
      <c r="F20" s="17" t="str">
        <f>IFERROR(VLOOKUP(B20,'MASTER DATA'!$A$1:$E$212,4,FALSE),"")</f>
        <v>GR</v>
      </c>
      <c r="G20" s="18" t="s">
        <v>921</v>
      </c>
      <c r="H20" s="44" t="s">
        <v>595</v>
      </c>
      <c r="I20" s="18" t="s">
        <v>1034</v>
      </c>
      <c r="J20" s="17" t="b">
        <v>0</v>
      </c>
    </row>
    <row r="21">
      <c r="A21" s="17"/>
      <c r="B21" s="18" t="s">
        <v>33</v>
      </c>
      <c r="C21" s="17" t="str">
        <f>IFERROR(VLOOKUP(B21,'MASTER DATA'!$A$1:$E$212,2,FALSE),"")</f>
        <v>BB-100022</v>
      </c>
      <c r="D21" s="17" t="str">
        <f>IFERROR(VLOOKUP(B21,'MASTER DATA'!$A$1:$E$212,5,FALSE),"")</f>
        <v>BAHAN BAKU LUUCA</v>
      </c>
      <c r="E21" s="44">
        <v>718.0</v>
      </c>
      <c r="F21" s="17" t="str">
        <f>IFERROR(VLOOKUP(B21,'MASTER DATA'!$A$1:$E$212,4,FALSE),"")</f>
        <v>GR</v>
      </c>
      <c r="G21" s="18" t="s">
        <v>703</v>
      </c>
      <c r="H21" s="44" t="s">
        <v>595</v>
      </c>
      <c r="I21" s="18" t="s">
        <v>1034</v>
      </c>
      <c r="J21" s="17" t="b">
        <v>0</v>
      </c>
    </row>
    <row r="22">
      <c r="A22" s="36"/>
      <c r="B22" s="18" t="s">
        <v>108</v>
      </c>
      <c r="C22" s="17" t="str">
        <f>IFERROR(VLOOKUP(B22,'MASTER DATA'!$A$1:$E$212,2,FALSE),"")</f>
        <v>BB-100500</v>
      </c>
      <c r="D22" s="17" t="str">
        <f>IFERROR(VLOOKUP(B22,'MASTER DATA'!$A$1:$E$212,5,FALSE),"")</f>
        <v>BAHAN BAKU LUUCA</v>
      </c>
      <c r="E22" s="44">
        <f>11</f>
        <v>11</v>
      </c>
      <c r="F22" s="17" t="str">
        <f>IFERROR(VLOOKUP(B22,'MASTER DATA'!$A$1:$E$212,4,FALSE),"")</f>
        <v>GR</v>
      </c>
      <c r="G22" s="18" t="s">
        <v>797</v>
      </c>
      <c r="H22" s="44" t="s">
        <v>888</v>
      </c>
      <c r="I22" s="18" t="s">
        <v>1034</v>
      </c>
      <c r="J22" s="17" t="b">
        <v>0</v>
      </c>
    </row>
    <row r="23">
      <c r="A23" s="17"/>
      <c r="B23" s="18" t="s">
        <v>108</v>
      </c>
      <c r="C23" s="17" t="str">
        <f>IFERROR(VLOOKUP(B23,'MASTER DATA'!$A$1:$E$212,2,FALSE),"")</f>
        <v>BB-100500</v>
      </c>
      <c r="D23" s="17" t="str">
        <f>IFERROR(VLOOKUP(B23,'MASTER DATA'!$A$1:$E$212,5,FALSE),"")</f>
        <v>BAHAN BAKU LUUCA</v>
      </c>
      <c r="E23" s="44">
        <f>5</f>
        <v>5</v>
      </c>
      <c r="F23" s="17" t="str">
        <f>IFERROR(VLOOKUP(B23,'MASTER DATA'!$A$1:$E$212,4,FALSE),"")</f>
        <v>GR</v>
      </c>
      <c r="G23" s="18" t="s">
        <v>819</v>
      </c>
      <c r="H23" s="44" t="s">
        <v>888</v>
      </c>
      <c r="I23" s="18" t="s">
        <v>1041</v>
      </c>
      <c r="J23" s="17" t="b">
        <v>0</v>
      </c>
    </row>
    <row r="24">
      <c r="A24" s="36"/>
      <c r="B24" s="18" t="s">
        <v>220</v>
      </c>
      <c r="C24" s="17" t="str">
        <f>IFERROR(VLOOKUP(B24,'MASTER DATA'!$A$1:$E$212,2,FALSE),"")</f>
        <v>BB-100507</v>
      </c>
      <c r="D24" s="17" t="str">
        <f>IFERROR(VLOOKUP(B24,'MASTER DATA'!$A$1:$E$212,5,FALSE),"")</f>
        <v>PRODUKSI STOK LUUCA</v>
      </c>
      <c r="E24" s="44">
        <v>5.0</v>
      </c>
      <c r="F24" s="17" t="str">
        <f>IFERROR(VLOOKUP(B24,'MASTER DATA'!$A$1:$E$212,4,FALSE),"")</f>
        <v>PCS</v>
      </c>
      <c r="G24" s="18" t="s">
        <v>830</v>
      </c>
      <c r="H24" s="44" t="s">
        <v>595</v>
      </c>
      <c r="I24" s="18" t="s">
        <v>1041</v>
      </c>
      <c r="J24" s="17" t="b">
        <v>0</v>
      </c>
    </row>
    <row r="25">
      <c r="A25" s="18" t="s">
        <v>1140</v>
      </c>
      <c r="B25" s="18" t="s">
        <v>108</v>
      </c>
      <c r="C25" s="17" t="str">
        <f>IFERROR(VLOOKUP(B25,'MASTER DATA'!$A$1:$E$212,2,FALSE),"")</f>
        <v>BB-100500</v>
      </c>
      <c r="D25" s="17" t="str">
        <f>IFERROR(VLOOKUP(B25,'MASTER DATA'!$A$1:$E$212,5,FALSE),"")</f>
        <v>BAHAN BAKU LUUCA</v>
      </c>
      <c r="E25" s="44">
        <f>16</f>
        <v>16</v>
      </c>
      <c r="F25" s="17" t="str">
        <f>IFERROR(VLOOKUP(B25,'MASTER DATA'!$A$1:$E$212,4,FALSE),"")</f>
        <v>GR</v>
      </c>
      <c r="G25" s="18" t="s">
        <v>496</v>
      </c>
      <c r="H25" s="44" t="s">
        <v>1079</v>
      </c>
      <c r="I25" s="18" t="s">
        <v>1041</v>
      </c>
      <c r="J25" s="17" t="b">
        <v>0</v>
      </c>
    </row>
    <row r="26">
      <c r="A26" s="36">
        <v>46273.0</v>
      </c>
      <c r="B26" s="18" t="s">
        <v>109</v>
      </c>
      <c r="C26" s="17" t="str">
        <f>IFERROR(VLOOKUP(B26,'MASTER DATA'!$A$1:$E$212,2,FALSE),"")</f>
        <v>BB-100501</v>
      </c>
      <c r="D26" s="17" t="str">
        <f>IFERROR(VLOOKUP(B26,'MASTER DATA'!$A$1:$E$212,5,FALSE),"")</f>
        <v>BAHAN BAKU LUUCA</v>
      </c>
      <c r="E26" s="44">
        <f>7+13</f>
        <v>20</v>
      </c>
      <c r="F26" s="17" t="str">
        <f>IFERROR(VLOOKUP(B26,'MASTER DATA'!$A$1:$E$212,4,FALSE),"")</f>
        <v>GR</v>
      </c>
      <c r="G26" s="18" t="s">
        <v>1120</v>
      </c>
      <c r="H26" s="44" t="s">
        <v>1079</v>
      </c>
      <c r="I26" s="18" t="s">
        <v>1034</v>
      </c>
      <c r="J26" s="17" t="b">
        <v>0</v>
      </c>
    </row>
    <row r="27">
      <c r="A27" s="17"/>
      <c r="B27" s="18" t="s">
        <v>108</v>
      </c>
      <c r="C27" s="17" t="str">
        <f>IFERROR(VLOOKUP(B27,'MASTER DATA'!$A$1:$E$212,2,FALSE),"")</f>
        <v>BB-100500</v>
      </c>
      <c r="D27" s="17" t="str">
        <f>IFERROR(VLOOKUP(B27,'MASTER DATA'!$A$1:$E$212,5,FALSE),"")</f>
        <v>BAHAN BAKU LUUCA</v>
      </c>
      <c r="E27" s="44">
        <f>353+115</f>
        <v>468</v>
      </c>
      <c r="F27" s="17" t="str">
        <f>IFERROR(VLOOKUP(B27,'MASTER DATA'!$A$1:$E$212,4,FALSE),"")</f>
        <v>GR</v>
      </c>
      <c r="G27" s="18" t="s">
        <v>496</v>
      </c>
      <c r="H27" s="44" t="s">
        <v>1079</v>
      </c>
      <c r="I27" s="18" t="s">
        <v>1041</v>
      </c>
      <c r="J27" s="17" t="b">
        <v>0</v>
      </c>
    </row>
    <row r="28">
      <c r="A28" s="36"/>
      <c r="B28" s="18" t="s">
        <v>108</v>
      </c>
      <c r="C28" s="17" t="str">
        <f>IFERROR(VLOOKUP(B28,'MASTER DATA'!$A$1:$E$212,2,FALSE),"")</f>
        <v>BB-100500</v>
      </c>
      <c r="D28" s="17" t="str">
        <f>IFERROR(VLOOKUP(B28,'MASTER DATA'!$A$1:$E$212,5,FALSE),"")</f>
        <v>BAHAN BAKU LUUCA</v>
      </c>
      <c r="E28" s="44">
        <f>33</f>
        <v>33</v>
      </c>
      <c r="F28" s="17" t="str">
        <f>IFERROR(VLOOKUP(B28,'MASTER DATA'!$A$1:$E$212,4,FALSE),"")</f>
        <v>GR</v>
      </c>
      <c r="G28" s="18" t="s">
        <v>797</v>
      </c>
      <c r="H28" s="44" t="s">
        <v>1114</v>
      </c>
      <c r="I28" s="18" t="s">
        <v>1034</v>
      </c>
      <c r="J28" s="17" t="b">
        <v>0</v>
      </c>
    </row>
    <row r="29">
      <c r="A29" s="36">
        <v>46274.0</v>
      </c>
      <c r="B29" s="18" t="s">
        <v>53</v>
      </c>
      <c r="C29" s="17" t="str">
        <f>IFERROR(VLOOKUP(B29,'MASTER DATA'!$A$1:$E$212,2,FALSE),"")</f>
        <v>BB-100502</v>
      </c>
      <c r="D29" s="17" t="str">
        <f>IFERROR(VLOOKUP(B29,'MASTER DATA'!$A$1:$E$212,5,FALSE),"")</f>
        <v>BAHAN BAKU LUUCA</v>
      </c>
      <c r="E29" s="44">
        <f>6</f>
        <v>6</v>
      </c>
      <c r="F29" s="17" t="str">
        <f>IFERROR(VLOOKUP(B29,'MASTER DATA'!$A$1:$E$212,4,FALSE),"")</f>
        <v>GR</v>
      </c>
      <c r="G29" s="18" t="s">
        <v>819</v>
      </c>
      <c r="H29" s="44" t="s">
        <v>1016</v>
      </c>
      <c r="I29" s="18" t="s">
        <v>1041</v>
      </c>
      <c r="J29" s="17" t="b">
        <v>0</v>
      </c>
    </row>
    <row r="30">
      <c r="A30" s="17"/>
      <c r="B30" s="18" t="s">
        <v>34</v>
      </c>
      <c r="C30" s="17" t="str">
        <f>IFERROR(VLOOKUP(B30,'MASTER DATA'!$A$1:$E$212,2,FALSE),"")</f>
        <v>BB-100023</v>
      </c>
      <c r="D30" s="17" t="str">
        <f>IFERROR(VLOOKUP(B30,'MASTER DATA'!$A$1:$E$212,5,FALSE),"")</f>
        <v>BAHAN BAKU LUUCA</v>
      </c>
      <c r="E30" s="44" t="s">
        <v>1142</v>
      </c>
      <c r="F30" s="17" t="str">
        <f>IFERROR(VLOOKUP(B30,'MASTER DATA'!$A$1:$E$212,4,FALSE),"")</f>
        <v>GR</v>
      </c>
      <c r="G30" s="18" t="s">
        <v>703</v>
      </c>
      <c r="H30" s="44" t="s">
        <v>1016</v>
      </c>
      <c r="I30" s="18" t="s">
        <v>1041</v>
      </c>
      <c r="J30" s="17" t="b">
        <v>0</v>
      </c>
    </row>
    <row r="31">
      <c r="A31" s="36"/>
      <c r="B31" s="18" t="s">
        <v>65</v>
      </c>
      <c r="C31" s="17" t="str">
        <f>IFERROR(VLOOKUP(B31,'MASTER DATA'!$A$1:$E$212,2,FALSE),"")</f>
        <v>BB-100136</v>
      </c>
      <c r="D31" s="17" t="str">
        <f>IFERROR(VLOOKUP(B31,'MASTER DATA'!$A$1:$E$212,5,FALSE),"")</f>
        <v>BAHAN BAKU LUUCA</v>
      </c>
      <c r="E31" s="44">
        <v>1.0</v>
      </c>
      <c r="F31" s="17" t="str">
        <f>IFERROR(VLOOKUP(B31,'MASTER DATA'!$A$1:$E$212,4,FALSE),"")</f>
        <v>PCS</v>
      </c>
      <c r="G31" s="18" t="s">
        <v>886</v>
      </c>
      <c r="H31" s="44" t="s">
        <v>1114</v>
      </c>
      <c r="I31" s="18" t="s">
        <v>1034</v>
      </c>
      <c r="J31" s="17" t="b">
        <v>0</v>
      </c>
    </row>
    <row r="32">
      <c r="A32" s="17"/>
      <c r="B32" s="18" t="s">
        <v>27</v>
      </c>
      <c r="C32" s="17" t="str">
        <f>IFERROR(VLOOKUP(B32,'MASTER DATA'!$A$1:$E$212,2,FALSE),"")</f>
        <v>BB-100007</v>
      </c>
      <c r="D32" s="17" t="str">
        <f>IFERROR(VLOOKUP(B32,'MASTER DATA'!$A$1:$E$212,5,FALSE),"")</f>
        <v>PRODUKSI STOK LUUCA</v>
      </c>
      <c r="E32" s="44">
        <v>40.0</v>
      </c>
      <c r="F32" s="17" t="str">
        <f>IFERROR(VLOOKUP(B32,'MASTER DATA'!$A$1:$E$212,4,FALSE),"")</f>
        <v>GR</v>
      </c>
      <c r="G32" s="18" t="s">
        <v>886</v>
      </c>
      <c r="H32" s="44" t="s">
        <v>1114</v>
      </c>
      <c r="I32" s="18" t="s">
        <v>1034</v>
      </c>
      <c r="J32" s="17" t="b">
        <v>0</v>
      </c>
    </row>
    <row r="33">
      <c r="A33" s="17"/>
      <c r="B33" s="18" t="s">
        <v>108</v>
      </c>
      <c r="C33" s="17" t="str">
        <f>IFERROR(VLOOKUP(B33,'MASTER DATA'!$A$1:$E$212,2,FALSE),"")</f>
        <v>BB-100500</v>
      </c>
      <c r="D33" s="17" t="str">
        <f>IFERROR(VLOOKUP(B33,'MASTER DATA'!$A$1:$E$212,5,FALSE),"")</f>
        <v>BAHAN BAKU LUUCA</v>
      </c>
      <c r="E33" s="44" t="s">
        <v>1143</v>
      </c>
      <c r="F33" s="17" t="str">
        <f>IFERROR(VLOOKUP(B33,'MASTER DATA'!$A$1:$E$212,4,FALSE),"")</f>
        <v>GR</v>
      </c>
      <c r="G33" s="18" t="s">
        <v>797</v>
      </c>
      <c r="H33" s="44" t="s">
        <v>1114</v>
      </c>
      <c r="I33" s="18" t="s">
        <v>1034</v>
      </c>
      <c r="J33" s="17" t="b">
        <v>0</v>
      </c>
    </row>
    <row r="34">
      <c r="A34" s="57"/>
      <c r="B34" s="18" t="s">
        <v>238</v>
      </c>
      <c r="C34" s="17" t="str">
        <f>IFERROR(VLOOKUP(B34,'MASTER DATA'!$A$1:$E$212,2,FALSE),"")</f>
        <v>BB-100517</v>
      </c>
      <c r="D34" s="17" t="str">
        <f>IFERROR(VLOOKUP(B34,'MASTER DATA'!$A$1:$E$212,5,FALSE),"")</f>
        <v>PRODUKSI STOK LUUCA</v>
      </c>
      <c r="E34" s="44">
        <v>2.0</v>
      </c>
      <c r="F34" s="17" t="str">
        <f>IFERROR(VLOOKUP(B34,'MASTER DATA'!$A$1:$E$212,4,FALSE),"")</f>
        <v>PCS</v>
      </c>
      <c r="G34" s="18" t="s">
        <v>1089</v>
      </c>
      <c r="H34" s="44" t="s">
        <v>1114</v>
      </c>
      <c r="I34" s="18" t="s">
        <v>1034</v>
      </c>
      <c r="J34" s="17" t="b">
        <v>0</v>
      </c>
    </row>
    <row r="35">
      <c r="A35" s="17"/>
      <c r="B35" s="18" t="s">
        <v>108</v>
      </c>
      <c r="C35" s="17" t="str">
        <f>IFERROR(VLOOKUP(B35,'MASTER DATA'!$A$1:$E$212,2,FALSE),"")</f>
        <v>BB-100500</v>
      </c>
      <c r="D35" s="17" t="str">
        <f>IFERROR(VLOOKUP(B35,'MASTER DATA'!$A$1:$E$212,5,FALSE),"")</f>
        <v>BAHAN BAKU LUUCA</v>
      </c>
      <c r="E35" s="44">
        <f>22</f>
        <v>22</v>
      </c>
      <c r="F35" s="17" t="str">
        <f>IFERROR(VLOOKUP(B35,'MASTER DATA'!$A$1:$E$212,4,FALSE),"")</f>
        <v>GR</v>
      </c>
      <c r="G35" s="18" t="s">
        <v>819</v>
      </c>
      <c r="H35" s="44" t="s">
        <v>1114</v>
      </c>
      <c r="I35" s="18" t="s">
        <v>1041</v>
      </c>
      <c r="J35" s="17" t="b">
        <v>0</v>
      </c>
    </row>
    <row r="36">
      <c r="A36" s="36">
        <v>46275.0</v>
      </c>
      <c r="B36" s="18" t="s">
        <v>108</v>
      </c>
      <c r="C36" s="17" t="str">
        <f>IFERROR(VLOOKUP(B36,'MASTER DATA'!$A$1:$E$212,2,FALSE),"")</f>
        <v>BB-100500</v>
      </c>
      <c r="D36" s="17" t="str">
        <f>IFERROR(VLOOKUP(B36,'MASTER DATA'!$A$1:$E$212,5,FALSE),"")</f>
        <v>BAHAN BAKU LUUCA</v>
      </c>
      <c r="E36" s="44">
        <f>10+23</f>
        <v>33</v>
      </c>
      <c r="F36" s="17" t="str">
        <f>IFERROR(VLOOKUP(B36,'MASTER DATA'!$A$1:$E$212,4,FALSE),"")</f>
        <v>GR</v>
      </c>
      <c r="G36" s="18" t="s">
        <v>797</v>
      </c>
      <c r="H36" s="44" t="s">
        <v>1071</v>
      </c>
      <c r="I36" s="18" t="s">
        <v>1034</v>
      </c>
      <c r="J36" s="17" t="b">
        <v>0</v>
      </c>
    </row>
    <row r="37">
      <c r="A37" s="17"/>
      <c r="B37" s="18" t="s">
        <v>108</v>
      </c>
      <c r="C37" s="17" t="str">
        <f>IFERROR(VLOOKUP(B37,'MASTER DATA'!$A$1:$E$212,2,FALSE),"")</f>
        <v>BB-100500</v>
      </c>
      <c r="D37" s="17" t="str">
        <f>IFERROR(VLOOKUP(B37,'MASTER DATA'!$A$1:$E$212,5,FALSE),"")</f>
        <v>BAHAN BAKU LUUCA</v>
      </c>
      <c r="E37" s="44">
        <f>95</f>
        <v>95</v>
      </c>
      <c r="F37" s="17" t="str">
        <f>IFERROR(VLOOKUP(B37,'MASTER DATA'!$A$1:$E$212,4,FALSE),"")</f>
        <v>GR</v>
      </c>
      <c r="G37" s="18" t="s">
        <v>496</v>
      </c>
      <c r="H37" s="44" t="s">
        <v>1114</v>
      </c>
      <c r="I37" s="18" t="s">
        <v>1041</v>
      </c>
      <c r="J37" s="17" t="b">
        <v>0</v>
      </c>
    </row>
    <row r="38">
      <c r="A38" s="36">
        <v>46276.0</v>
      </c>
      <c r="B38" s="18" t="s">
        <v>109</v>
      </c>
      <c r="C38" s="17" t="str">
        <f>IFERROR(VLOOKUP(B38,'MASTER DATA'!$A$1:$E$212,2,FALSE),"")</f>
        <v>BB-100501</v>
      </c>
      <c r="D38" s="17" t="str">
        <f>IFERROR(VLOOKUP(B38,'MASTER DATA'!$A$1:$E$212,5,FALSE),"")</f>
        <v>BAHAN BAKU LUUCA</v>
      </c>
      <c r="E38" s="44">
        <f>31+51</f>
        <v>82</v>
      </c>
      <c r="F38" s="17" t="str">
        <f>IFERROR(VLOOKUP(B38,'MASTER DATA'!$A$1:$E$212,4,FALSE),"")</f>
        <v>GR</v>
      </c>
      <c r="G38" s="18" t="s">
        <v>819</v>
      </c>
      <c r="H38" s="44" t="s">
        <v>1016</v>
      </c>
      <c r="I38" s="18" t="s">
        <v>1041</v>
      </c>
      <c r="J38" s="17" t="b">
        <v>0</v>
      </c>
    </row>
    <row r="39">
      <c r="A39" s="57"/>
      <c r="B39" s="18" t="s">
        <v>108</v>
      </c>
      <c r="C39" s="17" t="str">
        <f>IFERROR(VLOOKUP(B39,'MASTER DATA'!$A$1:$E$212,2,FALSE),"")</f>
        <v>BB-100500</v>
      </c>
      <c r="D39" s="17" t="str">
        <f>IFERROR(VLOOKUP(B39,'MASTER DATA'!$A$1:$E$212,5,FALSE),"")</f>
        <v>BAHAN BAKU LUUCA</v>
      </c>
      <c r="E39" s="38">
        <f>261+62</f>
        <v>323</v>
      </c>
      <c r="F39" s="17" t="str">
        <f>IFERROR(VLOOKUP(B39,'MASTER DATA'!$A$1:$E$212,4,FALSE),"")</f>
        <v>GR</v>
      </c>
      <c r="G39" s="18" t="s">
        <v>496</v>
      </c>
      <c r="H39" s="44" t="s">
        <v>1114</v>
      </c>
      <c r="I39" s="18" t="s">
        <v>1041</v>
      </c>
      <c r="J39" s="17" t="b">
        <v>0</v>
      </c>
    </row>
    <row r="40">
      <c r="A40" s="17"/>
      <c r="B40" s="18" t="s">
        <v>33</v>
      </c>
      <c r="C40" s="17" t="str">
        <f>IFERROR(VLOOKUP(B40,'MASTER DATA'!$A$1:$E$212,2,FALSE),"")</f>
        <v>BB-100022</v>
      </c>
      <c r="D40" s="17" t="str">
        <f>IFERROR(VLOOKUP(B40,'MASTER DATA'!$A$1:$E$212,5,FALSE),"")</f>
        <v>BAHAN BAKU LUUCA</v>
      </c>
      <c r="E40" s="44" t="s">
        <v>1148</v>
      </c>
      <c r="F40" s="17" t="str">
        <f>IFERROR(VLOOKUP(B40,'MASTER DATA'!$A$1:$E$212,4,FALSE),"")</f>
        <v>GR</v>
      </c>
      <c r="G40" s="18" t="s">
        <v>703</v>
      </c>
      <c r="H40" s="44" t="s">
        <v>1114</v>
      </c>
      <c r="I40" s="18" t="s">
        <v>1034</v>
      </c>
      <c r="J40" s="17" t="b">
        <v>0</v>
      </c>
    </row>
    <row r="41">
      <c r="A41" s="17"/>
      <c r="B41" s="18" t="s">
        <v>53</v>
      </c>
      <c r="C41" s="17" t="str">
        <f>IFERROR(VLOOKUP(B41,'MASTER DATA'!$A$1:$E$212,2,FALSE),"")</f>
        <v>BB-100502</v>
      </c>
      <c r="D41" s="17" t="str">
        <f>IFERROR(VLOOKUP(B41,'MASTER DATA'!$A$1:$E$212,5,FALSE),"")</f>
        <v>BAHAN BAKU LUUCA</v>
      </c>
      <c r="E41" s="44">
        <v>60.0</v>
      </c>
      <c r="F41" s="17" t="str">
        <f>IFERROR(VLOOKUP(B41,'MASTER DATA'!$A$1:$E$212,4,FALSE),"")</f>
        <v>GR</v>
      </c>
      <c r="G41" s="18" t="s">
        <v>921</v>
      </c>
      <c r="H41" s="44" t="s">
        <v>1114</v>
      </c>
      <c r="I41" s="18" t="s">
        <v>1034</v>
      </c>
      <c r="J41" s="17" t="b">
        <v>0</v>
      </c>
    </row>
    <row r="42">
      <c r="A42" s="57"/>
      <c r="B42" s="18" t="s">
        <v>108</v>
      </c>
      <c r="C42" s="17" t="str">
        <f>IFERROR(VLOOKUP(B42,'MASTER DATA'!$A$1:$E$212,2,FALSE),"")</f>
        <v>BB-100500</v>
      </c>
      <c r="D42" s="17" t="str">
        <f>IFERROR(VLOOKUP(B42,'MASTER DATA'!$A$1:$E$212,5,FALSE),"")</f>
        <v>BAHAN BAKU LUUCA</v>
      </c>
      <c r="E42" s="44">
        <f>50</f>
        <v>50</v>
      </c>
      <c r="F42" s="17" t="str">
        <f>IFERROR(VLOOKUP(B42,'MASTER DATA'!$A$1:$E$212,4,FALSE),"")</f>
        <v>GR</v>
      </c>
      <c r="G42" s="18" t="s">
        <v>797</v>
      </c>
      <c r="H42" s="44" t="s">
        <v>1114</v>
      </c>
      <c r="I42" s="18" t="s">
        <v>1034</v>
      </c>
      <c r="J42" s="17" t="b">
        <v>0</v>
      </c>
    </row>
    <row r="43">
      <c r="A43" s="57"/>
      <c r="B43" s="18" t="s">
        <v>34</v>
      </c>
      <c r="C43" s="17" t="str">
        <f>IFERROR(VLOOKUP(B43,'MASTER DATA'!$A$1:$E$212,2,FALSE),"")</f>
        <v>BB-100023</v>
      </c>
      <c r="D43" s="17" t="str">
        <f>IFERROR(VLOOKUP(B43,'MASTER DATA'!$A$1:$E$212,5,FALSE),"")</f>
        <v>BAHAN BAKU LUUCA</v>
      </c>
      <c r="E43" s="44">
        <v>656.0</v>
      </c>
      <c r="F43" s="17" t="str">
        <f>IFERROR(VLOOKUP(B43,'MASTER DATA'!$A$1:$E$212,4,FALSE),"")</f>
        <v>GR</v>
      </c>
      <c r="G43" s="18" t="s">
        <v>703</v>
      </c>
      <c r="H43" s="44" t="s">
        <v>1114</v>
      </c>
      <c r="I43" s="18" t="s">
        <v>1034</v>
      </c>
      <c r="J43" s="17" t="b">
        <v>0</v>
      </c>
    </row>
    <row r="44">
      <c r="A44" s="17"/>
      <c r="B44" s="18" t="s">
        <v>53</v>
      </c>
      <c r="C44" s="17" t="str">
        <f>IFERROR(VLOOKUP(B44,'MASTER DATA'!$A$1:$E$212,2,FALSE),"")</f>
        <v>BB-100502</v>
      </c>
      <c r="D44" s="17" t="str">
        <f>IFERROR(VLOOKUP(B44,'MASTER DATA'!$A$1:$E$212,5,FALSE),"")</f>
        <v>BAHAN BAKU LUUCA</v>
      </c>
      <c r="E44" s="44" t="s">
        <v>1150</v>
      </c>
      <c r="F44" s="17" t="str">
        <f>IFERROR(VLOOKUP(B44,'MASTER DATA'!$A$1:$E$212,4,FALSE),"")</f>
        <v>GR</v>
      </c>
      <c r="G44" s="18" t="s">
        <v>496</v>
      </c>
      <c r="H44" s="44" t="s">
        <v>1114</v>
      </c>
      <c r="I44" s="18" t="s">
        <v>1041</v>
      </c>
      <c r="J44" s="17" t="b">
        <v>0</v>
      </c>
    </row>
    <row r="45">
      <c r="A45" s="36">
        <v>46277.0</v>
      </c>
      <c r="B45" s="18" t="s">
        <v>108</v>
      </c>
      <c r="C45" s="17" t="str">
        <f>IFERROR(VLOOKUP(B45,'MASTER DATA'!$A$1:$E$212,2,FALSE),"")</f>
        <v>BB-100500</v>
      </c>
      <c r="D45" s="17" t="str">
        <f>IFERROR(VLOOKUP(B45,'MASTER DATA'!$A$1:$E$212,5,FALSE),"")</f>
        <v>BAHAN BAKU LUUCA</v>
      </c>
      <c r="E45" s="44">
        <f>17+10+25</f>
        <v>52</v>
      </c>
      <c r="F45" s="17" t="str">
        <f>IFERROR(VLOOKUP(B45,'MASTER DATA'!$A$1:$E$212,4,FALSE),"")</f>
        <v>GR</v>
      </c>
      <c r="G45" s="18" t="s">
        <v>797</v>
      </c>
      <c r="H45" s="44" t="s">
        <v>1071</v>
      </c>
      <c r="I45" s="18" t="s">
        <v>1034</v>
      </c>
      <c r="J45" s="17" t="b">
        <v>0</v>
      </c>
    </row>
    <row r="46">
      <c r="A46" s="57"/>
      <c r="B46" s="18" t="s">
        <v>53</v>
      </c>
      <c r="C46" s="17" t="str">
        <f>IFERROR(VLOOKUP(B46,'MASTER DATA'!$A$1:$E$212,2,FALSE),"")</f>
        <v>BB-100502</v>
      </c>
      <c r="D46" s="17" t="str">
        <f>IFERROR(VLOOKUP(B46,'MASTER DATA'!$A$1:$E$212,5,FALSE),"")</f>
        <v>BAHAN BAKU LUUCA</v>
      </c>
      <c r="E46" s="44" t="s">
        <v>582</v>
      </c>
      <c r="F46" s="17" t="str">
        <f>IFERROR(VLOOKUP(B46,'MASTER DATA'!$A$1:$E$212,4,FALSE),"")</f>
        <v>GR</v>
      </c>
      <c r="G46" s="18" t="s">
        <v>921</v>
      </c>
      <c r="H46" s="44" t="s">
        <v>1071</v>
      </c>
      <c r="I46" s="18" t="s">
        <v>1034</v>
      </c>
      <c r="J46" s="17" t="b">
        <v>0</v>
      </c>
    </row>
    <row r="47">
      <c r="A47" s="17"/>
      <c r="B47" s="18" t="s">
        <v>238</v>
      </c>
      <c r="C47" s="17" t="str">
        <f>IFERROR(VLOOKUP(B47,'MASTER DATA'!$A$1:$E$212,2,FALSE),"")</f>
        <v>BB-100517</v>
      </c>
      <c r="D47" s="17" t="str">
        <f>IFERROR(VLOOKUP(B47,'MASTER DATA'!$A$1:$E$212,5,FALSE),"")</f>
        <v>PRODUKSI STOK LUUCA</v>
      </c>
      <c r="E47" s="44">
        <v>2.0</v>
      </c>
      <c r="F47" s="17" t="str">
        <f>IFERROR(VLOOKUP(B47,'MASTER DATA'!$A$1:$E$212,4,FALSE),"")</f>
        <v>PCS</v>
      </c>
      <c r="G47" s="18" t="s">
        <v>1089</v>
      </c>
      <c r="H47" s="44" t="s">
        <v>1071</v>
      </c>
      <c r="I47" s="18" t="s">
        <v>1034</v>
      </c>
      <c r="J47" s="17" t="b">
        <v>0</v>
      </c>
    </row>
    <row r="48">
      <c r="A48" s="36">
        <v>46278.0</v>
      </c>
      <c r="B48" s="18" t="s">
        <v>53</v>
      </c>
      <c r="C48" s="17" t="str">
        <f>IFERROR(VLOOKUP(B48,'MASTER DATA'!$A$1:$E$212,2,FALSE),"")</f>
        <v>BB-100502</v>
      </c>
      <c r="D48" s="17" t="str">
        <f>IFERROR(VLOOKUP(B48,'MASTER DATA'!$A$1:$E$212,5,FALSE),"")</f>
        <v>BAHAN BAKU LUUCA</v>
      </c>
      <c r="E48" s="44">
        <f>83+25</f>
        <v>108</v>
      </c>
      <c r="F48" s="17" t="str">
        <f>IFERROR(VLOOKUP(B48,'MASTER DATA'!$A$1:$E$212,4,FALSE),"")</f>
        <v>GR</v>
      </c>
      <c r="G48" s="18" t="s">
        <v>921</v>
      </c>
      <c r="H48" s="44" t="s">
        <v>1058</v>
      </c>
      <c r="I48" s="18" t="s">
        <v>1034</v>
      </c>
      <c r="J48" s="17" t="b">
        <v>0</v>
      </c>
    </row>
    <row r="49">
      <c r="A49" s="17"/>
      <c r="B49" s="18" t="s">
        <v>109</v>
      </c>
      <c r="C49" s="17" t="str">
        <f>IFERROR(VLOOKUP(B49,'MASTER DATA'!$A$1:$E$212,2,FALSE),"")</f>
        <v>BB-100501</v>
      </c>
      <c r="D49" s="17" t="str">
        <f>IFERROR(VLOOKUP(B49,'MASTER DATA'!$A$1:$E$212,5,FALSE),"")</f>
        <v>BAHAN BAKU LUUCA</v>
      </c>
      <c r="E49" s="44" t="s">
        <v>694</v>
      </c>
      <c r="F49" s="17" t="str">
        <f>IFERROR(VLOOKUP(B49,'MASTER DATA'!$A$1:$E$212,4,FALSE),"")</f>
        <v>GR</v>
      </c>
      <c r="G49" s="18" t="s">
        <v>496</v>
      </c>
      <c r="H49" s="44" t="s">
        <v>1058</v>
      </c>
      <c r="I49" s="18" t="s">
        <v>1041</v>
      </c>
      <c r="J49" s="17" t="b">
        <v>0</v>
      </c>
    </row>
    <row r="50">
      <c r="A50" s="17"/>
      <c r="B50" s="18" t="s">
        <v>109</v>
      </c>
      <c r="C50" s="17" t="str">
        <f>IFERROR(VLOOKUP(B50,'MASTER DATA'!$A$1:$E$212,2,FALSE),"")</f>
        <v>BB-100501</v>
      </c>
      <c r="D50" s="17" t="str">
        <f>IFERROR(VLOOKUP(B50,'MASTER DATA'!$A$1:$E$212,5,FALSE),"")</f>
        <v>BAHAN BAKU LUUCA</v>
      </c>
      <c r="E50" s="44">
        <f>15</f>
        <v>15</v>
      </c>
      <c r="F50" s="17" t="str">
        <f>IFERROR(VLOOKUP(B50,'MASTER DATA'!$A$1:$E$212,4,FALSE),"")</f>
        <v>GR</v>
      </c>
      <c r="G50" s="18" t="s">
        <v>1120</v>
      </c>
      <c r="H50" s="44" t="s">
        <v>1058</v>
      </c>
      <c r="I50" s="18" t="s">
        <v>1034</v>
      </c>
      <c r="J50" s="17" t="b">
        <v>0</v>
      </c>
    </row>
    <row r="51">
      <c r="A51" s="57"/>
      <c r="B51" s="18" t="s">
        <v>34</v>
      </c>
      <c r="C51" s="17" t="str">
        <f>IFERROR(VLOOKUP(B51,'MASTER DATA'!$A$1:$E$212,2,FALSE),"")</f>
        <v>BB-100023</v>
      </c>
      <c r="D51" s="17" t="str">
        <f>IFERROR(VLOOKUP(B51,'MASTER DATA'!$A$1:$E$212,5,FALSE),"")</f>
        <v>BAHAN BAKU LUUCA</v>
      </c>
      <c r="E51" s="44">
        <f>446+493</f>
        <v>939</v>
      </c>
      <c r="F51" s="17" t="str">
        <f>IFERROR(VLOOKUP(B51,'MASTER DATA'!$A$1:$E$212,4,FALSE),"")</f>
        <v>GR</v>
      </c>
      <c r="G51" s="18" t="s">
        <v>703</v>
      </c>
      <c r="H51" s="44" t="s">
        <v>1058</v>
      </c>
      <c r="I51" s="18" t="s">
        <v>1034</v>
      </c>
      <c r="J51" s="17" t="b">
        <v>0</v>
      </c>
    </row>
    <row r="52">
      <c r="A52" s="17"/>
      <c r="B52" s="18" t="s">
        <v>33</v>
      </c>
      <c r="C52" s="17" t="str">
        <f>IFERROR(VLOOKUP(B52,'MASTER DATA'!$A$1:$E$212,2,FALSE),"")</f>
        <v>BB-100022</v>
      </c>
      <c r="D52" s="17" t="str">
        <f>IFERROR(VLOOKUP(B52,'MASTER DATA'!$A$1:$E$212,5,FALSE),"")</f>
        <v>BAHAN BAKU LUUCA</v>
      </c>
      <c r="E52" s="44">
        <f>679+495</f>
        <v>1174</v>
      </c>
      <c r="F52" s="17" t="str">
        <f>IFERROR(VLOOKUP(B52,'MASTER DATA'!$A$1:$E$212,4,FALSE),"")</f>
        <v>GR</v>
      </c>
      <c r="G52" s="18" t="s">
        <v>703</v>
      </c>
      <c r="H52" s="44" t="s">
        <v>1058</v>
      </c>
      <c r="I52" s="18" t="s">
        <v>1034</v>
      </c>
      <c r="J52" s="17" t="b">
        <v>0</v>
      </c>
    </row>
    <row r="53">
      <c r="A53" s="17"/>
      <c r="B53" s="18" t="s">
        <v>108</v>
      </c>
      <c r="C53" s="17" t="str">
        <f>IFERROR(VLOOKUP(B53,'MASTER DATA'!$A$1:$E$212,2,FALSE),"")</f>
        <v>BB-100500</v>
      </c>
      <c r="D53" s="17" t="str">
        <f>IFERROR(VLOOKUP(B53,'MASTER DATA'!$A$1:$E$212,5,FALSE),"")</f>
        <v>BAHAN BAKU LUUCA</v>
      </c>
      <c r="E53" s="44">
        <f>21+27+16+12</f>
        <v>76</v>
      </c>
      <c r="F53" s="17" t="str">
        <f>IFERROR(VLOOKUP(B53,'MASTER DATA'!$A$1:$E$212,4,FALSE),"")</f>
        <v>GR</v>
      </c>
      <c r="G53" s="18" t="s">
        <v>792</v>
      </c>
      <c r="H53" s="44" t="s">
        <v>1058</v>
      </c>
      <c r="I53" s="18" t="s">
        <v>1034</v>
      </c>
      <c r="J53" s="17" t="b">
        <v>0</v>
      </c>
    </row>
    <row r="54">
      <c r="A54" s="17"/>
      <c r="B54" s="18" t="s">
        <v>108</v>
      </c>
      <c r="C54" s="17" t="str">
        <f>IFERROR(VLOOKUP(B54,'MASTER DATA'!$A$1:$E$212,2,FALSE),"")</f>
        <v>BB-100500</v>
      </c>
      <c r="D54" s="17" t="str">
        <f>IFERROR(VLOOKUP(B54,'MASTER DATA'!$A$1:$E$212,5,FALSE),"")</f>
        <v>BAHAN BAKU LUUCA</v>
      </c>
      <c r="E54" s="44">
        <f>18+3</f>
        <v>21</v>
      </c>
      <c r="F54" s="17" t="str">
        <f>IFERROR(VLOOKUP(B54,'MASTER DATA'!$A$1:$E$212,4,FALSE),"")</f>
        <v>GR</v>
      </c>
      <c r="G54" s="18" t="s">
        <v>496</v>
      </c>
      <c r="H54" s="44" t="s">
        <v>1058</v>
      </c>
      <c r="I54" s="18" t="s">
        <v>1041</v>
      </c>
      <c r="J54" s="17" t="b">
        <v>0</v>
      </c>
    </row>
    <row r="55">
      <c r="A55" s="17"/>
      <c r="B55" s="18" t="s">
        <v>181</v>
      </c>
      <c r="C55" s="17" t="str">
        <f>IFERROR(VLOOKUP(B55,'MASTER DATA'!$A$1:$E$212,2,FALSE),"")</f>
        <v>P006-004</v>
      </c>
      <c r="D55" s="17" t="str">
        <f>IFERROR(VLOOKUP(B55,'MASTER DATA'!$A$1:$E$212,5,FALSE),"")</f>
        <v>PRODUKSI STOK LUUCA</v>
      </c>
      <c r="E55" s="44">
        <v>1906.0</v>
      </c>
      <c r="F55" s="17" t="str">
        <f>IFERROR(VLOOKUP(B55,'MASTER DATA'!$A$1:$E$212,4,FALSE),"")</f>
        <v>GR</v>
      </c>
      <c r="G55" s="18" t="s">
        <v>370</v>
      </c>
      <c r="H55" s="44" t="s">
        <v>522</v>
      </c>
      <c r="I55" s="18" t="s">
        <v>1041</v>
      </c>
      <c r="J55" s="17" t="b">
        <v>0</v>
      </c>
    </row>
    <row r="56">
      <c r="A56" s="36">
        <v>46279.0</v>
      </c>
      <c r="B56" s="18" t="s">
        <v>108</v>
      </c>
      <c r="C56" s="17" t="str">
        <f>IFERROR(VLOOKUP(B56,'MASTER DATA'!$A$1:$E$212,2,FALSE),"")</f>
        <v>BB-100500</v>
      </c>
      <c r="D56" s="17" t="str">
        <f>IFERROR(VLOOKUP(B56,'MASTER DATA'!$A$1:$E$212,5,FALSE),"")</f>
        <v>BAHAN BAKU LUUCA</v>
      </c>
      <c r="E56" s="44" t="s">
        <v>1153</v>
      </c>
      <c r="F56" s="17" t="str">
        <f>IFERROR(VLOOKUP(B56,'MASTER DATA'!$A$1:$E$212,4,FALSE),"")</f>
        <v>GR</v>
      </c>
      <c r="G56" s="18" t="s">
        <v>496</v>
      </c>
      <c r="H56" s="44" t="s">
        <v>1071</v>
      </c>
      <c r="I56" s="18" t="s">
        <v>1041</v>
      </c>
      <c r="J56" s="17" t="b">
        <v>0</v>
      </c>
    </row>
    <row r="57">
      <c r="A57" s="17"/>
      <c r="B57" s="18" t="s">
        <v>108</v>
      </c>
      <c r="C57" s="17" t="str">
        <f>IFERROR(VLOOKUP(B57,'MASTER DATA'!$A$1:$E$212,2,FALSE),"")</f>
        <v>BB-100500</v>
      </c>
      <c r="D57" s="17" t="str">
        <f>IFERROR(VLOOKUP(B57,'MASTER DATA'!$A$1:$E$212,5,FALSE),"")</f>
        <v>BAHAN BAKU LUUCA</v>
      </c>
      <c r="E57" s="44">
        <f>34+12</f>
        <v>46</v>
      </c>
      <c r="F57" s="17" t="str">
        <f>IFERROR(VLOOKUP(B57,'MASTER DATA'!$A$1:$E$212,4,FALSE),"")</f>
        <v>GR</v>
      </c>
      <c r="G57" s="18" t="s">
        <v>792</v>
      </c>
      <c r="H57" s="44" t="s">
        <v>1071</v>
      </c>
      <c r="I57" s="18" t="s">
        <v>1034</v>
      </c>
      <c r="J57" s="17" t="b">
        <v>0</v>
      </c>
    </row>
    <row r="58">
      <c r="A58" s="36">
        <v>46280.0</v>
      </c>
      <c r="B58" s="18" t="s">
        <v>34</v>
      </c>
      <c r="C58" s="17" t="str">
        <f>IFERROR(VLOOKUP(B58,'MASTER DATA'!$A$1:$E$212,2,FALSE),"")</f>
        <v>BB-100023</v>
      </c>
      <c r="D58" s="17" t="str">
        <f>IFERROR(VLOOKUP(B58,'MASTER DATA'!$A$1:$E$212,5,FALSE),"")</f>
        <v>BAHAN BAKU LUUCA</v>
      </c>
      <c r="E58" s="44" t="s">
        <v>1154</v>
      </c>
      <c r="F58" s="17" t="str">
        <f>IFERROR(VLOOKUP(B58,'MASTER DATA'!$A$1:$E$212,4,FALSE),"")</f>
        <v>GR</v>
      </c>
      <c r="G58" s="18" t="s">
        <v>703</v>
      </c>
      <c r="H58" s="44" t="s">
        <v>1016</v>
      </c>
      <c r="I58" s="18" t="s">
        <v>1034</v>
      </c>
      <c r="J58" s="17" t="b">
        <v>0</v>
      </c>
    </row>
    <row r="59">
      <c r="A59" s="17"/>
      <c r="B59" s="18" t="s">
        <v>53</v>
      </c>
      <c r="C59" s="17" t="str">
        <f>IFERROR(VLOOKUP(B59,'MASTER DATA'!$A$1:$E$212,2,FALSE),"")</f>
        <v>BB-100502</v>
      </c>
      <c r="D59" s="17" t="str">
        <f>IFERROR(VLOOKUP(B59,'MASTER DATA'!$A$1:$E$212,5,FALSE),"")</f>
        <v>BAHAN BAKU LUUCA</v>
      </c>
      <c r="E59" s="44" t="s">
        <v>1155</v>
      </c>
      <c r="F59" s="17" t="str">
        <f>IFERROR(VLOOKUP(B59,'MASTER DATA'!$A$1:$E$212,4,FALSE),"")</f>
        <v>GR</v>
      </c>
      <c r="G59" s="18" t="s">
        <v>921</v>
      </c>
      <c r="H59" s="44" t="s">
        <v>1071</v>
      </c>
      <c r="I59" s="18" t="s">
        <v>1034</v>
      </c>
      <c r="J59" s="17" t="b">
        <v>0</v>
      </c>
    </row>
    <row r="60">
      <c r="A60" s="17"/>
      <c r="B60" s="18" t="s">
        <v>76</v>
      </c>
      <c r="C60" s="17" t="str">
        <f>IFERROR(VLOOKUP(B60,'MASTER DATA'!$A$1:$E$212,2,FALSE),"")</f>
        <v>BB-100250</v>
      </c>
      <c r="D60" s="17" t="str">
        <f>IFERROR(VLOOKUP(B60,'MASTER DATA'!$A$1:$E$212,5,FALSE),"")</f>
        <v>BAHAN BAKU LUUCA</v>
      </c>
      <c r="E60" s="44">
        <v>1.0</v>
      </c>
      <c r="F60" s="17" t="str">
        <f>IFERROR(VLOOKUP(B60,'MASTER DATA'!$A$1:$E$212,4,FALSE),"")</f>
        <v>PCS</v>
      </c>
      <c r="G60" s="18" t="s">
        <v>935</v>
      </c>
      <c r="H60" s="44" t="s">
        <v>615</v>
      </c>
      <c r="I60" s="18" t="s">
        <v>1041</v>
      </c>
      <c r="J60" s="17" t="b">
        <v>0</v>
      </c>
    </row>
    <row r="61">
      <c r="A61" s="17"/>
      <c r="B61" s="18" t="s">
        <v>109</v>
      </c>
      <c r="C61" s="17" t="str">
        <f>IFERROR(VLOOKUP(B61,'MASTER DATA'!$A$1:$E$212,2,FALSE),"")</f>
        <v>BB-100501</v>
      </c>
      <c r="D61" s="17" t="str">
        <f>IFERROR(VLOOKUP(B61,'MASTER DATA'!$A$1:$E$212,5,FALSE),"")</f>
        <v>BAHAN BAKU LUUCA</v>
      </c>
      <c r="E61" s="44" t="s">
        <v>637</v>
      </c>
      <c r="F61" s="17" t="str">
        <f>IFERROR(VLOOKUP(B61,'MASTER DATA'!$A$1:$E$212,4,FALSE),"")</f>
        <v>GR</v>
      </c>
      <c r="G61" s="18" t="s">
        <v>496</v>
      </c>
      <c r="H61" s="44" t="s">
        <v>615</v>
      </c>
      <c r="I61" s="18" t="s">
        <v>1041</v>
      </c>
      <c r="J61" s="17" t="b">
        <v>0</v>
      </c>
    </row>
    <row r="62">
      <c r="A62" s="17"/>
      <c r="B62" s="18" t="s">
        <v>108</v>
      </c>
      <c r="C62" s="17" t="str">
        <f>IFERROR(VLOOKUP(B62,'MASTER DATA'!$A$1:$E$212,2,FALSE),"")</f>
        <v>BB-100500</v>
      </c>
      <c r="D62" s="17" t="str">
        <f>IFERROR(VLOOKUP(B62,'MASTER DATA'!$A$1:$E$212,5,FALSE),"")</f>
        <v>BAHAN BAKU LUUCA</v>
      </c>
      <c r="E62" s="44" t="s">
        <v>1157</v>
      </c>
      <c r="F62" s="17" t="str">
        <f>IFERROR(VLOOKUP(B62,'MASTER DATA'!$A$1:$E$212,4,FALSE),"")</f>
        <v>GR</v>
      </c>
      <c r="G62" s="18" t="s">
        <v>792</v>
      </c>
      <c r="H62" s="44" t="s">
        <v>615</v>
      </c>
      <c r="I62" s="18" t="s">
        <v>1034</v>
      </c>
      <c r="J62" s="17" t="b">
        <v>0</v>
      </c>
    </row>
    <row r="63">
      <c r="A63" s="57">
        <v>46281.0</v>
      </c>
      <c r="B63" s="18" t="s">
        <v>109</v>
      </c>
      <c r="C63" s="17" t="str">
        <f>IFERROR(VLOOKUP(B63,'MASTER DATA'!$A$1:$E$212,2,FALSE),"")</f>
        <v>BB-100501</v>
      </c>
      <c r="D63" s="17" t="str">
        <f>IFERROR(VLOOKUP(B63,'MASTER DATA'!$A$1:$E$212,5,FALSE),"")</f>
        <v>BAHAN BAKU LUUCA</v>
      </c>
      <c r="E63" s="44" t="s">
        <v>1021</v>
      </c>
      <c r="F63" s="17" t="str">
        <f>IFERROR(VLOOKUP(B63,'MASTER DATA'!$A$1:$E$212,4,FALSE),"")</f>
        <v>GR</v>
      </c>
      <c r="G63" s="18" t="s">
        <v>496</v>
      </c>
      <c r="H63" s="44" t="s">
        <v>1016</v>
      </c>
      <c r="I63" s="18" t="s">
        <v>1041</v>
      </c>
      <c r="J63" s="17" t="b">
        <v>0</v>
      </c>
    </row>
    <row r="64">
      <c r="A64" s="17"/>
      <c r="B64" s="18" t="s">
        <v>109</v>
      </c>
      <c r="C64" s="17" t="str">
        <f>IFERROR(VLOOKUP(B64,'MASTER DATA'!$A$1:$E$212,2,FALSE),"")</f>
        <v>BB-100501</v>
      </c>
      <c r="D64" s="17" t="str">
        <f>IFERROR(VLOOKUP(B64,'MASTER DATA'!$A$1:$E$212,5,FALSE),"")</f>
        <v>BAHAN BAKU LUUCA</v>
      </c>
      <c r="E64" s="44" t="s">
        <v>1158</v>
      </c>
      <c r="F64" s="17" t="str">
        <f>IFERROR(VLOOKUP(B64,'MASTER DATA'!$A$1:$E$212,4,FALSE),"")</f>
        <v>GR</v>
      </c>
      <c r="G64" s="18" t="s">
        <v>1120</v>
      </c>
      <c r="H64" s="44" t="s">
        <v>1016</v>
      </c>
      <c r="I64" s="18" t="s">
        <v>1034</v>
      </c>
      <c r="J64" s="17" t="b">
        <v>0</v>
      </c>
    </row>
    <row r="65">
      <c r="A65" s="17"/>
      <c r="B65" s="18" t="s">
        <v>181</v>
      </c>
      <c r="C65" s="17" t="str">
        <f>IFERROR(VLOOKUP(B65,'MASTER DATA'!$A$1:$E$212,2,FALSE),"")</f>
        <v>P006-004</v>
      </c>
      <c r="D65" s="17" t="str">
        <f>IFERROR(VLOOKUP(B65,'MASTER DATA'!$A$1:$E$212,5,FALSE),"")</f>
        <v>PRODUKSI STOK LUUCA</v>
      </c>
      <c r="E65" s="44">
        <v>1.0</v>
      </c>
      <c r="F65" s="17" t="str">
        <f>IFERROR(VLOOKUP(B65,'MASTER DATA'!$A$1:$E$212,4,FALSE),"")</f>
        <v>GR</v>
      </c>
      <c r="G65" s="18" t="s">
        <v>1159</v>
      </c>
      <c r="H65" s="44" t="s">
        <v>1016</v>
      </c>
      <c r="I65" s="18" t="s">
        <v>1041</v>
      </c>
      <c r="J65" s="17" t="b">
        <v>0</v>
      </c>
    </row>
    <row r="66">
      <c r="A66" s="17"/>
      <c r="B66" s="18" t="s">
        <v>34</v>
      </c>
      <c r="C66" s="17" t="str">
        <f>IFERROR(VLOOKUP(B66,'MASTER DATA'!$A$1:$E$212,2,FALSE),"")</f>
        <v>BB-100023</v>
      </c>
      <c r="D66" s="17" t="str">
        <f>IFERROR(VLOOKUP(B66,'MASTER DATA'!$A$1:$E$212,5,FALSE),"")</f>
        <v>BAHAN BAKU LUUCA</v>
      </c>
      <c r="E66" s="44" t="s">
        <v>1161</v>
      </c>
      <c r="F66" s="17" t="str">
        <f>IFERROR(VLOOKUP(B66,'MASTER DATA'!$A$1:$E$212,4,FALSE),"")</f>
        <v>GR</v>
      </c>
      <c r="G66" s="18" t="s">
        <v>703</v>
      </c>
      <c r="H66" s="44" t="s">
        <v>1016</v>
      </c>
      <c r="I66" s="18" t="s">
        <v>1034</v>
      </c>
      <c r="J66" s="17" t="b">
        <v>0</v>
      </c>
    </row>
    <row r="67">
      <c r="A67" s="58" t="s">
        <v>1162</v>
      </c>
      <c r="B67" s="18" t="s">
        <v>108</v>
      </c>
      <c r="C67" s="17" t="str">
        <f>IFERROR(VLOOKUP(B67,'MASTER DATA'!$A$1:$E$212,2,FALSE),"")</f>
        <v>BB-100500</v>
      </c>
      <c r="D67" s="17" t="str">
        <f>IFERROR(VLOOKUP(B67,'MASTER DATA'!$A$1:$E$212,5,FALSE),"")</f>
        <v>BAHAN BAKU LUUCA</v>
      </c>
      <c r="E67" s="44" t="s">
        <v>1129</v>
      </c>
      <c r="F67" s="17" t="str">
        <f>IFERROR(VLOOKUP(B67,'MASTER DATA'!$A$1:$E$212,4,FALSE),"")</f>
        <v>GR</v>
      </c>
      <c r="G67" s="18" t="s">
        <v>792</v>
      </c>
      <c r="H67" s="44" t="s">
        <v>1058</v>
      </c>
      <c r="I67" s="18" t="s">
        <v>1034</v>
      </c>
      <c r="J67" s="17" t="b">
        <v>0</v>
      </c>
    </row>
    <row r="68">
      <c r="A68" s="58" t="s">
        <v>1163</v>
      </c>
      <c r="B68" s="18" t="s">
        <v>53</v>
      </c>
      <c r="C68" s="17" t="str">
        <f>IFERROR(VLOOKUP(B68,'MASTER DATA'!$A$1:$E$212,2,FALSE),"")</f>
        <v>BB-100502</v>
      </c>
      <c r="D68" s="17" t="str">
        <f>IFERROR(VLOOKUP(B68,'MASTER DATA'!$A$1:$E$212,5,FALSE),"")</f>
        <v>BAHAN BAKU LUUCA</v>
      </c>
      <c r="E68" s="44">
        <v>54.3</v>
      </c>
      <c r="F68" s="17" t="str">
        <f>IFERROR(VLOOKUP(B68,'MASTER DATA'!$A$1:$E$212,4,FALSE),"")</f>
        <v>GR</v>
      </c>
      <c r="G68" s="18" t="s">
        <v>921</v>
      </c>
      <c r="H68" s="44" t="s">
        <v>1071</v>
      </c>
      <c r="I68" s="18" t="s">
        <v>1034</v>
      </c>
      <c r="J68" s="17" t="b">
        <v>0</v>
      </c>
    </row>
    <row r="69">
      <c r="A69" s="17"/>
      <c r="B69" s="18" t="s">
        <v>108</v>
      </c>
      <c r="C69" s="17" t="str">
        <f>IFERROR(VLOOKUP(B69,'MASTER DATA'!$A$1:$E$212,2,FALSE),"")</f>
        <v>BB-100500</v>
      </c>
      <c r="D69" s="17" t="str">
        <f>IFERROR(VLOOKUP(B69,'MASTER DATA'!$A$1:$E$212,5,FALSE),"")</f>
        <v>BAHAN BAKU LUUCA</v>
      </c>
      <c r="E69" s="44">
        <v>15.3</v>
      </c>
      <c r="F69" s="17" t="str">
        <f>IFERROR(VLOOKUP(B69,'MASTER DATA'!$A$1:$E$212,4,FALSE),"")</f>
        <v>GR</v>
      </c>
      <c r="G69" s="18" t="s">
        <v>792</v>
      </c>
      <c r="H69" s="44" t="s">
        <v>1071</v>
      </c>
      <c r="I69" s="18" t="s">
        <v>1034</v>
      </c>
      <c r="J69" s="17" t="b">
        <v>0</v>
      </c>
    </row>
    <row r="70">
      <c r="A70" s="58" t="s">
        <v>1165</v>
      </c>
      <c r="B70" s="18" t="s">
        <v>33</v>
      </c>
      <c r="C70" s="17" t="str">
        <f>IFERROR(VLOOKUP(B70,'MASTER DATA'!$A$1:$E$212,2,FALSE),"")</f>
        <v>BB-100022</v>
      </c>
      <c r="D70" s="17" t="str">
        <f>IFERROR(VLOOKUP(B70,'MASTER DATA'!$A$1:$E$212,5,FALSE),"")</f>
        <v>BAHAN BAKU LUUCA</v>
      </c>
      <c r="E70" s="44" t="s">
        <v>1166</v>
      </c>
      <c r="F70" s="17" t="str">
        <f>IFERROR(VLOOKUP(B70,'MASTER DATA'!$A$1:$E$212,4,FALSE),"")</f>
        <v>GR</v>
      </c>
      <c r="G70" s="18" t="s">
        <v>703</v>
      </c>
      <c r="H70" s="44" t="s">
        <v>595</v>
      </c>
      <c r="I70" s="18" t="s">
        <v>1034</v>
      </c>
      <c r="J70" s="17" t="b">
        <v>0</v>
      </c>
    </row>
    <row r="71">
      <c r="A71" s="17"/>
      <c r="B71" s="18" t="s">
        <v>514</v>
      </c>
      <c r="C71" s="17" t="str">
        <f>IFERROR(VLOOKUP(B71,'MASTER DATA'!$A$1:$E$212,2,FALSE),"")</f>
        <v>P006-011</v>
      </c>
      <c r="D71" s="17" t="str">
        <f>IFERROR(VLOOKUP(B71,'MASTER DATA'!$A$1:$E$212,5,FALSE),"")</f>
        <v>PRODUKSI STOK LUUCA</v>
      </c>
      <c r="E71" s="44">
        <v>1221.0</v>
      </c>
      <c r="F71" s="17" t="str">
        <f>IFERROR(VLOOKUP(B71,'MASTER DATA'!$A$1:$E$212,4,FALSE),"")</f>
        <v>GR</v>
      </c>
      <c r="G71" s="18" t="s">
        <v>370</v>
      </c>
      <c r="H71" s="44" t="s">
        <v>595</v>
      </c>
      <c r="I71" s="18" t="s">
        <v>1041</v>
      </c>
      <c r="J71" s="17" t="b">
        <v>0</v>
      </c>
    </row>
    <row r="72">
      <c r="A72" s="17"/>
      <c r="B72" s="18" t="s">
        <v>238</v>
      </c>
      <c r="C72" s="17" t="str">
        <f>IFERROR(VLOOKUP(B72,'MASTER DATA'!$A$1:$E$212,2,FALSE),"")</f>
        <v>BB-100517</v>
      </c>
      <c r="D72" s="17" t="str">
        <f>IFERROR(VLOOKUP(B72,'MASTER DATA'!$A$1:$E$212,5,FALSE),"")</f>
        <v>PRODUKSI STOK LUUCA</v>
      </c>
      <c r="E72" s="44">
        <v>2.0</v>
      </c>
      <c r="F72" s="17" t="str">
        <f>IFERROR(VLOOKUP(B72,'MASTER DATA'!$A$1:$E$212,4,FALSE),"")</f>
        <v>PCS</v>
      </c>
      <c r="G72" s="18" t="s">
        <v>1089</v>
      </c>
      <c r="H72" s="44" t="s">
        <v>1071</v>
      </c>
      <c r="I72" s="18" t="s">
        <v>1034</v>
      </c>
      <c r="J72" s="17" t="b">
        <v>0</v>
      </c>
    </row>
    <row r="73">
      <c r="A73" s="17"/>
      <c r="B73" s="18" t="s">
        <v>216</v>
      </c>
      <c r="C73" s="17" t="str">
        <f>IFERROR(VLOOKUP(B73,'MASTER DATA'!$A$1:$E$212,2,FALSE),"")</f>
        <v>BB-100505</v>
      </c>
      <c r="D73" s="17" t="str">
        <f>IFERROR(VLOOKUP(B73,'MASTER DATA'!$A$1:$E$212,5,FALSE),"")</f>
        <v>BAHAN BAKU LUUCA</v>
      </c>
      <c r="E73" s="44">
        <v>1.0</v>
      </c>
      <c r="F73" s="17" t="str">
        <f>IFERROR(VLOOKUP(B73,'MASTER DATA'!$A$1:$E$212,4,FALSE),"")</f>
        <v>PCS</v>
      </c>
      <c r="G73" s="18" t="s">
        <v>1168</v>
      </c>
      <c r="H73" s="44" t="s">
        <v>595</v>
      </c>
      <c r="I73" s="18" t="s">
        <v>1034</v>
      </c>
      <c r="J73" s="17" t="b">
        <v>0</v>
      </c>
    </row>
    <row r="74">
      <c r="A74" s="17"/>
      <c r="B74" s="18" t="s">
        <v>53</v>
      </c>
      <c r="C74" s="17" t="str">
        <f>IFERROR(VLOOKUP(B74,'MASTER DATA'!$A$1:$E$212,2,FALSE),"")</f>
        <v>BB-100502</v>
      </c>
      <c r="D74" s="17" t="str">
        <f>IFERROR(VLOOKUP(B74,'MASTER DATA'!$A$1:$E$212,5,FALSE),"")</f>
        <v>BAHAN BAKU LUUCA</v>
      </c>
      <c r="E74" s="44">
        <v>32.8</v>
      </c>
      <c r="F74" s="17" t="str">
        <f>IFERROR(VLOOKUP(B74,'MASTER DATA'!$A$1:$E$212,4,FALSE),"")</f>
        <v>GR</v>
      </c>
      <c r="G74" s="18" t="s">
        <v>921</v>
      </c>
      <c r="H74" s="44" t="s">
        <v>1071</v>
      </c>
      <c r="I74" s="18" t="s">
        <v>1034</v>
      </c>
      <c r="J74" s="17" t="b">
        <v>0</v>
      </c>
    </row>
    <row r="75">
      <c r="A75" s="17"/>
      <c r="B75" s="18" t="s">
        <v>108</v>
      </c>
      <c r="C75" s="17" t="str">
        <f>IFERROR(VLOOKUP(B75,'MASTER DATA'!$A$1:$E$212,2,FALSE),"")</f>
        <v>BB-100500</v>
      </c>
      <c r="D75" s="17" t="str">
        <f>IFERROR(VLOOKUP(B75,'MASTER DATA'!$A$1:$E$212,5,FALSE),"")</f>
        <v>BAHAN BAKU LUUCA</v>
      </c>
      <c r="E75" s="44" t="s">
        <v>805</v>
      </c>
      <c r="F75" s="17" t="str">
        <f>IFERROR(VLOOKUP(B75,'MASTER DATA'!$A$1:$E$212,4,FALSE),"")</f>
        <v>GR</v>
      </c>
      <c r="G75" s="18" t="s">
        <v>921</v>
      </c>
      <c r="H75" s="44" t="s">
        <v>1071</v>
      </c>
      <c r="I75" s="18" t="s">
        <v>1034</v>
      </c>
      <c r="J75" s="17" t="b">
        <v>0</v>
      </c>
    </row>
    <row r="76">
      <c r="A76" s="58" t="s">
        <v>1170</v>
      </c>
      <c r="B76" s="18" t="s">
        <v>108</v>
      </c>
      <c r="C76" s="17" t="str">
        <f>IFERROR(VLOOKUP(B76,'MASTER DATA'!$A$1:$E$212,2,FALSE),"")</f>
        <v>BB-100500</v>
      </c>
      <c r="D76" s="17" t="str">
        <f>IFERROR(VLOOKUP(B76,'MASTER DATA'!$A$1:$E$212,5,FALSE),"")</f>
        <v>BAHAN BAKU LUUCA</v>
      </c>
      <c r="E76" s="44" t="s">
        <v>1171</v>
      </c>
      <c r="F76" s="17" t="str">
        <f>IFERROR(VLOOKUP(B76,'MASTER DATA'!$A$1:$E$212,4,FALSE),"")</f>
        <v>GR</v>
      </c>
      <c r="G76" s="18" t="s">
        <v>921</v>
      </c>
      <c r="H76" s="44" t="s">
        <v>595</v>
      </c>
      <c r="I76" s="18" t="s">
        <v>1034</v>
      </c>
      <c r="J76" s="17" t="b">
        <v>0</v>
      </c>
    </row>
    <row r="77">
      <c r="A77" s="17"/>
      <c r="B77" s="18" t="s">
        <v>34</v>
      </c>
      <c r="C77" s="17" t="str">
        <f>IFERROR(VLOOKUP(B77,'MASTER DATA'!$A$1:$E$212,2,FALSE),"")</f>
        <v>BB-100023</v>
      </c>
      <c r="D77" s="17" t="str">
        <f>IFERROR(VLOOKUP(B77,'MASTER DATA'!$A$1:$E$212,5,FALSE),"")</f>
        <v>BAHAN BAKU LUUCA</v>
      </c>
      <c r="E77" s="59">
        <v>1387.0</v>
      </c>
      <c r="F77" s="17" t="str">
        <f>IFERROR(VLOOKUP(B77,'MASTER DATA'!$A$1:$E$212,4,FALSE),"")</f>
        <v>GR</v>
      </c>
      <c r="G77" s="18" t="s">
        <v>703</v>
      </c>
      <c r="H77" s="44" t="s">
        <v>1016</v>
      </c>
      <c r="I77" s="18" t="s">
        <v>1034</v>
      </c>
      <c r="J77" s="17" t="b">
        <v>0</v>
      </c>
    </row>
    <row r="78">
      <c r="A78" s="17"/>
      <c r="B78" s="18" t="s">
        <v>109</v>
      </c>
      <c r="C78" s="17" t="str">
        <f>IFERROR(VLOOKUP(B78,'MASTER DATA'!$A$1:$E$212,2,FALSE),"")</f>
        <v>BB-100501</v>
      </c>
      <c r="D78" s="17" t="str">
        <f>IFERROR(VLOOKUP(B78,'MASTER DATA'!$A$1:$E$212,5,FALSE),"")</f>
        <v>BAHAN BAKU LUUCA</v>
      </c>
      <c r="E78" s="44">
        <v>8.0</v>
      </c>
      <c r="F78" s="17" t="str">
        <f>IFERROR(VLOOKUP(B78,'MASTER DATA'!$A$1:$E$212,4,FALSE),"")</f>
        <v>GR</v>
      </c>
      <c r="G78" s="18" t="s">
        <v>1120</v>
      </c>
      <c r="H78" s="44" t="s">
        <v>1016</v>
      </c>
      <c r="I78" s="18" t="s">
        <v>1034</v>
      </c>
      <c r="J78" s="17" t="b">
        <v>0</v>
      </c>
    </row>
    <row r="79">
      <c r="A79" s="17"/>
      <c r="B79" s="18" t="s">
        <v>109</v>
      </c>
      <c r="C79" s="17" t="str">
        <f>IFERROR(VLOOKUP(B79,'MASTER DATA'!$A$1:$E$212,2,FALSE),"")</f>
        <v>BB-100501</v>
      </c>
      <c r="D79" s="17" t="str">
        <f>IFERROR(VLOOKUP(B79,'MASTER DATA'!$A$1:$E$212,5,FALSE),"")</f>
        <v>BAHAN BAKU LUUCA</v>
      </c>
      <c r="E79" s="44" t="s">
        <v>1172</v>
      </c>
      <c r="F79" s="17" t="str">
        <f>IFERROR(VLOOKUP(B79,'MASTER DATA'!$A$1:$E$212,4,FALSE),"")</f>
        <v>GR</v>
      </c>
      <c r="G79" s="18" t="s">
        <v>496</v>
      </c>
      <c r="H79" s="44" t="s">
        <v>1016</v>
      </c>
      <c r="I79" s="18" t="s">
        <v>1041</v>
      </c>
      <c r="J79" s="17" t="b">
        <v>0</v>
      </c>
    </row>
    <row r="80">
      <c r="A80" s="17"/>
      <c r="B80" s="18" t="s">
        <v>53</v>
      </c>
      <c r="C80" s="17" t="str">
        <f>IFERROR(VLOOKUP(B80,'MASTER DATA'!$A$1:$E$212,2,FALSE),"")</f>
        <v>BB-100502</v>
      </c>
      <c r="D80" s="17" t="str">
        <f>IFERROR(VLOOKUP(B80,'MASTER DATA'!$A$1:$E$212,5,FALSE),"")</f>
        <v>BAHAN BAKU LUUCA</v>
      </c>
      <c r="E80" s="44">
        <v>82.5</v>
      </c>
      <c r="F80" s="17" t="str">
        <f>IFERROR(VLOOKUP(B80,'MASTER DATA'!$A$1:$E$212,4,FALSE),"")</f>
        <v>GR</v>
      </c>
      <c r="G80" s="18" t="s">
        <v>921</v>
      </c>
      <c r="H80" s="44" t="s">
        <v>1058</v>
      </c>
      <c r="I80" s="18" t="s">
        <v>1034</v>
      </c>
      <c r="J80" s="17" t="b">
        <v>0</v>
      </c>
    </row>
    <row r="81">
      <c r="A81" s="17"/>
      <c r="B81" s="18"/>
      <c r="C81" s="17" t="str">
        <f>IFERROR(VLOOKUP(B81,'MASTER DATA'!$A$1:$E$212,2,FALSE),"")</f>
        <v/>
      </c>
      <c r="D81" s="17" t="str">
        <f>IFERROR(VLOOKUP(B81,'MASTER DATA'!$A$1:$E$212,5,FALSE),"")</f>
        <v/>
      </c>
      <c r="E81" s="18"/>
      <c r="F81" s="17" t="str">
        <f>IFERROR(VLOOKUP(B81,'MASTER DATA'!$A$1:$E$212,4,FALSE),"")</f>
        <v/>
      </c>
      <c r="G81" s="18"/>
      <c r="H81" s="18"/>
      <c r="I81" s="18"/>
      <c r="J81" s="17" t="b">
        <v>0</v>
      </c>
    </row>
    <row r="82">
      <c r="A82" s="18"/>
      <c r="B82" s="18"/>
      <c r="C82" s="17" t="str">
        <f>IFERROR(VLOOKUP(B82,'MASTER DATA'!$A$1:$E$212,2,FALSE),"")</f>
        <v/>
      </c>
      <c r="D82" s="17" t="str">
        <f>IFERROR(VLOOKUP(B82,'MASTER DATA'!$A$1:$E$212,5,FALSE),"")</f>
        <v/>
      </c>
      <c r="E82" s="18"/>
      <c r="F82" s="17" t="str">
        <f>IFERROR(VLOOKUP(B82,'MASTER DATA'!$A$1:$E$212,4,FALSE),"")</f>
        <v/>
      </c>
      <c r="G82" s="18"/>
      <c r="H82" s="18"/>
      <c r="I82" s="18"/>
      <c r="J82" s="17" t="b">
        <v>0</v>
      </c>
    </row>
    <row r="83">
      <c r="A83" s="17"/>
      <c r="B83" s="18"/>
      <c r="C83" s="17" t="str">
        <f>IFERROR(VLOOKUP(B83,'MASTER DATA'!$A$1:$E$212,2,FALSE),"")</f>
        <v/>
      </c>
      <c r="D83" s="17" t="str">
        <f>IFERROR(VLOOKUP(B83,'MASTER DATA'!$A$1:$E$212,5,FALSE),"")</f>
        <v/>
      </c>
      <c r="E83" s="18"/>
      <c r="F83" s="17" t="str">
        <f>IFERROR(VLOOKUP(B83,'MASTER DATA'!$A$1:$E$212,4,FALSE),"")</f>
        <v/>
      </c>
      <c r="G83" s="18"/>
      <c r="H83" s="18"/>
      <c r="I83" s="18"/>
      <c r="J83" s="17" t="b">
        <v>0</v>
      </c>
    </row>
    <row r="84">
      <c r="A84" s="17"/>
      <c r="B84" s="18"/>
      <c r="C84" s="17" t="str">
        <f>IFERROR(VLOOKUP(B84,'MASTER DATA'!$A$1:$E$212,2,FALSE),"")</f>
        <v/>
      </c>
      <c r="D84" s="17" t="str">
        <f>IFERROR(VLOOKUP(B84,'MASTER DATA'!$A$1:$E$212,5,FALSE),"")</f>
        <v/>
      </c>
      <c r="E84" s="18"/>
      <c r="F84" s="17" t="str">
        <f>IFERROR(VLOOKUP(B84,'MASTER DATA'!$A$1:$E$212,4,FALSE),"")</f>
        <v/>
      </c>
      <c r="G84" s="18"/>
      <c r="H84" s="18"/>
      <c r="I84" s="18"/>
      <c r="J84" s="17" t="b">
        <v>0</v>
      </c>
    </row>
    <row r="85">
      <c r="A85" s="17"/>
      <c r="B85" s="18"/>
      <c r="C85" s="17" t="str">
        <f>IFERROR(VLOOKUP(B85,'MASTER DATA'!$A$1:$E$212,2,FALSE),"")</f>
        <v/>
      </c>
      <c r="D85" s="17" t="str">
        <f>IFERROR(VLOOKUP(B85,'MASTER DATA'!$A$1:$E$212,5,FALSE),"")</f>
        <v/>
      </c>
      <c r="E85" s="18"/>
      <c r="F85" s="17" t="str">
        <f>IFERROR(VLOOKUP(B85,'MASTER DATA'!$A$1:$E$212,4,FALSE),"")</f>
        <v/>
      </c>
      <c r="G85" s="18"/>
      <c r="H85" s="18"/>
      <c r="I85" s="18"/>
      <c r="J85" s="17" t="b">
        <v>0</v>
      </c>
    </row>
    <row r="86">
      <c r="A86" s="17"/>
      <c r="B86" s="18"/>
      <c r="C86" s="17" t="str">
        <f>IFERROR(VLOOKUP(B86,'MASTER DATA'!$A$1:$E$212,2,FALSE),"")</f>
        <v/>
      </c>
      <c r="D86" s="17" t="str">
        <f>IFERROR(VLOOKUP(B86,'MASTER DATA'!$A$1:$E$212,5,FALSE),"")</f>
        <v/>
      </c>
      <c r="E86" s="18"/>
      <c r="F86" s="17" t="str">
        <f>IFERROR(VLOOKUP(B86,'MASTER DATA'!$A$1:$E$212,4,FALSE),"")</f>
        <v/>
      </c>
      <c r="G86" s="18"/>
      <c r="H86" s="18"/>
      <c r="I86" s="18"/>
      <c r="J86" s="17" t="b">
        <v>0</v>
      </c>
    </row>
    <row r="87">
      <c r="A87" s="17"/>
      <c r="B87" s="18"/>
      <c r="C87" s="17" t="str">
        <f>IFERROR(VLOOKUP(B87,'MASTER DATA'!$A$1:$E$212,2,FALSE),"")</f>
        <v/>
      </c>
      <c r="D87" s="17" t="str">
        <f>IFERROR(VLOOKUP(B87,'MASTER DATA'!$A$1:$E$212,5,FALSE),"")</f>
        <v/>
      </c>
      <c r="E87" s="18"/>
      <c r="F87" s="17" t="str">
        <f>IFERROR(VLOOKUP(B87,'MASTER DATA'!$A$1:$E$212,4,FALSE),"")</f>
        <v/>
      </c>
      <c r="G87" s="18"/>
      <c r="H87" s="18"/>
      <c r="I87" s="18"/>
      <c r="J87" s="17" t="b">
        <v>0</v>
      </c>
    </row>
    <row r="88">
      <c r="A88" s="17"/>
      <c r="B88" s="18"/>
      <c r="C88" s="17" t="str">
        <f>IFERROR(VLOOKUP(B88,'MASTER DATA'!$A$1:$E$212,2,FALSE),"")</f>
        <v/>
      </c>
      <c r="D88" s="17" t="str">
        <f>IFERROR(VLOOKUP(B88,'MASTER DATA'!$A$1:$E$212,5,FALSE),"")</f>
        <v/>
      </c>
      <c r="E88" s="18"/>
      <c r="F88" s="17" t="str">
        <f>IFERROR(VLOOKUP(B88,'MASTER DATA'!$A$1:$E$212,4,FALSE),"")</f>
        <v/>
      </c>
      <c r="G88" s="18"/>
      <c r="H88" s="18"/>
      <c r="I88" s="18"/>
      <c r="J88" s="17" t="b">
        <v>0</v>
      </c>
    </row>
    <row r="89">
      <c r="A89" s="18"/>
      <c r="B89" s="18"/>
      <c r="C89" s="17" t="str">
        <f>IFERROR(VLOOKUP(B89,'MASTER DATA'!$A$1:$E$212,2,FALSE),"")</f>
        <v/>
      </c>
      <c r="D89" s="17" t="str">
        <f>IFERROR(VLOOKUP(B89,'MASTER DATA'!$A$1:$E$212,5,FALSE),"")</f>
        <v/>
      </c>
      <c r="E89" s="17"/>
      <c r="F89" s="17" t="str">
        <f>IFERROR(VLOOKUP(B89,'MASTER DATA'!$A$1:$E$212,4,FALSE),"")</f>
        <v/>
      </c>
      <c r="G89" s="18"/>
      <c r="H89" s="18"/>
      <c r="I89" s="18"/>
      <c r="J89" s="17" t="b">
        <v>0</v>
      </c>
    </row>
    <row r="90">
      <c r="A90" s="17"/>
      <c r="B90" s="18"/>
      <c r="C90" s="17" t="str">
        <f>IFERROR(VLOOKUP(B90,'MASTER DATA'!$A$1:$E$212,2,FALSE),"")</f>
        <v/>
      </c>
      <c r="D90" s="17" t="str">
        <f>IFERROR(VLOOKUP(B90,'MASTER DATA'!$A$1:$E$212,5,FALSE),"")</f>
        <v/>
      </c>
      <c r="E90" s="17"/>
      <c r="F90" s="17" t="str">
        <f>IFERROR(VLOOKUP(B90,'MASTER DATA'!$A$1:$E$212,4,FALSE),"")</f>
        <v/>
      </c>
      <c r="G90" s="18"/>
      <c r="H90" s="18"/>
      <c r="I90" s="18"/>
      <c r="J90" s="17" t="b">
        <v>0</v>
      </c>
    </row>
    <row r="91">
      <c r="A91" s="17"/>
      <c r="B91" s="18"/>
      <c r="C91" s="17" t="str">
        <f>IFERROR(VLOOKUP(B91,'MASTER DATA'!$A$1:$E$212,2,FALSE),"")</f>
        <v/>
      </c>
      <c r="D91" s="17" t="str">
        <f>IFERROR(VLOOKUP(B91,'MASTER DATA'!$A$1:$E$212,5,FALSE),"")</f>
        <v/>
      </c>
      <c r="E91" s="17"/>
      <c r="F91" s="17" t="str">
        <f>IFERROR(VLOOKUP(B91,'MASTER DATA'!$A$1:$E$212,4,FALSE),"")</f>
        <v/>
      </c>
      <c r="G91" s="18"/>
      <c r="H91" s="18"/>
      <c r="I91" s="18"/>
      <c r="J91" s="17" t="b">
        <v>0</v>
      </c>
    </row>
    <row r="92">
      <c r="A92" s="17"/>
      <c r="B92" s="18"/>
      <c r="C92" s="17" t="str">
        <f>IFERROR(VLOOKUP(B92,'MASTER DATA'!$A$1:$E$212,2,FALSE),"")</f>
        <v/>
      </c>
      <c r="D92" s="17" t="str">
        <f>IFERROR(VLOOKUP(B92,'MASTER DATA'!$A$1:$E$212,5,FALSE),"")</f>
        <v/>
      </c>
      <c r="E92" s="17"/>
      <c r="F92" s="17" t="str">
        <f>IFERROR(VLOOKUP(B92,'MASTER DATA'!$A$1:$E$212,4,FALSE),"")</f>
        <v/>
      </c>
      <c r="G92" s="18"/>
      <c r="H92" s="18"/>
      <c r="I92" s="18"/>
      <c r="J92" s="17" t="b">
        <v>0</v>
      </c>
    </row>
    <row r="93">
      <c r="A93" s="17"/>
      <c r="B93" s="18"/>
      <c r="C93" s="17" t="str">
        <f>IFERROR(VLOOKUP(B93,'MASTER DATA'!$A$1:$E$212,2,FALSE),"")</f>
        <v/>
      </c>
      <c r="D93" s="17" t="str">
        <f>IFERROR(VLOOKUP(B93,'MASTER DATA'!$A$1:$E$212,5,FALSE),"")</f>
        <v/>
      </c>
      <c r="E93" s="18"/>
      <c r="F93" s="17" t="str">
        <f>IFERROR(VLOOKUP(B93,'MASTER DATA'!$A$1:$E$212,4,FALSE),"")</f>
        <v/>
      </c>
      <c r="G93" s="18"/>
      <c r="H93" s="18"/>
      <c r="I93" s="18"/>
      <c r="J93" s="17" t="b">
        <v>0</v>
      </c>
    </row>
    <row r="94">
      <c r="A94" s="17"/>
      <c r="B94" s="18"/>
      <c r="C94" s="17" t="str">
        <f>IFERROR(VLOOKUP(B94,'MASTER DATA'!$A$1:$E$212,2,FALSE),"")</f>
        <v/>
      </c>
      <c r="D94" s="17" t="str">
        <f>IFERROR(VLOOKUP(B94,'MASTER DATA'!$A$1:$E$212,5,FALSE),"")</f>
        <v/>
      </c>
      <c r="E94" s="18"/>
      <c r="F94" s="17" t="str">
        <f>IFERROR(VLOOKUP(B94,'MASTER DATA'!$A$1:$E$212,4,FALSE),"")</f>
        <v/>
      </c>
      <c r="G94" s="18"/>
      <c r="H94" s="18"/>
      <c r="I94" s="18"/>
      <c r="J94" s="17" t="b">
        <v>0</v>
      </c>
    </row>
    <row r="95">
      <c r="A95" s="18"/>
      <c r="B95" s="18"/>
      <c r="C95" s="17" t="str">
        <f>IFERROR(VLOOKUP(B95,'MASTER DATA'!$A$1:$E$212,2,FALSE),"")</f>
        <v/>
      </c>
      <c r="D95" s="17" t="str">
        <f>IFERROR(VLOOKUP(B95,'MASTER DATA'!$A$1:$E$212,5,FALSE),"")</f>
        <v/>
      </c>
      <c r="E95" s="17"/>
      <c r="F95" s="17" t="str">
        <f>IFERROR(VLOOKUP(B95,'MASTER DATA'!$A$1:$E$212,4,FALSE),"")</f>
        <v/>
      </c>
      <c r="G95" s="18"/>
      <c r="H95" s="18"/>
      <c r="I95" s="18"/>
      <c r="J95" s="17" t="b">
        <v>0</v>
      </c>
    </row>
    <row r="96">
      <c r="A96" s="17"/>
      <c r="B96" s="18"/>
      <c r="C96" s="17" t="str">
        <f>IFERROR(VLOOKUP(B96,'MASTER DATA'!$A$1:$E$212,2,FALSE),"")</f>
        <v/>
      </c>
      <c r="D96" s="17" t="str">
        <f>IFERROR(VLOOKUP(B96,'MASTER DATA'!$A$1:$E$212,5,FALSE),"")</f>
        <v/>
      </c>
      <c r="E96" s="18"/>
      <c r="F96" s="17" t="str">
        <f>IFERROR(VLOOKUP(B96,'MASTER DATA'!$A$1:$E$212,4,FALSE),"")</f>
        <v/>
      </c>
      <c r="G96" s="18"/>
      <c r="H96" s="18"/>
      <c r="I96" s="18"/>
      <c r="J96" s="17" t="b">
        <v>0</v>
      </c>
    </row>
    <row r="97">
      <c r="A97" s="17"/>
      <c r="B97" s="18"/>
      <c r="C97" s="17" t="str">
        <f>IFERROR(VLOOKUP(B97,'MASTER DATA'!$A$1:$E$212,2,FALSE),"")</f>
        <v/>
      </c>
      <c r="D97" s="17" t="str">
        <f>IFERROR(VLOOKUP(B97,'MASTER DATA'!$A$1:$E$212,5,FALSE),"")</f>
        <v/>
      </c>
      <c r="E97" s="17"/>
      <c r="F97" s="17" t="str">
        <f>IFERROR(VLOOKUP(B97,'MASTER DATA'!$A$1:$E$212,4,FALSE),"")</f>
        <v/>
      </c>
      <c r="G97" s="18"/>
      <c r="H97" s="18"/>
      <c r="I97" s="18"/>
      <c r="J97" s="17" t="b">
        <v>0</v>
      </c>
    </row>
    <row r="98">
      <c r="A98" s="18"/>
      <c r="B98" s="18"/>
      <c r="C98" s="17" t="str">
        <f>IFERROR(VLOOKUP(B98,'MASTER DATA'!$A$1:$E$212,2,FALSE),"")</f>
        <v/>
      </c>
      <c r="D98" s="17" t="str">
        <f>IFERROR(VLOOKUP(B98,'MASTER DATA'!$A$1:$E$212,5,FALSE),"")</f>
        <v/>
      </c>
      <c r="E98" s="17"/>
      <c r="F98" s="17" t="str">
        <f>IFERROR(VLOOKUP(B98,'MASTER DATA'!$A$1:$E$212,4,FALSE),"")</f>
        <v/>
      </c>
      <c r="G98" s="18"/>
      <c r="H98" s="18"/>
      <c r="I98" s="18"/>
      <c r="J98" s="17" t="b">
        <v>0</v>
      </c>
    </row>
    <row r="99">
      <c r="A99" s="17"/>
      <c r="B99" s="18"/>
      <c r="C99" s="17" t="str">
        <f>IFERROR(VLOOKUP(B99,'MASTER DATA'!$A$1:$E$212,2,FALSE),"")</f>
        <v/>
      </c>
      <c r="D99" s="17" t="str">
        <f>IFERROR(VLOOKUP(B99,'MASTER DATA'!$A$1:$E$212,5,FALSE),"")</f>
        <v/>
      </c>
      <c r="E99" s="17"/>
      <c r="F99" s="17" t="str">
        <f>IFERROR(VLOOKUP(B99,'MASTER DATA'!$A$1:$E$212,4,FALSE),"")</f>
        <v/>
      </c>
      <c r="G99" s="18"/>
      <c r="H99" s="18"/>
      <c r="I99" s="18"/>
      <c r="J99" s="17" t="b">
        <v>0</v>
      </c>
    </row>
    <row r="100">
      <c r="A100" s="17"/>
      <c r="B100" s="18"/>
      <c r="C100" s="17" t="str">
        <f>IFERROR(VLOOKUP(B100,'MASTER DATA'!$A$1:$E$212,2,FALSE),"")</f>
        <v/>
      </c>
      <c r="D100" s="17" t="str">
        <f>IFERROR(VLOOKUP(B100,'MASTER DATA'!$A$1:$E$212,5,FALSE),"")</f>
        <v/>
      </c>
      <c r="E100" s="17"/>
      <c r="F100" s="17" t="str">
        <f>IFERROR(VLOOKUP(B100,'MASTER DATA'!$A$1:$E$212,4,FALSE),"")</f>
        <v/>
      </c>
      <c r="G100" s="18"/>
      <c r="H100" s="18"/>
      <c r="I100" s="18"/>
      <c r="J100" s="17" t="b">
        <v>0</v>
      </c>
    </row>
    <row r="101">
      <c r="A101" s="18"/>
      <c r="B101" s="18"/>
      <c r="C101" s="17" t="str">
        <f>IFERROR(VLOOKUP(B101,'MASTER DATA'!$A$1:$E$212,2,FALSE),"")</f>
        <v/>
      </c>
      <c r="D101" s="17" t="str">
        <f>IFERROR(VLOOKUP(B101,'MASTER DATA'!$A$1:$E$212,5,FALSE),"")</f>
        <v/>
      </c>
      <c r="E101" s="18"/>
      <c r="F101" s="17" t="str">
        <f>IFERROR(VLOOKUP(B101,'MASTER DATA'!$A$1:$E$212,4,FALSE),"")</f>
        <v/>
      </c>
      <c r="G101" s="18"/>
      <c r="H101" s="18"/>
      <c r="I101" s="18"/>
      <c r="J101" s="17" t="b">
        <v>0</v>
      </c>
    </row>
    <row r="102">
      <c r="A102" s="17"/>
      <c r="B102" s="18"/>
      <c r="C102" s="17" t="str">
        <f>IFERROR(VLOOKUP(B102,'MASTER DATA'!$A$1:$E$212,2,FALSE),"")</f>
        <v/>
      </c>
      <c r="D102" s="17" t="str">
        <f>IFERROR(VLOOKUP(B102,'MASTER DATA'!$A$1:$E$212,5,FALSE),"")</f>
        <v/>
      </c>
      <c r="E102" s="18"/>
      <c r="F102" s="17" t="str">
        <f>IFERROR(VLOOKUP(B102,'MASTER DATA'!$A$1:$E$212,4,FALSE),"")</f>
        <v/>
      </c>
      <c r="G102" s="18"/>
      <c r="H102" s="18"/>
      <c r="I102" s="18"/>
      <c r="J102" s="17" t="b">
        <v>0</v>
      </c>
    </row>
    <row r="103">
      <c r="A103" s="17"/>
      <c r="B103" s="18"/>
      <c r="C103" s="17" t="str">
        <f>IFERROR(VLOOKUP(B103,'MASTER DATA'!$A$1:$E$212,2,FALSE),"")</f>
        <v/>
      </c>
      <c r="D103" s="17" t="str">
        <f>IFERROR(VLOOKUP(B103,'MASTER DATA'!$A$1:$E$212,5,FALSE),"")</f>
        <v/>
      </c>
      <c r="E103" s="17"/>
      <c r="F103" s="17" t="str">
        <f>IFERROR(VLOOKUP(B103,'MASTER DATA'!$A$1:$E$212,4,FALSE),"")</f>
        <v/>
      </c>
      <c r="G103" s="18"/>
      <c r="H103" s="18"/>
      <c r="I103" s="18"/>
      <c r="J103" s="17" t="b">
        <v>0</v>
      </c>
    </row>
    <row r="104">
      <c r="A104" s="17"/>
      <c r="B104" s="18"/>
      <c r="C104" s="17" t="str">
        <f>IFERROR(VLOOKUP(B104,'MASTER DATA'!$A$1:$E$212,2,FALSE),"")</f>
        <v/>
      </c>
      <c r="D104" s="17" t="str">
        <f>IFERROR(VLOOKUP(B104,'MASTER DATA'!$A$1:$E$212,5,FALSE),"")</f>
        <v/>
      </c>
      <c r="E104" s="18"/>
      <c r="F104" s="17" t="str">
        <f>IFERROR(VLOOKUP(B104,'MASTER DATA'!$A$1:$E$212,4,FALSE),"")</f>
        <v/>
      </c>
      <c r="G104" s="18"/>
      <c r="H104" s="18"/>
      <c r="I104" s="18"/>
      <c r="J104" s="17" t="b">
        <v>0</v>
      </c>
    </row>
    <row r="105">
      <c r="A105" s="17"/>
      <c r="B105" s="18"/>
      <c r="C105" s="17" t="str">
        <f>IFERROR(VLOOKUP(B105,'MASTER DATA'!$A$1:$E$212,2,FALSE),"")</f>
        <v/>
      </c>
      <c r="D105" s="17" t="str">
        <f>IFERROR(VLOOKUP(B105,'MASTER DATA'!$A$1:$E$212,5,FALSE),"")</f>
        <v/>
      </c>
      <c r="E105" s="18"/>
      <c r="F105" s="17" t="str">
        <f>IFERROR(VLOOKUP(B105,'MASTER DATA'!$A$1:$E$212,4,FALSE),"")</f>
        <v/>
      </c>
      <c r="G105" s="18"/>
      <c r="H105" s="18"/>
      <c r="I105" s="18"/>
      <c r="J105" s="17" t="b">
        <v>0</v>
      </c>
    </row>
    <row r="106">
      <c r="A106" s="17"/>
      <c r="B106" s="18"/>
      <c r="C106" s="17" t="str">
        <f>IFERROR(VLOOKUP(B106,'MASTER DATA'!$A$1:$E$212,2,FALSE),"")</f>
        <v/>
      </c>
      <c r="D106" s="17" t="str">
        <f>IFERROR(VLOOKUP(B106,'MASTER DATA'!$A$1:$E$212,5,FALSE),"")</f>
        <v/>
      </c>
      <c r="E106" s="18"/>
      <c r="F106" s="17" t="str">
        <f>IFERROR(VLOOKUP(B106,'MASTER DATA'!$A$1:$E$212,4,FALSE),"")</f>
        <v/>
      </c>
      <c r="G106" s="18"/>
      <c r="H106" s="18"/>
      <c r="I106" s="18"/>
      <c r="J106" s="17" t="b">
        <v>0</v>
      </c>
    </row>
    <row r="107">
      <c r="A107" s="17"/>
      <c r="B107" s="18"/>
      <c r="C107" s="17" t="str">
        <f>IFERROR(VLOOKUP(B107,'MASTER DATA'!$A$1:$E$212,2,FALSE),"")</f>
        <v/>
      </c>
      <c r="D107" s="17" t="str">
        <f>IFERROR(VLOOKUP(B107,'MASTER DATA'!$A$1:$E$212,5,FALSE),"")</f>
        <v/>
      </c>
      <c r="E107" s="18"/>
      <c r="F107" s="17" t="str">
        <f>IFERROR(VLOOKUP(B107,'MASTER DATA'!$A$1:$E$212,4,FALSE),"")</f>
        <v/>
      </c>
      <c r="G107" s="18"/>
      <c r="H107" s="18"/>
      <c r="I107" s="18"/>
      <c r="J107" s="17" t="b">
        <v>0</v>
      </c>
    </row>
    <row r="108">
      <c r="A108" s="17"/>
      <c r="B108" s="18"/>
      <c r="C108" s="17" t="str">
        <f>IFERROR(VLOOKUP(B108,'MASTER DATA'!$A$1:$E$212,2,FALSE),"")</f>
        <v/>
      </c>
      <c r="D108" s="17" t="str">
        <f>IFERROR(VLOOKUP(B108,'MASTER DATA'!$A$1:$E$212,5,FALSE),"")</f>
        <v/>
      </c>
      <c r="E108" s="18"/>
      <c r="F108" s="17" t="str">
        <f>IFERROR(VLOOKUP(B108,'MASTER DATA'!$A$1:$E$212,4,FALSE),"")</f>
        <v/>
      </c>
      <c r="G108" s="18"/>
      <c r="H108" s="18"/>
      <c r="I108" s="18"/>
      <c r="J108" s="17" t="b">
        <v>0</v>
      </c>
    </row>
    <row r="109">
      <c r="A109" s="17"/>
      <c r="B109" s="18"/>
      <c r="C109" s="17" t="str">
        <f>IFERROR(VLOOKUP(B109,'MASTER DATA'!$A$1:$E$212,2,FALSE),"")</f>
        <v/>
      </c>
      <c r="D109" s="17" t="str">
        <f>IFERROR(VLOOKUP(B109,'MASTER DATA'!$A$1:$E$212,5,FALSE),"")</f>
        <v/>
      </c>
      <c r="E109" s="18"/>
      <c r="F109" s="17" t="str">
        <f>IFERROR(VLOOKUP(B109,'MASTER DATA'!$A$1:$E$212,4,FALSE),"")</f>
        <v/>
      </c>
      <c r="G109" s="18"/>
      <c r="H109" s="18"/>
      <c r="I109" s="18"/>
      <c r="J109" s="17" t="b">
        <v>0</v>
      </c>
    </row>
    <row r="110">
      <c r="A110" s="18"/>
      <c r="B110" s="18"/>
      <c r="C110" s="17" t="str">
        <f>IFERROR(VLOOKUP(B110,'MASTER DATA'!$A$1:$E$212,2,FALSE),"")</f>
        <v/>
      </c>
      <c r="D110" s="17" t="str">
        <f>IFERROR(VLOOKUP(B110,'MASTER DATA'!$A$1:$E$212,5,FALSE),"")</f>
        <v/>
      </c>
      <c r="E110" s="17"/>
      <c r="F110" s="17" t="str">
        <f>IFERROR(VLOOKUP(B110,'MASTER DATA'!$A$1:$E$212,4,FALSE),"")</f>
        <v/>
      </c>
      <c r="G110" s="18"/>
      <c r="H110" s="18"/>
      <c r="I110" s="18"/>
      <c r="J110" s="17" t="b">
        <v>0</v>
      </c>
    </row>
    <row r="111">
      <c r="A111" s="17"/>
      <c r="B111" s="18"/>
      <c r="C111" s="17" t="str">
        <f>IFERROR(VLOOKUP(B111,'MASTER DATA'!$A$1:$E$212,2,FALSE),"")</f>
        <v/>
      </c>
      <c r="D111" s="17" t="str">
        <f>IFERROR(VLOOKUP(B111,'MASTER DATA'!$A$1:$E$212,5,FALSE),"")</f>
        <v/>
      </c>
      <c r="E111" s="17"/>
      <c r="F111" s="17" t="str">
        <f>IFERROR(VLOOKUP(B111,'MASTER DATA'!$A$1:$E$212,4,FALSE),"")</f>
        <v/>
      </c>
      <c r="G111" s="18"/>
      <c r="H111" s="18"/>
      <c r="I111" s="18"/>
      <c r="J111" s="17" t="b">
        <v>0</v>
      </c>
    </row>
    <row r="112">
      <c r="A112" s="17"/>
      <c r="B112" s="18"/>
      <c r="C112" s="17" t="str">
        <f>IFERROR(VLOOKUP(B112,'MASTER DATA'!$A$1:$E$212,2,FALSE),"")</f>
        <v/>
      </c>
      <c r="D112" s="17" t="str">
        <f>IFERROR(VLOOKUP(B112,'MASTER DATA'!$A$1:$E$212,5,FALSE),"")</f>
        <v/>
      </c>
      <c r="E112" s="18"/>
      <c r="F112" s="17" t="str">
        <f>IFERROR(VLOOKUP(B112,'MASTER DATA'!$A$1:$E$212,4,FALSE),"")</f>
        <v/>
      </c>
      <c r="G112" s="18"/>
      <c r="H112" s="18"/>
      <c r="I112" s="18"/>
      <c r="J112" s="17" t="b">
        <v>0</v>
      </c>
    </row>
    <row r="113">
      <c r="A113" s="17"/>
      <c r="B113" s="18"/>
      <c r="C113" s="17" t="str">
        <f>IFERROR(VLOOKUP(B113,'MASTER DATA'!$A$1:$E$212,2,FALSE),"")</f>
        <v/>
      </c>
      <c r="D113" s="17" t="str">
        <f>IFERROR(VLOOKUP(B113,'MASTER DATA'!$A$1:$E$212,5,FALSE),"")</f>
        <v/>
      </c>
      <c r="E113" s="17"/>
      <c r="F113" s="17" t="str">
        <f>IFERROR(VLOOKUP(B113,'MASTER DATA'!$A$1:$E$212,4,FALSE),"")</f>
        <v/>
      </c>
      <c r="G113" s="18"/>
      <c r="H113" s="18"/>
      <c r="I113" s="18"/>
      <c r="J113" s="17" t="b">
        <v>0</v>
      </c>
    </row>
    <row r="114">
      <c r="A114" s="17"/>
      <c r="B114" s="18"/>
      <c r="C114" s="17" t="str">
        <f>IFERROR(VLOOKUP(B114,'MASTER DATA'!$A$1:$E$212,2,FALSE),"")</f>
        <v/>
      </c>
      <c r="D114" s="17" t="str">
        <f>IFERROR(VLOOKUP(B114,'MASTER DATA'!$A$1:$E$212,5,FALSE),"")</f>
        <v/>
      </c>
      <c r="E114" s="17"/>
      <c r="F114" s="17" t="str">
        <f>IFERROR(VLOOKUP(B114,'MASTER DATA'!$A$1:$E$212,4,FALSE),"")</f>
        <v/>
      </c>
      <c r="G114" s="18"/>
      <c r="H114" s="18"/>
      <c r="I114" s="18"/>
      <c r="J114" s="17" t="b">
        <v>0</v>
      </c>
    </row>
    <row r="115">
      <c r="A115" s="18"/>
      <c r="B115" s="18"/>
      <c r="C115" s="17" t="str">
        <f>IFERROR(VLOOKUP(B115,'MASTER DATA'!$A$1:$E$212,2,FALSE),"")</f>
        <v/>
      </c>
      <c r="D115" s="17" t="str">
        <f>IFERROR(VLOOKUP(B115,'MASTER DATA'!$A$1:$E$212,5,FALSE),"")</f>
        <v/>
      </c>
      <c r="E115" s="17"/>
      <c r="F115" s="17" t="str">
        <f>IFERROR(VLOOKUP(B115,'MASTER DATA'!$A$1:$E$212,4,FALSE),"")</f>
        <v/>
      </c>
      <c r="G115" s="18"/>
      <c r="H115" s="18"/>
      <c r="I115" s="18"/>
      <c r="J115" s="17" t="b">
        <v>0</v>
      </c>
    </row>
    <row r="116">
      <c r="A116" s="17"/>
      <c r="B116" s="18"/>
      <c r="C116" s="17" t="str">
        <f>IFERROR(VLOOKUP(B116,'MASTER DATA'!$A$1:$E$212,2,FALSE),"")</f>
        <v/>
      </c>
      <c r="D116" s="17" t="str">
        <f>IFERROR(VLOOKUP(B116,'MASTER DATA'!$A$1:$E$212,5,FALSE),"")</f>
        <v/>
      </c>
      <c r="E116" s="18"/>
      <c r="F116" s="17" t="str">
        <f>IFERROR(VLOOKUP(B116,'MASTER DATA'!$A$1:$E$212,4,FALSE),"")</f>
        <v/>
      </c>
      <c r="G116" s="18"/>
      <c r="H116" s="18"/>
      <c r="I116" s="18"/>
      <c r="J116" s="17" t="b">
        <v>0</v>
      </c>
    </row>
    <row r="117">
      <c r="A117" s="18"/>
      <c r="B117" s="18"/>
      <c r="C117" s="17" t="str">
        <f>IFERROR(VLOOKUP(B117,'MASTER DATA'!$A$1:$E$212,2,FALSE),"")</f>
        <v/>
      </c>
      <c r="D117" s="17" t="str">
        <f>IFERROR(VLOOKUP(B117,'MASTER DATA'!$A$1:$E$212,5,FALSE),"")</f>
        <v/>
      </c>
      <c r="E117" s="18"/>
      <c r="F117" s="17" t="str">
        <f>IFERROR(VLOOKUP(B117,'MASTER DATA'!$A$1:$E$212,4,FALSE),"")</f>
        <v/>
      </c>
      <c r="G117" s="18"/>
      <c r="H117" s="18"/>
      <c r="I117" s="18"/>
      <c r="J117" s="17" t="b">
        <v>0</v>
      </c>
    </row>
    <row r="118">
      <c r="A118" s="18"/>
      <c r="B118" s="18"/>
      <c r="C118" s="17" t="str">
        <f>IFERROR(VLOOKUP(B118,'MASTER DATA'!$A$1:$E$212,2,FALSE),"")</f>
        <v/>
      </c>
      <c r="D118" s="17" t="str">
        <f>IFERROR(VLOOKUP(B118,'MASTER DATA'!$A$1:$E$212,5,FALSE),"")</f>
        <v/>
      </c>
      <c r="E118" s="17"/>
      <c r="F118" s="17" t="str">
        <f>IFERROR(VLOOKUP(B118,'MASTER DATA'!$A$1:$E$212,4,FALSE),"")</f>
        <v/>
      </c>
      <c r="G118" s="18"/>
      <c r="H118" s="18"/>
      <c r="I118" s="18"/>
      <c r="J118" s="17" t="b">
        <v>0</v>
      </c>
    </row>
    <row r="119">
      <c r="A119" s="17"/>
      <c r="B119" s="18"/>
      <c r="C119" s="17" t="str">
        <f>IFERROR(VLOOKUP(B119,'MASTER DATA'!$A$1:$E$212,2,FALSE),"")</f>
        <v/>
      </c>
      <c r="D119" s="17" t="str">
        <f>IFERROR(VLOOKUP(B119,'MASTER DATA'!$A$1:$E$212,5,FALSE),"")</f>
        <v/>
      </c>
      <c r="E119" s="17"/>
      <c r="F119" s="17" t="str">
        <f>IFERROR(VLOOKUP(B119,'MASTER DATA'!$A$1:$E$212,4,FALSE),"")</f>
        <v/>
      </c>
      <c r="G119" s="18"/>
      <c r="H119" s="18"/>
      <c r="I119" s="18"/>
      <c r="J119" s="17" t="b">
        <v>0</v>
      </c>
    </row>
    <row r="120">
      <c r="A120" s="17"/>
      <c r="B120" s="18"/>
      <c r="C120" s="17" t="str">
        <f>IFERROR(VLOOKUP(B120,'MASTER DATA'!$A$1:$E$212,2,FALSE),"")</f>
        <v/>
      </c>
      <c r="D120" s="17" t="str">
        <f>IFERROR(VLOOKUP(B120,'MASTER DATA'!$A$1:$E$212,5,FALSE),"")</f>
        <v/>
      </c>
      <c r="E120" s="18"/>
      <c r="F120" s="17" t="str">
        <f>IFERROR(VLOOKUP(B120,'MASTER DATA'!$A$1:$E$212,4,FALSE),"")</f>
        <v/>
      </c>
      <c r="G120" s="18"/>
      <c r="H120" s="18"/>
      <c r="I120" s="18"/>
      <c r="J120" s="17" t="b">
        <v>0</v>
      </c>
    </row>
    <row r="121">
      <c r="A121" s="17"/>
      <c r="B121" s="18"/>
      <c r="C121" s="17" t="str">
        <f>IFERROR(VLOOKUP(B121,'MASTER DATA'!$A$1:$E$212,2,FALSE),"")</f>
        <v/>
      </c>
      <c r="D121" s="17" t="str">
        <f>IFERROR(VLOOKUP(B121,'MASTER DATA'!$A$1:$E$212,5,FALSE),"")</f>
        <v/>
      </c>
      <c r="E121" s="18"/>
      <c r="F121" s="17" t="str">
        <f>IFERROR(VLOOKUP(B121,'MASTER DATA'!$A$1:$E$212,4,FALSE),"")</f>
        <v/>
      </c>
      <c r="G121" s="18"/>
      <c r="H121" s="18"/>
      <c r="I121" s="18"/>
      <c r="J121" s="17" t="b">
        <v>0</v>
      </c>
    </row>
    <row r="122">
      <c r="A122" s="18"/>
      <c r="B122" s="18"/>
      <c r="C122" s="17" t="str">
        <f>IFERROR(VLOOKUP(B122,'MASTER DATA'!$A$1:$E$212,2,FALSE),"")</f>
        <v/>
      </c>
      <c r="D122" s="17" t="str">
        <f>IFERROR(VLOOKUP(B122,'MASTER DATA'!$A$1:$E$212,5,FALSE),"")</f>
        <v/>
      </c>
      <c r="E122" s="18"/>
      <c r="F122" s="17" t="str">
        <f>IFERROR(VLOOKUP(B122,'MASTER DATA'!$A$1:$E$212,4,FALSE),"")</f>
        <v/>
      </c>
      <c r="G122" s="18"/>
      <c r="H122" s="18"/>
      <c r="I122" s="18"/>
      <c r="J122" s="17" t="b">
        <v>0</v>
      </c>
    </row>
    <row r="123">
      <c r="A123" s="17"/>
      <c r="B123" s="18"/>
      <c r="C123" s="17" t="str">
        <f>IFERROR(VLOOKUP(B123,'MASTER DATA'!$A$1:$E$212,2,FALSE),"")</f>
        <v/>
      </c>
      <c r="D123" s="17" t="str">
        <f>IFERROR(VLOOKUP(B123,'MASTER DATA'!$A$1:$E$212,5,FALSE),"")</f>
        <v/>
      </c>
      <c r="E123" s="17"/>
      <c r="F123" s="17" t="str">
        <f>IFERROR(VLOOKUP(B123,'MASTER DATA'!$A$1:$E$212,4,FALSE),"")</f>
        <v/>
      </c>
      <c r="G123" s="18"/>
      <c r="H123" s="18"/>
      <c r="I123" s="18"/>
      <c r="J123" s="17" t="b">
        <v>0</v>
      </c>
    </row>
    <row r="124">
      <c r="A124" s="17"/>
      <c r="B124" s="18"/>
      <c r="C124" s="17" t="str">
        <f>IFERROR(VLOOKUP(B124,'MASTER DATA'!$A$1:$E$212,2,FALSE),"")</f>
        <v/>
      </c>
      <c r="D124" s="17" t="str">
        <f>IFERROR(VLOOKUP(B124,'MASTER DATA'!$A$1:$E$212,5,FALSE),"")</f>
        <v/>
      </c>
      <c r="E124" s="17"/>
      <c r="F124" s="17" t="str">
        <f>IFERROR(VLOOKUP(B124,'MASTER DATA'!$A$1:$E$212,4,FALSE),"")</f>
        <v/>
      </c>
      <c r="G124" s="18"/>
      <c r="H124" s="18"/>
      <c r="I124" s="18"/>
      <c r="J124" s="17" t="b">
        <v>0</v>
      </c>
    </row>
    <row r="125">
      <c r="A125" s="18"/>
      <c r="B125" s="18"/>
      <c r="C125" s="17" t="str">
        <f>IFERROR(VLOOKUP(B125,'MASTER DATA'!$A$1:$E$212,2,FALSE),"")</f>
        <v/>
      </c>
      <c r="D125" s="17" t="str">
        <f>IFERROR(VLOOKUP(B125,'MASTER DATA'!$A$1:$E$212,5,FALSE),"")</f>
        <v/>
      </c>
      <c r="E125" s="18"/>
      <c r="F125" s="17" t="str">
        <f>IFERROR(VLOOKUP(B125,'MASTER DATA'!$A$1:$E$212,4,FALSE),"")</f>
        <v/>
      </c>
      <c r="G125" s="18"/>
      <c r="H125" s="18"/>
      <c r="I125" s="18"/>
      <c r="J125" s="17" t="b">
        <v>0</v>
      </c>
    </row>
    <row r="126">
      <c r="A126" s="18"/>
      <c r="B126" s="18"/>
      <c r="C126" s="17" t="str">
        <f>IFERROR(VLOOKUP(B126,'MASTER DATA'!$A$1:$E$212,2,FALSE),"")</f>
        <v/>
      </c>
      <c r="D126" s="17" t="str">
        <f>IFERROR(VLOOKUP(B126,'MASTER DATA'!$A$1:$E$212,5,FALSE),"")</f>
        <v/>
      </c>
      <c r="E126" s="18"/>
      <c r="F126" s="17" t="str">
        <f>IFERROR(VLOOKUP(B126,'MASTER DATA'!$A$1:$E$212,4,FALSE),"")</f>
        <v/>
      </c>
      <c r="G126" s="18"/>
      <c r="H126" s="18"/>
      <c r="I126" s="18"/>
      <c r="J126" s="17" t="b">
        <v>0</v>
      </c>
    </row>
    <row r="127">
      <c r="A127" s="17"/>
      <c r="B127" s="18"/>
      <c r="C127" s="17" t="str">
        <f>IFERROR(VLOOKUP(B127,'MASTER DATA'!$A$1:$E$212,2,FALSE),"")</f>
        <v/>
      </c>
      <c r="D127" s="17" t="str">
        <f>IFERROR(VLOOKUP(B127,'MASTER DATA'!$A$1:$E$212,5,FALSE),"")</f>
        <v/>
      </c>
      <c r="E127" s="18"/>
      <c r="F127" s="17" t="str">
        <f>IFERROR(VLOOKUP(B127,'MASTER DATA'!$A$1:$E$212,4,FALSE),"")</f>
        <v/>
      </c>
      <c r="G127" s="18"/>
      <c r="H127" s="18"/>
      <c r="I127" s="18"/>
      <c r="J127" s="17" t="b">
        <v>0</v>
      </c>
    </row>
    <row r="128">
      <c r="A128" s="17"/>
      <c r="B128" s="18"/>
      <c r="C128" s="17" t="str">
        <f>IFERROR(VLOOKUP(B128,'MASTER DATA'!$A$1:$E$212,2,FALSE),"")</f>
        <v/>
      </c>
      <c r="D128" s="17" t="str">
        <f>IFERROR(VLOOKUP(B128,'MASTER DATA'!$A$1:$E$212,5,FALSE),"")</f>
        <v/>
      </c>
      <c r="E128" s="18"/>
      <c r="F128" s="17" t="str">
        <f>IFERROR(VLOOKUP(B128,'MASTER DATA'!$A$1:$E$212,4,FALSE),"")</f>
        <v/>
      </c>
      <c r="G128" s="18"/>
      <c r="H128" s="18"/>
      <c r="I128" s="18"/>
      <c r="J128" s="17" t="b">
        <v>0</v>
      </c>
    </row>
    <row r="129">
      <c r="A129" s="17"/>
      <c r="B129" s="18"/>
      <c r="C129" s="17" t="str">
        <f>IFERROR(VLOOKUP(B129,'MASTER DATA'!$A$1:$E$212,2,FALSE),"")</f>
        <v/>
      </c>
      <c r="D129" s="17" t="str">
        <f>IFERROR(VLOOKUP(B129,'MASTER DATA'!$A$1:$E$212,5,FALSE),"")</f>
        <v/>
      </c>
      <c r="E129" s="18"/>
      <c r="F129" s="17" t="str">
        <f>IFERROR(VLOOKUP(B129,'MASTER DATA'!$A$1:$E$212,4,FALSE),"")</f>
        <v/>
      </c>
      <c r="G129" s="18"/>
      <c r="H129" s="18"/>
      <c r="I129" s="18"/>
      <c r="J129" s="17" t="b">
        <v>0</v>
      </c>
    </row>
    <row r="130">
      <c r="A130" s="17"/>
      <c r="B130" s="18"/>
      <c r="C130" s="17" t="str">
        <f>IFERROR(VLOOKUP(B130,'MASTER DATA'!$A$1:$E$212,2,FALSE),"")</f>
        <v/>
      </c>
      <c r="D130" s="17" t="str">
        <f>IFERROR(VLOOKUP(B130,'MASTER DATA'!$A$1:$E$212,5,FALSE),"")</f>
        <v/>
      </c>
      <c r="E130" s="18"/>
      <c r="F130" s="17" t="str">
        <f>IFERROR(VLOOKUP(B130,'MASTER DATA'!$A$1:$E$212,4,FALSE),"")</f>
        <v/>
      </c>
      <c r="G130" s="18"/>
      <c r="H130" s="18"/>
      <c r="I130" s="18"/>
      <c r="J130" s="17" t="b">
        <v>0</v>
      </c>
    </row>
    <row r="131">
      <c r="A131" s="17"/>
      <c r="B131" s="18"/>
      <c r="C131" s="17" t="str">
        <f>IFERROR(VLOOKUP(B131,'MASTER DATA'!$A$1:$E$212,2,FALSE),"")</f>
        <v/>
      </c>
      <c r="D131" s="17" t="str">
        <f>IFERROR(VLOOKUP(B131,'MASTER DATA'!$A$1:$E$212,5,FALSE),"")</f>
        <v/>
      </c>
      <c r="E131" s="18"/>
      <c r="F131" s="17" t="str">
        <f>IFERROR(VLOOKUP(B131,'MASTER DATA'!$A$1:$E$212,4,FALSE),"")</f>
        <v/>
      </c>
      <c r="G131" s="18"/>
      <c r="H131" s="18"/>
      <c r="I131" s="18"/>
      <c r="J131" s="17" t="b">
        <v>0</v>
      </c>
    </row>
    <row r="132">
      <c r="A132" s="17"/>
      <c r="B132" s="18"/>
      <c r="C132" s="17" t="str">
        <f>IFERROR(VLOOKUP(B132,'MASTER DATA'!$A$1:$E$212,2,FALSE),"")</f>
        <v/>
      </c>
      <c r="D132" s="17" t="str">
        <f>IFERROR(VLOOKUP(B132,'MASTER DATA'!$A$1:$E$212,5,FALSE),"")</f>
        <v/>
      </c>
      <c r="E132" s="18"/>
      <c r="F132" s="17" t="str">
        <f>IFERROR(VLOOKUP(B132,'MASTER DATA'!$A$1:$E$212,4,FALSE),"")</f>
        <v/>
      </c>
      <c r="G132" s="18"/>
      <c r="H132" s="18"/>
      <c r="I132" s="18"/>
      <c r="J132" s="17" t="b">
        <v>0</v>
      </c>
    </row>
    <row r="133">
      <c r="A133" s="36"/>
      <c r="B133" s="18"/>
      <c r="C133" s="17" t="str">
        <f>IFERROR(VLOOKUP(B133,'MASTER DATA'!$A$1:$E$212,2,FALSE),"")</f>
        <v/>
      </c>
      <c r="D133" s="17" t="str">
        <f>IFERROR(VLOOKUP(B133,'MASTER DATA'!$A$1:$E$212,5,FALSE),"")</f>
        <v/>
      </c>
      <c r="E133" s="18"/>
      <c r="F133" s="17" t="str">
        <f>IFERROR(VLOOKUP(B133,'MASTER DATA'!$A$1:$E$212,4,FALSE),"")</f>
        <v/>
      </c>
      <c r="G133" s="18"/>
      <c r="H133" s="18"/>
      <c r="I133" s="18"/>
      <c r="J133" s="17" t="b">
        <v>0</v>
      </c>
    </row>
    <row r="134">
      <c r="A134" s="17"/>
      <c r="B134" s="18"/>
      <c r="C134" s="17" t="str">
        <f>IFERROR(VLOOKUP(B134,'MASTER DATA'!$A$1:$E$212,2,FALSE),"")</f>
        <v/>
      </c>
      <c r="D134" s="17" t="str">
        <f>IFERROR(VLOOKUP(B134,'MASTER DATA'!$A$1:$E$212,5,FALSE),"")</f>
        <v/>
      </c>
      <c r="E134" s="18"/>
      <c r="F134" s="17" t="str">
        <f>IFERROR(VLOOKUP(B134,'MASTER DATA'!$A$1:$E$212,4,FALSE),"")</f>
        <v/>
      </c>
      <c r="G134" s="18"/>
      <c r="H134" s="18"/>
      <c r="I134" s="18"/>
      <c r="J134" s="17" t="b">
        <v>0</v>
      </c>
    </row>
    <row r="135">
      <c r="A135" s="17"/>
      <c r="B135" s="18"/>
      <c r="C135" s="17" t="str">
        <f>IFERROR(VLOOKUP(B135,'MASTER DATA'!$A$1:$E$212,2,FALSE),"")</f>
        <v/>
      </c>
      <c r="D135" s="17" t="str">
        <f>IFERROR(VLOOKUP(B135,'MASTER DATA'!$A$1:$E$212,5,FALSE),"")</f>
        <v/>
      </c>
      <c r="E135" s="18"/>
      <c r="F135" s="17" t="str">
        <f>IFERROR(VLOOKUP(B135,'MASTER DATA'!$A$1:$E$212,4,FALSE),"")</f>
        <v/>
      </c>
      <c r="G135" s="18"/>
      <c r="H135" s="18"/>
      <c r="I135" s="18"/>
      <c r="J135" s="17" t="b">
        <v>0</v>
      </c>
    </row>
    <row r="136">
      <c r="A136" s="17"/>
      <c r="B136" s="18"/>
      <c r="C136" s="17" t="str">
        <f>IFERROR(VLOOKUP(B136,'MASTER DATA'!$A$1:$E$212,2,FALSE),"")</f>
        <v/>
      </c>
      <c r="D136" s="17" t="str">
        <f>IFERROR(VLOOKUP(B136,'MASTER DATA'!$A$1:$E$212,5,FALSE),"")</f>
        <v/>
      </c>
      <c r="E136" s="18"/>
      <c r="F136" s="17" t="str">
        <f>IFERROR(VLOOKUP(B136,'MASTER DATA'!$A$1:$E$212,4,FALSE),"")</f>
        <v/>
      </c>
      <c r="G136" s="18"/>
      <c r="H136" s="18"/>
      <c r="I136" s="18"/>
      <c r="J136" s="17" t="b">
        <v>0</v>
      </c>
    </row>
    <row r="137">
      <c r="A137" s="36"/>
      <c r="B137" s="18"/>
      <c r="C137" s="17" t="str">
        <f>IFERROR(VLOOKUP(B137,'MASTER DATA'!$A$1:$E$212,2,FALSE),"")</f>
        <v/>
      </c>
      <c r="D137" s="17" t="str">
        <f>IFERROR(VLOOKUP(B137,'MASTER DATA'!$A$1:$E$212,5,FALSE),"")</f>
        <v/>
      </c>
      <c r="E137" s="18"/>
      <c r="F137" s="17" t="str">
        <f>IFERROR(VLOOKUP(B137,'MASTER DATA'!$A$1:$E$212,4,FALSE),"")</f>
        <v/>
      </c>
      <c r="G137" s="18"/>
      <c r="H137" s="18"/>
      <c r="I137" s="18"/>
      <c r="J137" s="17" t="b">
        <v>0</v>
      </c>
    </row>
    <row r="138">
      <c r="A138" s="17"/>
      <c r="B138" s="18"/>
      <c r="C138" s="17" t="str">
        <f>IFERROR(VLOOKUP(B138,'MASTER DATA'!$A$1:$E$212,2,FALSE),"")</f>
        <v/>
      </c>
      <c r="D138" s="17" t="str">
        <f>IFERROR(VLOOKUP(B138,'MASTER DATA'!$A$1:$E$212,5,FALSE),"")</f>
        <v/>
      </c>
      <c r="E138" s="18"/>
      <c r="F138" s="17" t="str">
        <f>IFERROR(VLOOKUP(B138,'MASTER DATA'!$A$1:$E$212,4,FALSE),"")</f>
        <v/>
      </c>
      <c r="G138" s="18"/>
      <c r="H138" s="18"/>
      <c r="I138" s="18"/>
      <c r="J138" s="17" t="b">
        <v>0</v>
      </c>
    </row>
    <row r="139">
      <c r="A139" s="17"/>
      <c r="B139" s="18"/>
      <c r="C139" s="17" t="str">
        <f>IFERROR(VLOOKUP(B139,'MASTER DATA'!$A$1:$E$212,2,FALSE),"")</f>
        <v/>
      </c>
      <c r="D139" s="17" t="str">
        <f>IFERROR(VLOOKUP(B139,'MASTER DATA'!$A$1:$E$212,5,FALSE),"")</f>
        <v/>
      </c>
      <c r="E139" s="18"/>
      <c r="F139" s="17" t="str">
        <f>IFERROR(VLOOKUP(B139,'MASTER DATA'!$A$1:$E$212,4,FALSE),"")</f>
        <v/>
      </c>
      <c r="G139" s="18"/>
      <c r="H139" s="18"/>
      <c r="I139" s="18"/>
      <c r="J139" s="17" t="b">
        <v>0</v>
      </c>
    </row>
    <row r="140">
      <c r="A140" s="17"/>
      <c r="B140" s="18"/>
      <c r="C140" s="17" t="str">
        <f>IFERROR(VLOOKUP(B140,'MASTER DATA'!$A$1:$E$212,2,FALSE),"")</f>
        <v/>
      </c>
      <c r="D140" s="17" t="str">
        <f>IFERROR(VLOOKUP(B140,'MASTER DATA'!$A$1:$E$212,5,FALSE),"")</f>
        <v/>
      </c>
      <c r="E140" s="18"/>
      <c r="F140" s="17" t="str">
        <f>IFERROR(VLOOKUP(B140,'MASTER DATA'!$A$1:$E$212,4,FALSE),"")</f>
        <v/>
      </c>
      <c r="G140" s="18"/>
      <c r="H140" s="18"/>
      <c r="I140" s="18"/>
      <c r="J140" s="17" t="b">
        <v>0</v>
      </c>
    </row>
    <row r="141">
      <c r="A141" s="17"/>
      <c r="B141" s="18"/>
      <c r="C141" s="17" t="str">
        <f>IFERROR(VLOOKUP(B141,'MASTER DATA'!$A$1:$E$212,2,FALSE),"")</f>
        <v/>
      </c>
      <c r="D141" s="17" t="str">
        <f>IFERROR(VLOOKUP(B141,'MASTER DATA'!$A$1:$E$212,5,FALSE),"")</f>
        <v/>
      </c>
      <c r="E141" s="18"/>
      <c r="F141" s="17" t="str">
        <f>IFERROR(VLOOKUP(B141,'MASTER DATA'!$A$1:$E$212,4,FALSE),"")</f>
        <v/>
      </c>
      <c r="G141" s="18"/>
      <c r="H141" s="18"/>
      <c r="I141" s="18"/>
      <c r="J141" s="17" t="b">
        <v>0</v>
      </c>
    </row>
    <row r="142">
      <c r="A142" s="17"/>
      <c r="B142" s="18"/>
      <c r="C142" s="17" t="str">
        <f>IFERROR(VLOOKUP(B142,'MASTER DATA'!$A$1:$E$212,2,FALSE),"")</f>
        <v/>
      </c>
      <c r="D142" s="17" t="str">
        <f>IFERROR(VLOOKUP(B142,'MASTER DATA'!$A$1:$E$212,5,FALSE),"")</f>
        <v/>
      </c>
      <c r="E142" s="18"/>
      <c r="F142" s="17" t="str">
        <f>IFERROR(VLOOKUP(B142,'MASTER DATA'!$A$1:$E$212,4,FALSE),"")</f>
        <v/>
      </c>
      <c r="G142" s="18"/>
      <c r="H142" s="18"/>
      <c r="I142" s="18"/>
      <c r="J142" s="17" t="b">
        <v>0</v>
      </c>
    </row>
    <row r="143">
      <c r="A143" s="36"/>
      <c r="B143" s="18"/>
      <c r="C143" s="17" t="str">
        <f>IFERROR(VLOOKUP(B143,'MASTER DATA'!$A$1:$E$212,2,FALSE),"")</f>
        <v/>
      </c>
      <c r="D143" s="17" t="str">
        <f>IFERROR(VLOOKUP(B143,'MASTER DATA'!$A$1:$E$212,5,FALSE),"")</f>
        <v/>
      </c>
      <c r="E143" s="18"/>
      <c r="F143" s="17" t="str">
        <f>IFERROR(VLOOKUP(B143,'MASTER DATA'!$A$1:$E$212,4,FALSE),"")</f>
        <v/>
      </c>
      <c r="G143" s="18"/>
      <c r="H143" s="18"/>
      <c r="I143" s="18"/>
      <c r="J143" s="17" t="b">
        <v>0</v>
      </c>
    </row>
    <row r="144">
      <c r="A144" s="17"/>
      <c r="B144" s="18"/>
      <c r="C144" s="17" t="str">
        <f>IFERROR(VLOOKUP(B144,'MASTER DATA'!$A$1:$E$212,2,FALSE),"")</f>
        <v/>
      </c>
      <c r="D144" s="17" t="str">
        <f>IFERROR(VLOOKUP(B144,'MASTER DATA'!$A$1:$E$212,5,FALSE),"")</f>
        <v/>
      </c>
      <c r="E144" s="18"/>
      <c r="F144" s="17" t="str">
        <f>IFERROR(VLOOKUP(B144,'MASTER DATA'!$A$1:$E$212,4,FALSE),"")</f>
        <v/>
      </c>
      <c r="G144" s="18"/>
      <c r="H144" s="18"/>
      <c r="I144" s="18"/>
      <c r="J144" s="17" t="b">
        <v>0</v>
      </c>
    </row>
    <row r="145">
      <c r="A145" s="17"/>
      <c r="B145" s="17"/>
      <c r="C145" s="17" t="str">
        <f>IFERROR(VLOOKUP(B145,'MASTER DATA'!$A$1:$E$212,2,FALSE),"")</f>
        <v/>
      </c>
      <c r="D145" s="17" t="str">
        <f>IFERROR(VLOOKUP(B145,'MASTER DATA'!$A$1:$E$212,5,FALSE),"")</f>
        <v/>
      </c>
      <c r="E145" s="17"/>
      <c r="F145" s="17" t="str">
        <f>IFERROR(VLOOKUP(B145,'MASTER DATA'!$A$1:$E$212,4,FALSE),"")</f>
        <v/>
      </c>
      <c r="G145" s="17"/>
      <c r="H145" s="17"/>
      <c r="I145" s="17"/>
      <c r="J145" s="17" t="b">
        <v>0</v>
      </c>
    </row>
    <row r="146">
      <c r="A146" s="17"/>
      <c r="B146" s="17"/>
      <c r="C146" s="17" t="str">
        <f>IFERROR(VLOOKUP(B146,'MASTER DATA'!$A$1:$E$212,2,FALSE),"")</f>
        <v/>
      </c>
      <c r="D146" s="17" t="str">
        <f>IFERROR(VLOOKUP(B146,'MASTER DATA'!$A$1:$E$212,5,FALSE),"")</f>
        <v/>
      </c>
      <c r="E146" s="17"/>
      <c r="F146" s="17" t="str">
        <f>IFERROR(VLOOKUP(B146,'MASTER DATA'!$A$1:$E$212,4,FALSE),"")</f>
        <v/>
      </c>
      <c r="G146" s="17"/>
      <c r="H146" s="17"/>
      <c r="I146" s="17"/>
      <c r="J146" s="17" t="b">
        <v>0</v>
      </c>
    </row>
    <row r="147">
      <c r="A147" s="17"/>
      <c r="B147" s="17"/>
      <c r="C147" s="17" t="str">
        <f>IFERROR(VLOOKUP(B147,'MASTER DATA'!$A$1:$E$212,2,FALSE),"")</f>
        <v/>
      </c>
      <c r="D147" s="17" t="str">
        <f>IFERROR(VLOOKUP(B147,'MASTER DATA'!$A$1:$E$212,5,FALSE),"")</f>
        <v/>
      </c>
      <c r="E147" s="17"/>
      <c r="F147" s="17" t="str">
        <f>IFERROR(VLOOKUP(B147,'MASTER DATA'!$A$1:$E$212,4,FALSE),"")</f>
        <v/>
      </c>
      <c r="G147" s="17"/>
      <c r="H147" s="17"/>
      <c r="I147" s="17"/>
      <c r="J147" s="17" t="b">
        <v>0</v>
      </c>
    </row>
    <row r="148">
      <c r="A148" s="17"/>
      <c r="B148" s="17"/>
      <c r="C148" s="17" t="str">
        <f>IFERROR(VLOOKUP(B148,'MASTER DATA'!$A$1:$E$212,2,FALSE),"")</f>
        <v/>
      </c>
      <c r="D148" s="17" t="str">
        <f>IFERROR(VLOOKUP(B148,'MASTER DATA'!$A$1:$E$212,5,FALSE),"")</f>
        <v/>
      </c>
      <c r="E148" s="17"/>
      <c r="F148" s="17" t="str">
        <f>IFERROR(VLOOKUP(B148,'MASTER DATA'!$A$1:$E$212,4,FALSE),"")</f>
        <v/>
      </c>
      <c r="G148" s="17"/>
      <c r="H148" s="17"/>
      <c r="I148" s="17"/>
      <c r="J148" s="17" t="b">
        <v>0</v>
      </c>
    </row>
    <row r="149">
      <c r="A149" s="17"/>
      <c r="B149" s="17"/>
      <c r="C149" s="17" t="str">
        <f>IFERROR(VLOOKUP(B149,'MASTER DATA'!$A$1:$E$212,2,FALSE),"")</f>
        <v/>
      </c>
      <c r="D149" s="17" t="str">
        <f>IFERROR(VLOOKUP(B149,'MASTER DATA'!$A$1:$E$212,5,FALSE),"")</f>
        <v/>
      </c>
      <c r="E149" s="17"/>
      <c r="F149" s="17" t="str">
        <f>IFERROR(VLOOKUP(B149,'MASTER DATA'!$A$1:$E$212,4,FALSE),"")</f>
        <v/>
      </c>
      <c r="G149" s="17"/>
      <c r="H149" s="17"/>
      <c r="I149" s="17"/>
      <c r="J149" s="17" t="b">
        <v>0</v>
      </c>
    </row>
    <row r="150">
      <c r="A150" s="17"/>
      <c r="B150" s="17"/>
      <c r="C150" s="17" t="str">
        <f>IFERROR(VLOOKUP(B150,'MASTER DATA'!$A$1:$E$212,2,FALSE),"")</f>
        <v/>
      </c>
      <c r="D150" s="17" t="str">
        <f>IFERROR(VLOOKUP(B150,'MASTER DATA'!$A$1:$E$212,5,FALSE),"")</f>
        <v/>
      </c>
      <c r="E150" s="17"/>
      <c r="F150" s="17" t="str">
        <f>IFERROR(VLOOKUP(B150,'MASTER DATA'!$A$1:$E$212,4,FALSE),"")</f>
        <v/>
      </c>
      <c r="G150" s="17"/>
      <c r="H150" s="17"/>
      <c r="I150" s="17"/>
      <c r="J150" s="17" t="b">
        <v>0</v>
      </c>
    </row>
    <row r="151">
      <c r="A151" s="17"/>
      <c r="B151" s="17"/>
      <c r="C151" s="17" t="str">
        <f>IFERROR(VLOOKUP(B151,'MASTER DATA'!$A$1:$E$212,2,FALSE),"")</f>
        <v/>
      </c>
      <c r="D151" s="17" t="str">
        <f>IFERROR(VLOOKUP(B151,'MASTER DATA'!$A$1:$E$212,5,FALSE),"")</f>
        <v/>
      </c>
      <c r="E151" s="17"/>
      <c r="F151" s="17" t="str">
        <f>IFERROR(VLOOKUP(B151,'MASTER DATA'!$A$1:$E$212,4,FALSE),"")</f>
        <v/>
      </c>
      <c r="G151" s="17"/>
      <c r="H151" s="17"/>
      <c r="I151" s="17"/>
      <c r="J151" s="17" t="b">
        <v>0</v>
      </c>
    </row>
    <row r="152">
      <c r="A152" s="17"/>
      <c r="B152" s="17"/>
      <c r="C152" s="17" t="str">
        <f>IFERROR(VLOOKUP(B152,'MASTER DATA'!$A$1:$E$212,2,FALSE),"")</f>
        <v/>
      </c>
      <c r="D152" s="17" t="str">
        <f>IFERROR(VLOOKUP(B152,'MASTER DATA'!$A$1:$E$212,5,FALSE),"")</f>
        <v/>
      </c>
      <c r="E152" s="17"/>
      <c r="F152" s="17" t="str">
        <f>IFERROR(VLOOKUP(B152,'MASTER DATA'!$A$1:$E$212,4,FALSE),"")</f>
        <v/>
      </c>
      <c r="G152" s="17"/>
      <c r="H152" s="17"/>
      <c r="I152" s="17"/>
      <c r="J152" s="17" t="b">
        <v>0</v>
      </c>
    </row>
    <row r="153">
      <c r="A153" s="17"/>
      <c r="B153" s="17"/>
      <c r="C153" s="17" t="str">
        <f>IFERROR(VLOOKUP(B153,'MASTER DATA'!$A$1:$E$212,2,FALSE),"")</f>
        <v/>
      </c>
      <c r="D153" s="17" t="str">
        <f>IFERROR(VLOOKUP(B153,'MASTER DATA'!$A$1:$E$212,5,FALSE),"")</f>
        <v/>
      </c>
      <c r="E153" s="17"/>
      <c r="F153" s="17" t="str">
        <f>IFERROR(VLOOKUP(B153,'MASTER DATA'!$A$1:$E$212,4,FALSE),"")</f>
        <v/>
      </c>
      <c r="G153" s="17"/>
      <c r="H153" s="17"/>
      <c r="I153" s="17"/>
      <c r="J153" s="17" t="b">
        <v>0</v>
      </c>
    </row>
    <row r="154">
      <c r="A154" s="17"/>
      <c r="B154" s="17"/>
      <c r="C154" s="17" t="str">
        <f>IFERROR(VLOOKUP(B154,'MASTER DATA'!$A$1:$E$212,2,FALSE),"")</f>
        <v/>
      </c>
      <c r="D154" s="17" t="str">
        <f>IFERROR(VLOOKUP(B154,'MASTER DATA'!$A$1:$E$212,5,FALSE),"")</f>
        <v/>
      </c>
      <c r="E154" s="17"/>
      <c r="F154" s="17" t="str">
        <f>IFERROR(VLOOKUP(B154,'MASTER DATA'!$A$1:$E$212,4,FALSE),"")</f>
        <v/>
      </c>
      <c r="G154" s="17"/>
      <c r="H154" s="17"/>
      <c r="I154" s="17"/>
      <c r="J154" s="17" t="b">
        <v>0</v>
      </c>
    </row>
    <row r="155">
      <c r="A155" s="17"/>
      <c r="B155" s="17"/>
      <c r="C155" s="17" t="str">
        <f>IFERROR(VLOOKUP(B155,'MASTER DATA'!$A$1:$E$212,2,FALSE),"")</f>
        <v/>
      </c>
      <c r="D155" s="17" t="str">
        <f>IFERROR(VLOOKUP(B155,'MASTER DATA'!$A$1:$E$212,5,FALSE),"")</f>
        <v/>
      </c>
      <c r="E155" s="17"/>
      <c r="F155" s="17" t="str">
        <f>IFERROR(VLOOKUP(B155,'MASTER DATA'!$A$1:$E$212,4,FALSE),"")</f>
        <v/>
      </c>
      <c r="G155" s="17"/>
      <c r="H155" s="17"/>
      <c r="I155" s="17"/>
      <c r="J155" s="17" t="b">
        <v>0</v>
      </c>
    </row>
    <row r="156">
      <c r="A156" s="17"/>
      <c r="B156" s="17"/>
      <c r="C156" s="17" t="str">
        <f>IFERROR(VLOOKUP(B156,'MASTER DATA'!$A$1:$E$212,2,FALSE),"")</f>
        <v/>
      </c>
      <c r="D156" s="17" t="str">
        <f>IFERROR(VLOOKUP(B156,'MASTER DATA'!$A$1:$E$212,5,FALSE),"")</f>
        <v/>
      </c>
      <c r="E156" s="17"/>
      <c r="F156" s="17" t="str">
        <f>IFERROR(VLOOKUP(B156,'MASTER DATA'!$A$1:$E$212,4,FALSE),"")</f>
        <v/>
      </c>
      <c r="G156" s="17"/>
      <c r="H156" s="17"/>
      <c r="I156" s="17"/>
      <c r="J156" s="17" t="b">
        <v>0</v>
      </c>
    </row>
    <row r="157">
      <c r="A157" s="17"/>
      <c r="B157" s="17"/>
      <c r="C157" s="17" t="str">
        <f>IFERROR(VLOOKUP(B157,'MASTER DATA'!$A$1:$E$212,2,FALSE),"")</f>
        <v/>
      </c>
      <c r="D157" s="17" t="str">
        <f>IFERROR(VLOOKUP(B157,'MASTER DATA'!$A$1:$E$212,5,FALSE),"")</f>
        <v/>
      </c>
      <c r="E157" s="17"/>
      <c r="F157" s="17" t="str">
        <f>IFERROR(VLOOKUP(B157,'MASTER DATA'!$A$1:$E$212,4,FALSE),"")</f>
        <v/>
      </c>
      <c r="G157" s="17"/>
      <c r="H157" s="17"/>
      <c r="I157" s="17"/>
      <c r="J157" s="17" t="b">
        <v>0</v>
      </c>
    </row>
    <row r="158">
      <c r="A158" s="17"/>
      <c r="B158" s="17"/>
      <c r="C158" s="17" t="str">
        <f>IFERROR(VLOOKUP(B158,'MASTER DATA'!$A$1:$E$212,2,FALSE),"")</f>
        <v/>
      </c>
      <c r="D158" s="17" t="str">
        <f>IFERROR(VLOOKUP(B158,'MASTER DATA'!$A$1:$E$212,5,FALSE),"")</f>
        <v/>
      </c>
      <c r="E158" s="17"/>
      <c r="F158" s="17" t="str">
        <f>IFERROR(VLOOKUP(B158,'MASTER DATA'!$A$1:$E$212,4,FALSE),"")</f>
        <v/>
      </c>
      <c r="G158" s="17"/>
      <c r="H158" s="17"/>
      <c r="I158" s="17"/>
      <c r="J158" s="17" t="b">
        <v>0</v>
      </c>
    </row>
    <row r="159">
      <c r="A159" s="17"/>
      <c r="B159" s="17"/>
      <c r="C159" s="17" t="str">
        <f>IFERROR(VLOOKUP(B159,'MASTER DATA'!$A$1:$E$212,2,FALSE),"")</f>
        <v/>
      </c>
      <c r="D159" s="17" t="str">
        <f>IFERROR(VLOOKUP(B159,'MASTER DATA'!$A$1:$E$212,5,FALSE),"")</f>
        <v/>
      </c>
      <c r="E159" s="17"/>
      <c r="F159" s="17" t="str">
        <f>IFERROR(VLOOKUP(B159,'MASTER DATA'!$A$1:$E$212,4,FALSE),"")</f>
        <v/>
      </c>
      <c r="G159" s="17"/>
      <c r="H159" s="17"/>
      <c r="I159" s="17"/>
      <c r="J159" s="17" t="b">
        <v>0</v>
      </c>
    </row>
    <row r="160">
      <c r="A160" s="17"/>
      <c r="B160" s="17"/>
      <c r="C160" s="17" t="str">
        <f>IFERROR(VLOOKUP(B160,'MASTER DATA'!$A$1:$E$212,2,FALSE),"")</f>
        <v/>
      </c>
      <c r="D160" s="17" t="str">
        <f>IFERROR(VLOOKUP(B160,'MASTER DATA'!$A$1:$E$212,5,FALSE),"")</f>
        <v/>
      </c>
      <c r="E160" s="17"/>
      <c r="F160" s="17" t="str">
        <f>IFERROR(VLOOKUP(B160,'MASTER DATA'!$A$1:$E$212,4,FALSE),"")</f>
        <v/>
      </c>
      <c r="G160" s="17"/>
      <c r="H160" s="17"/>
      <c r="I160" s="17"/>
      <c r="J160" s="17" t="b">
        <v>0</v>
      </c>
    </row>
    <row r="161">
      <c r="A161" s="17"/>
      <c r="B161" s="17"/>
      <c r="C161" s="17" t="str">
        <f>IFERROR(VLOOKUP(B161,'MASTER DATA'!$A$1:$E$212,2,FALSE),"")</f>
        <v/>
      </c>
      <c r="D161" s="17" t="str">
        <f>IFERROR(VLOOKUP(B161,'MASTER DATA'!$A$1:$E$212,5,FALSE),"")</f>
        <v/>
      </c>
      <c r="E161" s="17"/>
      <c r="F161" s="17" t="str">
        <f>IFERROR(VLOOKUP(B161,'MASTER DATA'!$A$1:$E$212,4,FALSE),"")</f>
        <v/>
      </c>
      <c r="G161" s="17"/>
      <c r="H161" s="17"/>
      <c r="I161" s="17"/>
      <c r="J161" s="17" t="b">
        <v>0</v>
      </c>
    </row>
    <row r="162">
      <c r="A162" s="17"/>
      <c r="B162" s="17"/>
      <c r="C162" s="17" t="str">
        <f>IFERROR(VLOOKUP(B162,'MASTER DATA'!$A$1:$E$212,2,FALSE),"")</f>
        <v/>
      </c>
      <c r="D162" s="17" t="str">
        <f>IFERROR(VLOOKUP(B162,'MASTER DATA'!$A$1:$E$212,5,FALSE),"")</f>
        <v/>
      </c>
      <c r="E162" s="17"/>
      <c r="F162" s="17" t="str">
        <f>IFERROR(VLOOKUP(B162,'MASTER DATA'!$A$1:$E$212,4,FALSE),"")</f>
        <v/>
      </c>
      <c r="G162" s="17"/>
      <c r="H162" s="17"/>
      <c r="I162" s="17"/>
      <c r="J162" s="17" t="b">
        <v>0</v>
      </c>
    </row>
    <row r="163">
      <c r="A163" s="17"/>
      <c r="B163" s="17"/>
      <c r="C163" s="17" t="str">
        <f>IFERROR(VLOOKUP(B163,'MASTER DATA'!$A$1:$E$212,2,FALSE),"")</f>
        <v/>
      </c>
      <c r="D163" s="17" t="str">
        <f>IFERROR(VLOOKUP(B163,'MASTER DATA'!$A$1:$E$212,5,FALSE),"")</f>
        <v/>
      </c>
      <c r="E163" s="17"/>
      <c r="F163" s="17" t="str">
        <f>IFERROR(VLOOKUP(B163,'MASTER DATA'!$A$1:$E$212,4,FALSE),"")</f>
        <v/>
      </c>
      <c r="G163" s="17"/>
      <c r="H163" s="17"/>
      <c r="I163" s="17"/>
      <c r="J163" s="17" t="b">
        <v>0</v>
      </c>
    </row>
    <row r="164">
      <c r="A164" s="17"/>
      <c r="B164" s="17"/>
      <c r="C164" s="17" t="str">
        <f>IFERROR(VLOOKUP(B164,'MASTER DATA'!$A$1:$E$212,2,FALSE),"")</f>
        <v/>
      </c>
      <c r="D164" s="17" t="str">
        <f>IFERROR(VLOOKUP(B164,'MASTER DATA'!$A$1:$E$212,5,FALSE),"")</f>
        <v/>
      </c>
      <c r="E164" s="17"/>
      <c r="F164" s="17" t="str">
        <f>IFERROR(VLOOKUP(B164,'MASTER DATA'!$A$1:$E$212,4,FALSE),"")</f>
        <v/>
      </c>
      <c r="G164" s="17"/>
      <c r="H164" s="17"/>
      <c r="I164" s="17"/>
      <c r="J164" s="17" t="b">
        <v>0</v>
      </c>
    </row>
    <row r="165">
      <c r="A165" s="17"/>
      <c r="B165" s="17"/>
      <c r="C165" s="17" t="str">
        <f>IFERROR(VLOOKUP(B165,'MASTER DATA'!$A$1:$E$212,2,FALSE),"")</f>
        <v/>
      </c>
      <c r="D165" s="17" t="str">
        <f>IFERROR(VLOOKUP(B165,'MASTER DATA'!$A$1:$E$212,5,FALSE),"")</f>
        <v/>
      </c>
      <c r="E165" s="17"/>
      <c r="F165" s="17" t="str">
        <f>IFERROR(VLOOKUP(B165,'MASTER DATA'!$A$1:$E$212,4,FALSE),"")</f>
        <v/>
      </c>
      <c r="G165" s="17"/>
      <c r="H165" s="17"/>
      <c r="I165" s="17"/>
      <c r="J165" s="17" t="b">
        <v>0</v>
      </c>
    </row>
    <row r="166">
      <c r="A166" s="17"/>
      <c r="B166" s="17"/>
      <c r="C166" s="17" t="str">
        <f>IFERROR(VLOOKUP(B166,'MASTER DATA'!$A$1:$E$212,2,FALSE),"")</f>
        <v/>
      </c>
      <c r="D166" s="17" t="str">
        <f>IFERROR(VLOOKUP(B166,'MASTER DATA'!$A$1:$E$212,5,FALSE),"")</f>
        <v/>
      </c>
      <c r="E166" s="17"/>
      <c r="F166" s="17" t="str">
        <f>IFERROR(VLOOKUP(B166,'MASTER DATA'!$A$1:$E$212,4,FALSE),"")</f>
        <v/>
      </c>
      <c r="G166" s="17"/>
      <c r="H166" s="17"/>
      <c r="I166" s="17"/>
      <c r="J166" s="17" t="b">
        <v>0</v>
      </c>
    </row>
    <row r="167">
      <c r="A167" s="17"/>
      <c r="B167" s="17"/>
      <c r="C167" s="17" t="str">
        <f>IFERROR(VLOOKUP(B167,'MASTER DATA'!$A$1:$E$212,2,FALSE),"")</f>
        <v/>
      </c>
      <c r="D167" s="17" t="str">
        <f>IFERROR(VLOOKUP(B167,'MASTER DATA'!$A$1:$E$212,5,FALSE),"")</f>
        <v/>
      </c>
      <c r="E167" s="17"/>
      <c r="F167" s="17" t="str">
        <f>IFERROR(VLOOKUP(B167,'MASTER DATA'!$A$1:$E$212,4,FALSE),"")</f>
        <v/>
      </c>
      <c r="G167" s="17"/>
      <c r="H167" s="17"/>
      <c r="I167" s="17"/>
      <c r="J167" s="17" t="b">
        <v>0</v>
      </c>
    </row>
    <row r="168">
      <c r="A168" s="17"/>
      <c r="B168" s="17"/>
      <c r="C168" s="17" t="str">
        <f>IFERROR(VLOOKUP(B168,'MASTER DATA'!$A$1:$E$212,2,FALSE),"")</f>
        <v/>
      </c>
      <c r="D168" s="17" t="str">
        <f>IFERROR(VLOOKUP(B168,'MASTER DATA'!$A$1:$E$212,5,FALSE),"")</f>
        <v/>
      </c>
      <c r="E168" s="17"/>
      <c r="F168" s="17" t="str">
        <f>IFERROR(VLOOKUP(B168,'MASTER DATA'!$A$1:$E$212,4,FALSE),"")</f>
        <v/>
      </c>
      <c r="G168" s="17"/>
      <c r="H168" s="17"/>
      <c r="I168" s="17"/>
      <c r="J168" s="17" t="b">
        <v>0</v>
      </c>
    </row>
    <row r="169">
      <c r="A169" s="17"/>
      <c r="B169" s="17"/>
      <c r="C169" s="17" t="str">
        <f>IFERROR(VLOOKUP(B169,'MASTER DATA'!$A$1:$E$212,2,FALSE),"")</f>
        <v/>
      </c>
      <c r="D169" s="17" t="str">
        <f>IFERROR(VLOOKUP(B169,'MASTER DATA'!$A$1:$E$212,5,FALSE),"")</f>
        <v/>
      </c>
      <c r="E169" s="17"/>
      <c r="F169" s="17" t="str">
        <f>IFERROR(VLOOKUP(B169,'MASTER DATA'!$A$1:$E$212,4,FALSE),"")</f>
        <v/>
      </c>
      <c r="G169" s="17"/>
      <c r="H169" s="17"/>
      <c r="I169" s="17"/>
      <c r="J169" s="17" t="b">
        <v>0</v>
      </c>
    </row>
    <row r="170">
      <c r="A170" s="17"/>
      <c r="B170" s="17"/>
      <c r="C170" s="17" t="str">
        <f>IFERROR(VLOOKUP(B170,'MASTER DATA'!$A$1:$E$212,2,FALSE),"")</f>
        <v/>
      </c>
      <c r="D170" s="17" t="str">
        <f>IFERROR(VLOOKUP(B170,'MASTER DATA'!$A$1:$E$212,5,FALSE),"")</f>
        <v/>
      </c>
      <c r="E170" s="17"/>
      <c r="F170" s="17" t="str">
        <f>IFERROR(VLOOKUP(B170,'MASTER DATA'!$A$1:$E$212,4,FALSE),"")</f>
        <v/>
      </c>
      <c r="G170" s="17"/>
      <c r="H170" s="17"/>
      <c r="I170" s="17"/>
      <c r="J170" s="17" t="b">
        <v>0</v>
      </c>
    </row>
    <row r="171">
      <c r="A171" s="17"/>
      <c r="B171" s="17"/>
      <c r="C171" s="17" t="str">
        <f>IFERROR(VLOOKUP(B171,'MASTER DATA'!$A$1:$E$212,2,FALSE),"")</f>
        <v/>
      </c>
      <c r="D171" s="17" t="str">
        <f>IFERROR(VLOOKUP(B171,'MASTER DATA'!$A$1:$E$212,5,FALSE),"")</f>
        <v/>
      </c>
      <c r="E171" s="17"/>
      <c r="F171" s="17" t="str">
        <f>IFERROR(VLOOKUP(B171,'MASTER DATA'!$A$1:$E$212,4,FALSE),"")</f>
        <v/>
      </c>
      <c r="G171" s="17"/>
      <c r="H171" s="17"/>
      <c r="I171" s="17"/>
      <c r="J171" s="17" t="b">
        <v>0</v>
      </c>
    </row>
    <row r="172">
      <c r="A172" s="17"/>
      <c r="B172" s="17"/>
      <c r="C172" s="17" t="str">
        <f>IFERROR(VLOOKUP(B172,'MASTER DATA'!$A$1:$E$212,2,FALSE),"")</f>
        <v/>
      </c>
      <c r="D172" s="17" t="str">
        <f>IFERROR(VLOOKUP(B172,'MASTER DATA'!$A$1:$E$212,5,FALSE),"")</f>
        <v/>
      </c>
      <c r="E172" s="17"/>
      <c r="F172" s="17" t="str">
        <f>IFERROR(VLOOKUP(B172,'MASTER DATA'!$A$1:$E$212,4,FALSE),"")</f>
        <v/>
      </c>
      <c r="G172" s="17"/>
      <c r="H172" s="17"/>
      <c r="I172" s="17"/>
      <c r="J172" s="17" t="b">
        <v>0</v>
      </c>
    </row>
    <row r="173">
      <c r="A173" s="17"/>
      <c r="B173" s="17"/>
      <c r="C173" s="17" t="str">
        <f>IFERROR(VLOOKUP(B173,'MASTER DATA'!$A$1:$E$212,2,FALSE),"")</f>
        <v/>
      </c>
      <c r="D173" s="17" t="str">
        <f>IFERROR(VLOOKUP(B173,'MASTER DATA'!$A$1:$E$212,5,FALSE),"")</f>
        <v/>
      </c>
      <c r="E173" s="17"/>
      <c r="F173" s="17" t="str">
        <f>IFERROR(VLOOKUP(B173,'MASTER DATA'!$A$1:$E$212,4,FALSE),"")</f>
        <v/>
      </c>
      <c r="G173" s="17"/>
      <c r="H173" s="17"/>
      <c r="I173" s="17"/>
      <c r="J173" s="17" t="b">
        <v>0</v>
      </c>
    </row>
    <row r="174">
      <c r="A174" s="17"/>
      <c r="B174" s="17"/>
      <c r="C174" s="17" t="str">
        <f>IFERROR(VLOOKUP(B174,'MASTER DATA'!$A$1:$E$212,2,FALSE),"")</f>
        <v/>
      </c>
      <c r="D174" s="17" t="str">
        <f>IFERROR(VLOOKUP(B174,'MASTER DATA'!$A$1:$E$212,5,FALSE),"")</f>
        <v/>
      </c>
      <c r="E174" s="17"/>
      <c r="F174" s="17" t="str">
        <f>IFERROR(VLOOKUP(B174,'MASTER DATA'!$A$1:$E$212,4,FALSE),"")</f>
        <v/>
      </c>
      <c r="G174" s="17"/>
      <c r="H174" s="17"/>
      <c r="I174" s="17"/>
      <c r="J174" s="17" t="b">
        <v>0</v>
      </c>
    </row>
    <row r="175">
      <c r="A175" s="17"/>
      <c r="B175" s="17"/>
      <c r="C175" s="17" t="str">
        <f>IFERROR(VLOOKUP(B175,'MASTER DATA'!$A$1:$E$212,2,FALSE),"")</f>
        <v/>
      </c>
      <c r="D175" s="17" t="str">
        <f>IFERROR(VLOOKUP(B175,'MASTER DATA'!$A$1:$E$212,5,FALSE),"")</f>
        <v/>
      </c>
      <c r="E175" s="17"/>
      <c r="F175" s="17" t="str">
        <f>IFERROR(VLOOKUP(B175,'MASTER DATA'!$A$1:$E$212,4,FALSE),"")</f>
        <v/>
      </c>
      <c r="G175" s="17"/>
      <c r="H175" s="17"/>
      <c r="I175" s="17"/>
      <c r="J175" s="17" t="b">
        <v>0</v>
      </c>
    </row>
    <row r="176">
      <c r="A176" s="17"/>
      <c r="B176" s="17"/>
      <c r="C176" s="17" t="str">
        <f>IFERROR(VLOOKUP(B176,'MASTER DATA'!$A$1:$E$212,2,FALSE),"")</f>
        <v/>
      </c>
      <c r="D176" s="17" t="str">
        <f>IFERROR(VLOOKUP(B176,'MASTER DATA'!$A$1:$E$212,5,FALSE),"")</f>
        <v/>
      </c>
      <c r="E176" s="17"/>
      <c r="F176" s="17" t="str">
        <f>IFERROR(VLOOKUP(B176,'MASTER DATA'!$A$1:$E$212,4,FALSE),"")</f>
        <v/>
      </c>
      <c r="G176" s="17"/>
      <c r="H176" s="17"/>
      <c r="I176" s="17"/>
      <c r="J176" s="17" t="b">
        <v>0</v>
      </c>
    </row>
    <row r="177">
      <c r="A177" s="17"/>
      <c r="B177" s="17"/>
      <c r="C177" s="17" t="str">
        <f>IFERROR(VLOOKUP(B177,'MASTER DATA'!$A$1:$E$212,2,FALSE),"")</f>
        <v/>
      </c>
      <c r="D177" s="17" t="str">
        <f>IFERROR(VLOOKUP(B177,'MASTER DATA'!$A$1:$E$212,5,FALSE),"")</f>
        <v/>
      </c>
      <c r="E177" s="17"/>
      <c r="F177" s="17" t="str">
        <f>IFERROR(VLOOKUP(B177,'MASTER DATA'!$A$1:$E$212,4,FALSE),"")</f>
        <v/>
      </c>
      <c r="G177" s="17"/>
      <c r="H177" s="17"/>
      <c r="I177" s="17"/>
      <c r="J177" s="17" t="b">
        <v>0</v>
      </c>
    </row>
    <row r="178">
      <c r="A178" s="17"/>
      <c r="B178" s="17"/>
      <c r="C178" s="17" t="str">
        <f>IFERROR(VLOOKUP(B178,'MASTER DATA'!$A$1:$E$212,2,FALSE),"")</f>
        <v/>
      </c>
      <c r="D178" s="17" t="str">
        <f>IFERROR(VLOOKUP(B178,'MASTER DATA'!$A$1:$E$212,5,FALSE),"")</f>
        <v/>
      </c>
      <c r="E178" s="17"/>
      <c r="F178" s="17" t="str">
        <f>IFERROR(VLOOKUP(B178,'MASTER DATA'!$A$1:$E$212,4,FALSE),"")</f>
        <v/>
      </c>
      <c r="G178" s="17"/>
      <c r="H178" s="17"/>
      <c r="I178" s="17"/>
      <c r="J178" s="17" t="b">
        <v>0</v>
      </c>
    </row>
    <row r="179">
      <c r="A179" s="17"/>
      <c r="B179" s="17"/>
      <c r="C179" s="17" t="str">
        <f>IFERROR(VLOOKUP(B179,'MASTER DATA'!$A$1:$E$212,2,FALSE),"")</f>
        <v/>
      </c>
      <c r="D179" s="17" t="str">
        <f>IFERROR(VLOOKUP(B179,'MASTER DATA'!$A$1:$E$212,5,FALSE),"")</f>
        <v/>
      </c>
      <c r="E179" s="17"/>
      <c r="F179" s="17" t="str">
        <f>IFERROR(VLOOKUP(B179,'MASTER DATA'!$A$1:$E$212,4,FALSE),"")</f>
        <v/>
      </c>
      <c r="G179" s="17"/>
      <c r="H179" s="17"/>
      <c r="I179" s="17"/>
      <c r="J179" s="17" t="b">
        <v>0</v>
      </c>
    </row>
    <row r="180">
      <c r="A180" s="17"/>
      <c r="B180" s="17"/>
      <c r="C180" s="17" t="str">
        <f>IFERROR(VLOOKUP(B180,'MASTER DATA'!$A$1:$E$212,2,FALSE),"")</f>
        <v/>
      </c>
      <c r="D180" s="17" t="str">
        <f>IFERROR(VLOOKUP(B180,'MASTER DATA'!$A$1:$E$212,5,FALSE),"")</f>
        <v/>
      </c>
      <c r="E180" s="17"/>
      <c r="F180" s="17" t="str">
        <f>IFERROR(VLOOKUP(B180,'MASTER DATA'!$A$1:$E$212,4,FALSE),"")</f>
        <v/>
      </c>
      <c r="G180" s="17"/>
      <c r="H180" s="17"/>
      <c r="I180" s="17"/>
      <c r="J180" s="17" t="b">
        <v>0</v>
      </c>
    </row>
    <row r="181">
      <c r="A181" s="17"/>
      <c r="B181" s="17"/>
      <c r="C181" s="17" t="str">
        <f>IFERROR(VLOOKUP(B181,'MASTER DATA'!$A$1:$E$212,2,FALSE),"")</f>
        <v/>
      </c>
      <c r="D181" s="17" t="str">
        <f>IFERROR(VLOOKUP(B181,'MASTER DATA'!$A$1:$E$212,5,FALSE),"")</f>
        <v/>
      </c>
      <c r="E181" s="17"/>
      <c r="F181" s="17" t="str">
        <f>IFERROR(VLOOKUP(B181,'MASTER DATA'!$A$1:$E$212,4,FALSE),"")</f>
        <v/>
      </c>
      <c r="G181" s="17"/>
      <c r="H181" s="17"/>
      <c r="I181" s="17"/>
      <c r="J181" s="17" t="b">
        <v>0</v>
      </c>
    </row>
    <row r="182">
      <c r="A182" s="17"/>
      <c r="B182" s="17"/>
      <c r="C182" s="17" t="str">
        <f>IFERROR(VLOOKUP(B182,'MASTER DATA'!$A$1:$E$212,2,FALSE),"")</f>
        <v/>
      </c>
      <c r="D182" s="17" t="str">
        <f>IFERROR(VLOOKUP(B182,'MASTER DATA'!$A$1:$E$212,5,FALSE),"")</f>
        <v/>
      </c>
      <c r="E182" s="17"/>
      <c r="F182" s="17" t="str">
        <f>IFERROR(VLOOKUP(B182,'MASTER DATA'!$A$1:$E$212,4,FALSE),"")</f>
        <v/>
      </c>
      <c r="G182" s="17"/>
      <c r="H182" s="17"/>
      <c r="I182" s="17"/>
      <c r="J182" s="17" t="b">
        <v>0</v>
      </c>
    </row>
    <row r="183">
      <c r="A183" s="17"/>
      <c r="B183" s="17"/>
      <c r="C183" s="17" t="str">
        <f>IFERROR(VLOOKUP(B183,'MASTER DATA'!$A$1:$E$212,2,FALSE),"")</f>
        <v/>
      </c>
      <c r="D183" s="17" t="str">
        <f>IFERROR(VLOOKUP(B183,'MASTER DATA'!$A$1:$E$212,5,FALSE),"")</f>
        <v/>
      </c>
      <c r="E183" s="17"/>
      <c r="F183" s="17" t="str">
        <f>IFERROR(VLOOKUP(B183,'MASTER DATA'!$A$1:$E$212,4,FALSE),"")</f>
        <v/>
      </c>
      <c r="G183" s="17"/>
      <c r="H183" s="17"/>
      <c r="I183" s="17"/>
      <c r="J183" s="17" t="b">
        <v>0</v>
      </c>
    </row>
    <row r="184">
      <c r="A184" s="17"/>
      <c r="B184" s="17"/>
      <c r="C184" s="17" t="str">
        <f>IFERROR(VLOOKUP(B184,'MASTER DATA'!$A$1:$E$212,2,FALSE),"")</f>
        <v/>
      </c>
      <c r="D184" s="17" t="str">
        <f>IFERROR(VLOOKUP(B184,'MASTER DATA'!$A$1:$E$212,5,FALSE),"")</f>
        <v/>
      </c>
      <c r="E184" s="17"/>
      <c r="F184" s="17" t="str">
        <f>IFERROR(VLOOKUP(B184,'MASTER DATA'!$A$1:$E$212,4,FALSE),"")</f>
        <v/>
      </c>
      <c r="G184" s="17"/>
      <c r="H184" s="17"/>
      <c r="I184" s="17"/>
      <c r="J184" s="17" t="b">
        <v>0</v>
      </c>
    </row>
    <row r="185">
      <c r="A185" s="17"/>
      <c r="B185" s="17"/>
      <c r="C185" s="17" t="str">
        <f>IFERROR(VLOOKUP(B185,'MASTER DATA'!$A$1:$E$212,2,FALSE),"")</f>
        <v/>
      </c>
      <c r="D185" s="17" t="str">
        <f>IFERROR(VLOOKUP(B185,'MASTER DATA'!$A$1:$E$212,5,FALSE),"")</f>
        <v/>
      </c>
      <c r="E185" s="17"/>
      <c r="F185" s="17" t="str">
        <f>IFERROR(VLOOKUP(B185,'MASTER DATA'!$A$1:$E$212,4,FALSE),"")</f>
        <v/>
      </c>
      <c r="G185" s="17"/>
      <c r="H185" s="17"/>
      <c r="I185" s="17"/>
      <c r="J185" s="17" t="b">
        <v>0</v>
      </c>
    </row>
    <row r="186">
      <c r="A186" s="17"/>
      <c r="B186" s="17"/>
      <c r="C186" s="17" t="str">
        <f>IFERROR(VLOOKUP(B186,'MASTER DATA'!$A$1:$E$212,2,FALSE),"")</f>
        <v/>
      </c>
      <c r="D186" s="17" t="str">
        <f>IFERROR(VLOOKUP(B186,'MASTER DATA'!$A$1:$E$212,5,FALSE),"")</f>
        <v/>
      </c>
      <c r="E186" s="17"/>
      <c r="F186" s="17" t="str">
        <f>IFERROR(VLOOKUP(B186,'MASTER DATA'!$A$1:$E$212,4,FALSE),"")</f>
        <v/>
      </c>
      <c r="G186" s="17"/>
      <c r="H186" s="17"/>
      <c r="I186" s="17"/>
      <c r="J186" s="17" t="b">
        <v>0</v>
      </c>
    </row>
    <row r="187">
      <c r="A187" s="17"/>
      <c r="B187" s="17"/>
      <c r="C187" s="17" t="str">
        <f>IFERROR(VLOOKUP(B187,'MASTER DATA'!$A$1:$E$212,2,FALSE),"")</f>
        <v/>
      </c>
      <c r="D187" s="17" t="str">
        <f>IFERROR(VLOOKUP(B187,'MASTER DATA'!$A$1:$E$212,5,FALSE),"")</f>
        <v/>
      </c>
      <c r="E187" s="17"/>
      <c r="F187" s="17" t="str">
        <f>IFERROR(VLOOKUP(B187,'MASTER DATA'!$A$1:$E$212,4,FALSE),"")</f>
        <v/>
      </c>
      <c r="G187" s="17"/>
      <c r="H187" s="17"/>
      <c r="I187" s="17"/>
      <c r="J187" s="17" t="b">
        <v>0</v>
      </c>
    </row>
    <row r="188">
      <c r="A188" s="17"/>
      <c r="B188" s="17"/>
      <c r="C188" s="17" t="str">
        <f>IFERROR(VLOOKUP(B188,'MASTER DATA'!$A$1:$E$212,2,FALSE),"")</f>
        <v/>
      </c>
      <c r="D188" s="17" t="str">
        <f>IFERROR(VLOOKUP(B188,'MASTER DATA'!$A$1:$E$212,5,FALSE),"")</f>
        <v/>
      </c>
      <c r="E188" s="17"/>
      <c r="F188" s="17" t="str">
        <f>IFERROR(VLOOKUP(B188,'MASTER DATA'!$A$1:$E$212,4,FALSE),"")</f>
        <v/>
      </c>
      <c r="G188" s="17"/>
      <c r="H188" s="17"/>
      <c r="I188" s="17"/>
      <c r="J188" s="17" t="b">
        <v>0</v>
      </c>
    </row>
    <row r="189">
      <c r="A189" s="17"/>
      <c r="B189" s="17"/>
      <c r="C189" s="17" t="str">
        <f>IFERROR(VLOOKUP(B189,'MASTER DATA'!$A$1:$E$212,2,FALSE),"")</f>
        <v/>
      </c>
      <c r="D189" s="17" t="str">
        <f>IFERROR(VLOOKUP(B189,'MASTER DATA'!$A$1:$E$212,5,FALSE),"")</f>
        <v/>
      </c>
      <c r="E189" s="17"/>
      <c r="F189" s="17" t="str">
        <f>IFERROR(VLOOKUP(B189,'MASTER DATA'!$A$1:$E$212,4,FALSE),"")</f>
        <v/>
      </c>
      <c r="G189" s="17"/>
      <c r="H189" s="17"/>
      <c r="I189" s="17"/>
      <c r="J189" s="17" t="b">
        <v>0</v>
      </c>
    </row>
    <row r="190">
      <c r="A190" s="17"/>
      <c r="B190" s="17"/>
      <c r="C190" s="17" t="str">
        <f>IFERROR(VLOOKUP(B190,'MASTER DATA'!$A$1:$E$212,2,FALSE),"")</f>
        <v/>
      </c>
      <c r="D190" s="17" t="str">
        <f>IFERROR(VLOOKUP(B190,'MASTER DATA'!$A$1:$E$212,5,FALSE),"")</f>
        <v/>
      </c>
      <c r="E190" s="17"/>
      <c r="F190" s="17" t="str">
        <f>IFERROR(VLOOKUP(B190,'MASTER DATA'!$A$1:$E$212,4,FALSE),"")</f>
        <v/>
      </c>
      <c r="G190" s="17"/>
      <c r="H190" s="17"/>
      <c r="I190" s="17"/>
      <c r="J190" s="17" t="b">
        <v>0</v>
      </c>
    </row>
    <row r="191">
      <c r="A191" s="17"/>
      <c r="B191" s="17"/>
      <c r="C191" s="17" t="str">
        <f>IFERROR(VLOOKUP(B191,'MASTER DATA'!$A$1:$E$212,2,FALSE),"")</f>
        <v/>
      </c>
      <c r="D191" s="17" t="str">
        <f>IFERROR(VLOOKUP(B191,'MASTER DATA'!$A$1:$E$212,5,FALSE),"")</f>
        <v/>
      </c>
      <c r="E191" s="17"/>
      <c r="F191" s="17" t="str">
        <f>IFERROR(VLOOKUP(B191,'MASTER DATA'!$A$1:$E$212,4,FALSE),"")</f>
        <v/>
      </c>
      <c r="G191" s="17"/>
      <c r="H191" s="17"/>
      <c r="I191" s="17"/>
      <c r="J191" s="17" t="b">
        <v>0</v>
      </c>
    </row>
    <row r="192">
      <c r="A192" s="17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 t="str">
        <f>IFERROR(VLOOKUP(B192,'MASTER DATA'!$A$1:$E$212,4,FALSE),"")</f>
        <v/>
      </c>
      <c r="G192" s="17"/>
      <c r="H192" s="17"/>
      <c r="I192" s="17"/>
      <c r="J192" s="17" t="b">
        <v>0</v>
      </c>
    </row>
    <row r="193">
      <c r="A193" s="17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 t="str">
        <f>IFERROR(VLOOKUP(B193,'MASTER DATA'!$A$1:$E$212,4,FALSE),"")</f>
        <v/>
      </c>
      <c r="G193" s="17"/>
      <c r="H193" s="17"/>
      <c r="I193" s="17"/>
      <c r="J193" s="17" t="b">
        <v>0</v>
      </c>
    </row>
    <row r="194">
      <c r="A194" s="17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 t="str">
        <f>IFERROR(VLOOKUP(B194,'MASTER DATA'!$A$1:$E$212,4,FALSE),"")</f>
        <v/>
      </c>
      <c r="G194" s="17"/>
      <c r="H194" s="17"/>
      <c r="I194" s="17"/>
      <c r="J194" s="17" t="b">
        <v>0</v>
      </c>
    </row>
    <row r="195">
      <c r="A195" s="17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 t="str">
        <f>IFERROR(VLOOKUP(B195,'MASTER DATA'!$A$1:$E$212,4,FALSE),"")</f>
        <v/>
      </c>
      <c r="G195" s="17"/>
      <c r="H195" s="17"/>
      <c r="I195" s="17"/>
      <c r="J195" s="17" t="b">
        <v>0</v>
      </c>
    </row>
    <row r="196">
      <c r="A196" s="17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 t="str">
        <f>IFERROR(VLOOKUP(B196,'MASTER DATA'!$A$1:$E$212,4,FALSE),"")</f>
        <v/>
      </c>
      <c r="G196" s="17"/>
      <c r="H196" s="17"/>
      <c r="I196" s="17"/>
      <c r="J196" s="17" t="b">
        <v>0</v>
      </c>
    </row>
    <row r="197">
      <c r="A197" s="17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 t="str">
        <f>IFERROR(VLOOKUP(B197,'MASTER DATA'!$A$1:$E$212,4,FALSE),"")</f>
        <v/>
      </c>
      <c r="G197" s="17"/>
      <c r="H197" s="17"/>
      <c r="I197" s="17"/>
      <c r="J197" s="17" t="b">
        <v>0</v>
      </c>
    </row>
    <row r="198">
      <c r="A198" s="17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 t="str">
        <f>IFERROR(VLOOKUP(B198,'MASTER DATA'!$A$1:$E$212,4,FALSE),"")</f>
        <v/>
      </c>
      <c r="G198" s="17"/>
      <c r="H198" s="17"/>
      <c r="I198" s="17"/>
      <c r="J198" s="17" t="b">
        <v>0</v>
      </c>
    </row>
    <row r="199">
      <c r="A199" s="17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 t="str">
        <f>IFERROR(VLOOKUP(B199,'MASTER DATA'!$A$1:$E$212,4,FALSE),"")</f>
        <v/>
      </c>
      <c r="G199" s="17"/>
      <c r="H199" s="17"/>
      <c r="I199" s="17"/>
      <c r="J199" s="17" t="b">
        <v>0</v>
      </c>
    </row>
    <row r="200">
      <c r="A200" s="17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 t="str">
        <f>IFERROR(VLOOKUP(B200,'MASTER DATA'!$A$1:$E$212,4,FALSE),"")</f>
        <v/>
      </c>
      <c r="G200" s="17"/>
      <c r="H200" s="17"/>
      <c r="I200" s="17"/>
      <c r="J200" s="17" t="b">
        <v>0</v>
      </c>
    </row>
    <row r="201">
      <c r="A201" s="17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 t="str">
        <f>IFERROR(VLOOKUP(B201,'MASTER DATA'!$A$1:$E$212,4,FALSE),"")</f>
        <v/>
      </c>
      <c r="G201" s="17"/>
      <c r="H201" s="17"/>
      <c r="I201" s="17"/>
      <c r="J201" s="17" t="b">
        <v>0</v>
      </c>
    </row>
    <row r="202">
      <c r="A202" s="17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 t="str">
        <f>IFERROR(VLOOKUP(B202,'MASTER DATA'!$A$1:$E$212,4,FALSE),"")</f>
        <v/>
      </c>
      <c r="G202" s="17"/>
      <c r="H202" s="17"/>
      <c r="I202" s="17"/>
      <c r="J202" s="17" t="b">
        <v>0</v>
      </c>
    </row>
    <row r="203">
      <c r="A203" s="17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 t="str">
        <f>IFERROR(VLOOKUP(B203,'MASTER DATA'!$A$1:$E$212,4,FALSE),"")</f>
        <v/>
      </c>
      <c r="G203" s="17"/>
      <c r="H203" s="17"/>
      <c r="I203" s="17"/>
      <c r="J203" s="17" t="b">
        <v>0</v>
      </c>
    </row>
    <row r="204">
      <c r="A204" s="17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 t="str">
        <f>IFERROR(VLOOKUP(B204,'MASTER DATA'!$A$1:$E$212,4,FALSE),"")</f>
        <v/>
      </c>
      <c r="G204" s="17"/>
      <c r="H204" s="17"/>
      <c r="I204" s="17"/>
      <c r="J204" s="17" t="b">
        <v>0</v>
      </c>
    </row>
    <row r="205">
      <c r="A205" s="17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 t="str">
        <f>IFERROR(VLOOKUP(B205,'MASTER DATA'!$A$1:$E$212,4,FALSE),"")</f>
        <v/>
      </c>
      <c r="G205" s="17"/>
      <c r="H205" s="17"/>
      <c r="I205" s="17"/>
      <c r="J205" s="17" t="b">
        <v>0</v>
      </c>
    </row>
    <row r="206">
      <c r="A206" s="17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 t="str">
        <f>IFERROR(VLOOKUP(B206,'MASTER DATA'!$A$1:$E$212,4,FALSE),"")</f>
        <v/>
      </c>
      <c r="G206" s="17"/>
      <c r="H206" s="17"/>
      <c r="I206" s="17"/>
      <c r="J206" s="17" t="b">
        <v>0</v>
      </c>
    </row>
    <row r="207">
      <c r="A207" s="17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 t="str">
        <f>IFERROR(VLOOKUP(B207,'MASTER DATA'!$A$1:$E$212,4,FALSE),"")</f>
        <v/>
      </c>
      <c r="G207" s="17"/>
      <c r="H207" s="17"/>
      <c r="I207" s="17"/>
      <c r="J207" s="17" t="b">
        <v>0</v>
      </c>
    </row>
    <row r="208">
      <c r="A208" s="17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 t="str">
        <f>IFERROR(VLOOKUP(B208,'MASTER DATA'!$A$1:$E$212,4,FALSE),"")</f>
        <v/>
      </c>
      <c r="G208" s="17"/>
      <c r="H208" s="17"/>
      <c r="I208" s="17"/>
      <c r="J208" s="17" t="b">
        <v>0</v>
      </c>
    </row>
    <row r="209">
      <c r="A209" s="17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 t="str">
        <f>IFERROR(VLOOKUP(B209,'MASTER DATA'!$A$1:$E$212,4,FALSE),"")</f>
        <v/>
      </c>
      <c r="G209" s="17"/>
      <c r="H209" s="17"/>
      <c r="I209" s="17"/>
      <c r="J209" s="17" t="b">
        <v>0</v>
      </c>
    </row>
    <row r="210">
      <c r="A210" s="17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 t="str">
        <f>IFERROR(VLOOKUP(B210,'MASTER DATA'!$A$1:$E$212,4,FALSE),"")</f>
        <v/>
      </c>
      <c r="G210" s="17"/>
      <c r="H210" s="17"/>
      <c r="I210" s="17"/>
      <c r="J210" s="17" t="b">
        <v>0</v>
      </c>
    </row>
    <row r="211">
      <c r="A211" s="17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 t="str">
        <f>IFERROR(VLOOKUP(B211,'MASTER DATA'!$A$1:$E$212,4,FALSE),"")</f>
        <v/>
      </c>
      <c r="G211" s="17"/>
      <c r="H211" s="17"/>
      <c r="I211" s="17"/>
      <c r="J211" s="17" t="b">
        <v>0</v>
      </c>
    </row>
    <row r="212">
      <c r="A212" s="17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 t="str">
        <f>IFERROR(VLOOKUP(B212,'MASTER DATA'!$A$1:$E$212,4,FALSE),"")</f>
        <v/>
      </c>
      <c r="G212" s="17"/>
      <c r="H212" s="17"/>
      <c r="I212" s="17"/>
      <c r="J212" s="17" t="b">
        <v>0</v>
      </c>
    </row>
    <row r="213">
      <c r="A213" s="17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 t="str">
        <f>IFERROR(VLOOKUP(B213,'MASTER DATA'!$A$1:$E$212,4,FALSE),"")</f>
        <v/>
      </c>
      <c r="G213" s="17"/>
      <c r="H213" s="17"/>
      <c r="I213" s="17"/>
      <c r="J213" s="17" t="b">
        <v>0</v>
      </c>
    </row>
    <row r="214">
      <c r="A214" s="17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 t="str">
        <f>IFERROR(VLOOKUP(B214,'MASTER DATA'!$A$1:$E$212,4,FALSE),"")</f>
        <v/>
      </c>
      <c r="G214" s="17"/>
      <c r="H214" s="17"/>
      <c r="I214" s="17"/>
      <c r="J214" s="17" t="b">
        <v>0</v>
      </c>
    </row>
    <row r="215">
      <c r="A215" s="17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 t="str">
        <f>IFERROR(VLOOKUP(B215,'MASTER DATA'!$A$1:$E$212,4,FALSE),"")</f>
        <v/>
      </c>
      <c r="G215" s="17"/>
      <c r="H215" s="17"/>
      <c r="I215" s="17"/>
      <c r="J215" s="17" t="b">
        <v>0</v>
      </c>
    </row>
    <row r="216">
      <c r="A216" s="17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 t="str">
        <f>IFERROR(VLOOKUP(B216,'MASTER DATA'!$A$1:$E$212,4,FALSE),"")</f>
        <v/>
      </c>
      <c r="G216" s="17"/>
      <c r="H216" s="17"/>
      <c r="I216" s="17"/>
      <c r="J216" s="17" t="b">
        <v>0</v>
      </c>
    </row>
    <row r="217">
      <c r="A217" s="17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 t="str">
        <f>IFERROR(VLOOKUP(B217,'MASTER DATA'!$A$1:$E$212,4,FALSE),"")</f>
        <v/>
      </c>
      <c r="G217" s="17"/>
      <c r="H217" s="17"/>
      <c r="I217" s="17"/>
      <c r="J217" s="17" t="b">
        <v>0</v>
      </c>
    </row>
    <row r="218">
      <c r="A218" s="17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 t="str">
        <f>IFERROR(VLOOKUP(B218,'MASTER DATA'!$A$1:$E$212,4,FALSE),"")</f>
        <v/>
      </c>
      <c r="G218" s="17"/>
      <c r="H218" s="17"/>
      <c r="I218" s="17"/>
      <c r="J218" s="17" t="b">
        <v>0</v>
      </c>
    </row>
    <row r="219">
      <c r="A219" s="17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 t="str">
        <f>IFERROR(VLOOKUP(B219,'MASTER DATA'!$A$1:$E$212,4,FALSE),"")</f>
        <v/>
      </c>
      <c r="G219" s="17"/>
      <c r="H219" s="17"/>
      <c r="I219" s="17"/>
      <c r="J219" s="17" t="b">
        <v>0</v>
      </c>
    </row>
    <row r="220">
      <c r="A220" s="17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 t="str">
        <f>IFERROR(VLOOKUP(B220,'MASTER DATA'!$A$1:$E$212,4,FALSE),"")</f>
        <v/>
      </c>
      <c r="G220" s="17"/>
      <c r="H220" s="17"/>
      <c r="I220" s="17"/>
      <c r="J220" s="17" t="b">
        <v>0</v>
      </c>
    </row>
    <row r="221">
      <c r="A221" s="17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 t="str">
        <f>IFERROR(VLOOKUP(B221,'MASTER DATA'!$A$1:$E$212,4,FALSE),"")</f>
        <v/>
      </c>
      <c r="G221" s="17"/>
      <c r="H221" s="17"/>
      <c r="I221" s="17"/>
      <c r="J221" s="17" t="b">
        <v>0</v>
      </c>
    </row>
    <row r="222">
      <c r="A222" s="17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 t="str">
        <f>IFERROR(VLOOKUP(B222,'MASTER DATA'!$A$1:$E$212,4,FALSE),"")</f>
        <v/>
      </c>
      <c r="G222" s="17"/>
      <c r="H222" s="17"/>
      <c r="I222" s="17"/>
      <c r="J222" s="17" t="b">
        <v>0</v>
      </c>
    </row>
    <row r="223">
      <c r="A223" s="17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 t="str">
        <f>IFERROR(VLOOKUP(B223,'MASTER DATA'!$A$1:$E$212,4,FALSE),"")</f>
        <v/>
      </c>
      <c r="G223" s="17"/>
      <c r="H223" s="17"/>
      <c r="I223" s="17"/>
      <c r="J223" s="17" t="b">
        <v>0</v>
      </c>
    </row>
    <row r="224">
      <c r="A224" s="17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 t="str">
        <f>IFERROR(VLOOKUP(B224,'MASTER DATA'!$A$1:$E$212,4,FALSE),"")</f>
        <v/>
      </c>
      <c r="G224" s="17"/>
      <c r="H224" s="17"/>
      <c r="I224" s="17"/>
      <c r="J224" s="17" t="b">
        <v>0</v>
      </c>
    </row>
    <row r="225">
      <c r="A225" s="17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 t="str">
        <f>IFERROR(VLOOKUP(B225,'MASTER DATA'!$A$1:$E$212,4,FALSE),"")</f>
        <v/>
      </c>
      <c r="G225" s="17"/>
      <c r="H225" s="17"/>
      <c r="I225" s="17"/>
      <c r="J225" s="17" t="b">
        <v>0</v>
      </c>
    </row>
    <row r="226">
      <c r="A226" s="17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 t="str">
        <f>IFERROR(VLOOKUP(B226,'MASTER DATA'!$A$1:$E$212,4,FALSE),"")</f>
        <v/>
      </c>
      <c r="G226" s="17"/>
      <c r="H226" s="17"/>
      <c r="I226" s="17"/>
      <c r="J226" s="17" t="b">
        <v>0</v>
      </c>
    </row>
    <row r="227">
      <c r="A227" s="17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 t="str">
        <f>IFERROR(VLOOKUP(B227,'MASTER DATA'!$A$1:$E$212,4,FALSE),"")</f>
        <v/>
      </c>
      <c r="G227" s="17"/>
      <c r="H227" s="17"/>
      <c r="I227" s="17"/>
      <c r="J227" s="17" t="b">
        <v>0</v>
      </c>
    </row>
    <row r="228">
      <c r="A228" s="17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 t="str">
        <f>IFERROR(VLOOKUP(B228,'MASTER DATA'!$A$1:$E$212,4,FALSE),"")</f>
        <v/>
      </c>
      <c r="G228" s="17"/>
      <c r="H228" s="17"/>
      <c r="I228" s="17"/>
      <c r="J228" s="17" t="b">
        <v>0</v>
      </c>
    </row>
    <row r="229">
      <c r="A229" s="17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 t="str">
        <f>IFERROR(VLOOKUP(B229,'MASTER DATA'!$A$1:$E$212,4,FALSE),"")</f>
        <v/>
      </c>
      <c r="G229" s="17"/>
      <c r="H229" s="17"/>
      <c r="I229" s="17"/>
      <c r="J229" s="17" t="b">
        <v>0</v>
      </c>
    </row>
    <row r="230">
      <c r="A230" s="17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 t="str">
        <f>IFERROR(VLOOKUP(B230,'MASTER DATA'!$A$1:$E$212,4,FALSE),"")</f>
        <v/>
      </c>
      <c r="G230" s="17"/>
      <c r="H230" s="17"/>
      <c r="I230" s="17"/>
      <c r="J230" s="17" t="b">
        <v>0</v>
      </c>
    </row>
    <row r="231">
      <c r="A231" s="17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 t="str">
        <f>IFERROR(VLOOKUP(B231,'MASTER DATA'!$A$1:$E$212,4,FALSE),"")</f>
        <v/>
      </c>
      <c r="G231" s="17"/>
      <c r="H231" s="17"/>
      <c r="I231" s="17"/>
      <c r="J231" s="17" t="b">
        <v>0</v>
      </c>
    </row>
    <row r="232">
      <c r="A232" s="17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 t="str">
        <f>IFERROR(VLOOKUP(B232,'MASTER DATA'!$A$1:$E$212,4,FALSE),"")</f>
        <v/>
      </c>
      <c r="G232" s="17"/>
      <c r="H232" s="17"/>
      <c r="I232" s="17"/>
      <c r="J232" s="17" t="b">
        <v>0</v>
      </c>
    </row>
    <row r="233">
      <c r="A233" s="17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 t="str">
        <f>IFERROR(VLOOKUP(B233,'MASTER DATA'!$A$1:$E$212,4,FALSE),"")</f>
        <v/>
      </c>
      <c r="G233" s="17"/>
      <c r="H233" s="17"/>
      <c r="I233" s="17"/>
      <c r="J233" s="17" t="b">
        <v>0</v>
      </c>
    </row>
    <row r="234">
      <c r="A234" s="17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 t="str">
        <f>IFERROR(VLOOKUP(B234,'MASTER DATA'!$A$1:$E$212,4,FALSE),"")</f>
        <v/>
      </c>
      <c r="G234" s="17"/>
      <c r="H234" s="17"/>
      <c r="I234" s="17"/>
      <c r="J234" s="17" t="b">
        <v>0</v>
      </c>
    </row>
    <row r="235">
      <c r="A235" s="17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 t="str">
        <f>IFERROR(VLOOKUP(B235,'MASTER DATA'!$A$1:$E$212,4,FALSE),"")</f>
        <v/>
      </c>
      <c r="G235" s="17"/>
      <c r="H235" s="17"/>
      <c r="I235" s="17"/>
      <c r="J235" s="17" t="b">
        <v>0</v>
      </c>
    </row>
    <row r="236">
      <c r="A236" s="17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 t="str">
        <f>IFERROR(VLOOKUP(B236,'MASTER DATA'!$A$1:$E$212,4,FALSE),"")</f>
        <v/>
      </c>
      <c r="G236" s="17"/>
      <c r="H236" s="17"/>
      <c r="I236" s="17"/>
      <c r="J236" s="17" t="b">
        <v>0</v>
      </c>
    </row>
    <row r="237">
      <c r="A237" s="17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 t="str">
        <f>IFERROR(VLOOKUP(B237,'MASTER DATA'!$A$1:$E$212,4,FALSE),"")</f>
        <v/>
      </c>
      <c r="G237" s="17"/>
      <c r="H237" s="17"/>
      <c r="I237" s="17"/>
      <c r="J237" s="17" t="b">
        <v>0</v>
      </c>
    </row>
    <row r="238">
      <c r="A238" s="17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 t="str">
        <f>IFERROR(VLOOKUP(B238,'MASTER DATA'!$A$1:$E$212,4,FALSE),"")</f>
        <v/>
      </c>
      <c r="G238" s="17"/>
      <c r="H238" s="17"/>
      <c r="I238" s="17"/>
      <c r="J238" s="17" t="b">
        <v>0</v>
      </c>
    </row>
    <row r="239">
      <c r="A239" s="17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 t="str">
        <f>IFERROR(VLOOKUP(B239,'MASTER DATA'!$A$1:$E$212,4,FALSE),"")</f>
        <v/>
      </c>
      <c r="G239" s="17"/>
      <c r="H239" s="17"/>
      <c r="I239" s="17"/>
      <c r="J239" s="17" t="b">
        <v>0</v>
      </c>
    </row>
    <row r="240">
      <c r="A240" s="17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 t="str">
        <f>IFERROR(VLOOKUP(B240,'MASTER DATA'!$A$1:$E$212,4,FALSE),"")</f>
        <v/>
      </c>
      <c r="G240" s="17"/>
      <c r="H240" s="17"/>
      <c r="I240" s="17"/>
      <c r="J240" s="17" t="b">
        <v>0</v>
      </c>
    </row>
    <row r="241">
      <c r="A241" s="17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 t="str">
        <f>IFERROR(VLOOKUP(B241,'MASTER DATA'!$A$1:$E$212,4,FALSE),"")</f>
        <v/>
      </c>
      <c r="G241" s="17"/>
      <c r="H241" s="17"/>
      <c r="I241" s="17"/>
      <c r="J241" s="17" t="b">
        <v>0</v>
      </c>
    </row>
    <row r="242">
      <c r="A242" s="17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 t="str">
        <f>IFERROR(VLOOKUP(B242,'MASTER DATA'!$A$1:$E$212,4,FALSE),"")</f>
        <v/>
      </c>
      <c r="G242" s="17"/>
      <c r="H242" s="17"/>
      <c r="I242" s="17"/>
      <c r="J242" s="17" t="b">
        <v>0</v>
      </c>
    </row>
    <row r="243">
      <c r="A243" s="17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 t="str">
        <f>IFERROR(VLOOKUP(B243,'MASTER DATA'!$A$1:$E$212,4,FALSE),"")</f>
        <v/>
      </c>
      <c r="G243" s="17"/>
      <c r="H243" s="17"/>
      <c r="I243" s="17"/>
      <c r="J243" s="17" t="b">
        <v>0</v>
      </c>
    </row>
    <row r="244">
      <c r="A244" s="17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 t="str">
        <f>IFERROR(VLOOKUP(B244,'MASTER DATA'!$A$1:$E$212,4,FALSE),"")</f>
        <v/>
      </c>
      <c r="G244" s="17"/>
      <c r="H244" s="17"/>
      <c r="I244" s="17"/>
      <c r="J244" s="17" t="b">
        <v>0</v>
      </c>
    </row>
    <row r="245">
      <c r="A245" s="17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 t="str">
        <f>IFERROR(VLOOKUP(B245,'MASTER DATA'!$A$1:$E$212,4,FALSE),"")</f>
        <v/>
      </c>
      <c r="G245" s="17"/>
      <c r="H245" s="17"/>
      <c r="I245" s="17"/>
      <c r="J245" s="17" t="b">
        <v>0</v>
      </c>
    </row>
    <row r="246">
      <c r="A246" s="17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 t="str">
        <f>IFERROR(VLOOKUP(B246,'MASTER DATA'!$A$1:$E$212,4,FALSE),"")</f>
        <v/>
      </c>
      <c r="G246" s="17"/>
      <c r="H246" s="17"/>
      <c r="I246" s="17"/>
      <c r="J246" s="17" t="b">
        <v>0</v>
      </c>
    </row>
    <row r="247">
      <c r="A247" s="17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 t="str">
        <f>IFERROR(VLOOKUP(B247,'MASTER DATA'!$A$1:$E$212,4,FALSE),"")</f>
        <v/>
      </c>
      <c r="G247" s="17"/>
      <c r="H247" s="17"/>
      <c r="I247" s="17"/>
      <c r="J247" s="17" t="b">
        <v>0</v>
      </c>
    </row>
    <row r="248">
      <c r="A248" s="17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 t="str">
        <f>IFERROR(VLOOKUP(B248,'MASTER DATA'!$A$1:$E$212,4,FALSE),"")</f>
        <v/>
      </c>
      <c r="G248" s="17"/>
      <c r="H248" s="17"/>
      <c r="I248" s="17"/>
      <c r="J248" s="17" t="b">
        <v>0</v>
      </c>
    </row>
    <row r="249">
      <c r="A249" s="17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 t="str">
        <f>IFERROR(VLOOKUP(B249,'MASTER DATA'!$A$1:$E$212,4,FALSE),"")</f>
        <v/>
      </c>
      <c r="G249" s="17"/>
      <c r="H249" s="17"/>
      <c r="I249" s="17"/>
      <c r="J249" s="17" t="b">
        <v>0</v>
      </c>
    </row>
    <row r="250">
      <c r="A250" s="17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 t="str">
        <f>IFERROR(VLOOKUP(B250,'MASTER DATA'!$A$1:$E$212,4,FALSE),"")</f>
        <v/>
      </c>
      <c r="G250" s="17"/>
      <c r="H250" s="17"/>
      <c r="I250" s="17"/>
      <c r="J250" s="17" t="b">
        <v>0</v>
      </c>
    </row>
    <row r="251">
      <c r="A251" s="17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 t="str">
        <f>IFERROR(VLOOKUP(B251,'MASTER DATA'!$A$1:$E$212,4,FALSE),"")</f>
        <v/>
      </c>
      <c r="G251" s="17"/>
      <c r="H251" s="17"/>
      <c r="I251" s="17"/>
      <c r="J251" s="17" t="b">
        <v>0</v>
      </c>
    </row>
    <row r="252">
      <c r="A252" s="17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 t="str">
        <f>IFERROR(VLOOKUP(B252,'MASTER DATA'!$A$1:$E$212,4,FALSE),"")</f>
        <v/>
      </c>
      <c r="G252" s="17"/>
      <c r="H252" s="17"/>
      <c r="I252" s="17"/>
      <c r="J252" s="17" t="b">
        <v>0</v>
      </c>
    </row>
    <row r="253">
      <c r="A253" s="17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 t="str">
        <f>IFERROR(VLOOKUP(B253,'MASTER DATA'!$A$1:$E$212,4,FALSE),"")</f>
        <v/>
      </c>
      <c r="G253" s="17"/>
      <c r="H253" s="17"/>
      <c r="I253" s="17"/>
      <c r="J253" s="17" t="b">
        <v>0</v>
      </c>
    </row>
    <row r="254">
      <c r="A254" s="17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 t="str">
        <f>IFERROR(VLOOKUP(B254,'MASTER DATA'!$A$1:$E$212,4,FALSE),"")</f>
        <v/>
      </c>
      <c r="G254" s="17"/>
      <c r="H254" s="17"/>
      <c r="I254" s="17"/>
      <c r="J254" s="17" t="b">
        <v>0</v>
      </c>
    </row>
    <row r="255">
      <c r="A255" s="17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 t="str">
        <f>IFERROR(VLOOKUP(B255,'MASTER DATA'!$A$1:$E$212,4,FALSE),"")</f>
        <v/>
      </c>
      <c r="G255" s="17"/>
      <c r="H255" s="17"/>
      <c r="I255" s="17"/>
      <c r="J255" s="17" t="b">
        <v>0</v>
      </c>
    </row>
    <row r="256">
      <c r="A256" s="17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 t="str">
        <f>IFERROR(VLOOKUP(B256,'MASTER DATA'!$A$1:$E$212,4,FALSE),"")</f>
        <v/>
      </c>
      <c r="G256" s="17"/>
      <c r="H256" s="17"/>
      <c r="I256" s="17"/>
      <c r="J256" s="17" t="b">
        <v>0</v>
      </c>
    </row>
    <row r="257">
      <c r="A257" s="17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 t="str">
        <f>IFERROR(VLOOKUP(B257,'MASTER DATA'!$A$1:$E$212,4,FALSE),"")</f>
        <v/>
      </c>
      <c r="G257" s="17"/>
      <c r="H257" s="17"/>
      <c r="I257" s="17"/>
      <c r="J257" s="17" t="b">
        <v>0</v>
      </c>
    </row>
    <row r="258">
      <c r="A258" s="17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 t="str">
        <f>IFERROR(VLOOKUP(B258,'MASTER DATA'!$A$1:$E$212,4,FALSE),"")</f>
        <v/>
      </c>
      <c r="G258" s="17"/>
      <c r="H258" s="17"/>
      <c r="I258" s="17"/>
      <c r="J258" s="17" t="b">
        <v>0</v>
      </c>
    </row>
    <row r="259">
      <c r="A259" s="17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 t="str">
        <f>IFERROR(VLOOKUP(B259,'MASTER DATA'!$A$1:$E$212,4,FALSE),"")</f>
        <v/>
      </c>
      <c r="G259" s="17"/>
      <c r="H259" s="17"/>
      <c r="I259" s="17"/>
      <c r="J259" s="17" t="b">
        <v>0</v>
      </c>
    </row>
    <row r="260">
      <c r="A260" s="17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 t="str">
        <f>IFERROR(VLOOKUP(B260,'MASTER DATA'!$A$1:$E$212,4,FALSE),"")</f>
        <v/>
      </c>
      <c r="G260" s="17"/>
      <c r="H260" s="17"/>
      <c r="I260" s="17"/>
      <c r="J260" s="17" t="b">
        <v>0</v>
      </c>
    </row>
    <row r="261">
      <c r="A261" s="17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 t="str">
        <f>IFERROR(VLOOKUP(B261,'MASTER DATA'!$A$1:$E$212,4,FALSE),"")</f>
        <v/>
      </c>
      <c r="G261" s="17"/>
      <c r="H261" s="17"/>
      <c r="I261" s="17"/>
      <c r="J261" s="17" t="b">
        <v>0</v>
      </c>
    </row>
    <row r="262">
      <c r="A262" s="17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 t="str">
        <f>IFERROR(VLOOKUP(B262,'MASTER DATA'!$A$1:$E$212,4,FALSE),"")</f>
        <v/>
      </c>
      <c r="G262" s="17"/>
      <c r="H262" s="17"/>
      <c r="I262" s="17"/>
      <c r="J262" s="17" t="b">
        <v>0</v>
      </c>
    </row>
    <row r="263">
      <c r="A263" s="17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 t="str">
        <f>IFERROR(VLOOKUP(B263,'MASTER DATA'!$A$1:$E$212,4,FALSE),"")</f>
        <v/>
      </c>
      <c r="G263" s="17"/>
      <c r="H263" s="17"/>
      <c r="I263" s="17"/>
      <c r="J263" s="17" t="b">
        <v>0</v>
      </c>
    </row>
    <row r="264">
      <c r="A264" s="17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 t="str">
        <f>IFERROR(VLOOKUP(B264,'MASTER DATA'!$A$1:$E$212,4,FALSE),"")</f>
        <v/>
      </c>
      <c r="G264" s="17"/>
      <c r="H264" s="17"/>
      <c r="I264" s="17"/>
      <c r="J264" s="17" t="b">
        <v>0</v>
      </c>
    </row>
    <row r="265">
      <c r="A265" s="17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 t="str">
        <f>IFERROR(VLOOKUP(B265,'MASTER DATA'!$A$1:$E$212,4,FALSE),"")</f>
        <v/>
      </c>
      <c r="G265" s="17"/>
      <c r="H265" s="17"/>
      <c r="I265" s="17"/>
      <c r="J265" s="17" t="b">
        <v>0</v>
      </c>
    </row>
    <row r="266">
      <c r="A266" s="17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 t="str">
        <f>IFERROR(VLOOKUP(B266,'MASTER DATA'!$A$1:$E$212,4,FALSE),"")</f>
        <v/>
      </c>
      <c r="G266" s="17"/>
      <c r="H266" s="17"/>
      <c r="I266" s="17"/>
      <c r="J266" s="17" t="b">
        <v>0</v>
      </c>
    </row>
    <row r="267">
      <c r="A267" s="17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 t="str">
        <f>IFERROR(VLOOKUP(B267,'MASTER DATA'!$A$1:$E$212,4,FALSE),"")</f>
        <v/>
      </c>
      <c r="G267" s="17"/>
      <c r="H267" s="17"/>
      <c r="I267" s="17"/>
      <c r="J267" s="17" t="b">
        <v>0</v>
      </c>
    </row>
    <row r="268">
      <c r="A268" s="17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 t="str">
        <f>IFERROR(VLOOKUP(B268,'MASTER DATA'!$A$1:$E$212,4,FALSE),"")</f>
        <v/>
      </c>
      <c r="G268" s="17"/>
      <c r="H268" s="17"/>
      <c r="I268" s="17"/>
      <c r="J268" s="17" t="b">
        <v>0</v>
      </c>
    </row>
    <row r="269">
      <c r="A269" s="17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 t="str">
        <f>IFERROR(VLOOKUP(B269,'MASTER DATA'!$A$1:$E$212,4,FALSE),"")</f>
        <v/>
      </c>
      <c r="G269" s="17"/>
      <c r="H269" s="17"/>
      <c r="I269" s="17"/>
      <c r="J269" s="17" t="b">
        <v>0</v>
      </c>
    </row>
    <row r="270">
      <c r="A270" s="17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 t="str">
        <f>IFERROR(VLOOKUP(B270,'MASTER DATA'!$A$1:$E$212,4,FALSE),"")</f>
        <v/>
      </c>
      <c r="G270" s="17"/>
      <c r="H270" s="17"/>
      <c r="I270" s="17"/>
      <c r="J270" s="17" t="b">
        <v>0</v>
      </c>
    </row>
    <row r="271">
      <c r="A271" s="17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 t="str">
        <f>IFERROR(VLOOKUP(B271,'MASTER DATA'!$A$1:$E$212,4,FALSE),"")</f>
        <v/>
      </c>
      <c r="G271" s="17"/>
      <c r="H271" s="17"/>
      <c r="I271" s="17"/>
      <c r="J271" s="17" t="b">
        <v>0</v>
      </c>
    </row>
    <row r="272">
      <c r="A272" s="17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 t="str">
        <f>IFERROR(VLOOKUP(B272,'MASTER DATA'!$A$1:$E$212,4,FALSE),"")</f>
        <v/>
      </c>
      <c r="G272" s="17"/>
      <c r="H272" s="17"/>
      <c r="I272" s="17"/>
      <c r="J272" s="17" t="b">
        <v>0</v>
      </c>
    </row>
    <row r="273">
      <c r="A273" s="17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 t="str">
        <f>IFERROR(VLOOKUP(B273,'MASTER DATA'!$A$1:$E$212,4,FALSE),"")</f>
        <v/>
      </c>
      <c r="G273" s="17"/>
      <c r="H273" s="17"/>
      <c r="I273" s="17"/>
      <c r="J273" s="17" t="b">
        <v>0</v>
      </c>
    </row>
    <row r="274">
      <c r="A274" s="17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 t="str">
        <f>IFERROR(VLOOKUP(B274,'MASTER DATA'!$A$1:$E$212,4,FALSE),"")</f>
        <v/>
      </c>
      <c r="G274" s="17"/>
      <c r="H274" s="17"/>
      <c r="I274" s="17"/>
      <c r="J274" s="17" t="b">
        <v>0</v>
      </c>
    </row>
    <row r="275">
      <c r="A275" s="17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 t="str">
        <f>IFERROR(VLOOKUP(B275,'MASTER DATA'!$A$1:$E$212,4,FALSE),"")</f>
        <v/>
      </c>
      <c r="G275" s="17"/>
      <c r="H275" s="17"/>
      <c r="I275" s="17"/>
      <c r="J275" s="17" t="b">
        <v>0</v>
      </c>
    </row>
    <row r="276">
      <c r="A276" s="17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 t="str">
        <f>IFERROR(VLOOKUP(B276,'MASTER DATA'!$A$1:$E$212,4,FALSE),"")</f>
        <v/>
      </c>
      <c r="G276" s="17"/>
      <c r="H276" s="17"/>
      <c r="I276" s="17"/>
      <c r="J276" s="17" t="b">
        <v>0</v>
      </c>
    </row>
    <row r="277">
      <c r="A277" s="17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 t="str">
        <f>IFERROR(VLOOKUP(B277,'MASTER DATA'!$A$1:$E$212,4,FALSE),"")</f>
        <v/>
      </c>
      <c r="G277" s="17"/>
      <c r="H277" s="17"/>
      <c r="I277" s="17"/>
      <c r="J277" s="17" t="b">
        <v>0</v>
      </c>
    </row>
    <row r="278">
      <c r="A278" s="17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 t="str">
        <f>IFERROR(VLOOKUP(B278,'MASTER DATA'!$A$1:$E$212,4,FALSE),"")</f>
        <v/>
      </c>
      <c r="G278" s="17"/>
      <c r="H278" s="17"/>
      <c r="I278" s="17"/>
      <c r="J278" s="17" t="b">
        <v>0</v>
      </c>
    </row>
    <row r="279">
      <c r="A279" s="17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 t="str">
        <f>IFERROR(VLOOKUP(B279,'MASTER DATA'!$A$1:$E$212,4,FALSE),"")</f>
        <v/>
      </c>
      <c r="G279" s="17"/>
      <c r="H279" s="17"/>
      <c r="I279" s="17"/>
      <c r="J279" s="17" t="b">
        <v>0</v>
      </c>
    </row>
    <row r="280">
      <c r="A280" s="17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 t="str">
        <f>IFERROR(VLOOKUP(B280,'MASTER DATA'!$A$1:$E$212,4,FALSE),"")</f>
        <v/>
      </c>
      <c r="G280" s="17"/>
      <c r="H280" s="17"/>
      <c r="I280" s="17"/>
      <c r="J280" s="17" t="b">
        <v>0</v>
      </c>
    </row>
    <row r="281">
      <c r="A281" s="17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 t="str">
        <f>IFERROR(VLOOKUP(B281,'MASTER DATA'!$A$1:$E$212,4,FALSE),"")</f>
        <v/>
      </c>
      <c r="G281" s="17"/>
      <c r="H281" s="17"/>
      <c r="I281" s="17"/>
      <c r="J281" s="17" t="b">
        <v>0</v>
      </c>
    </row>
    <row r="282">
      <c r="A282" s="17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 t="str">
        <f>IFERROR(VLOOKUP(B282,'MASTER DATA'!$A$1:$E$212,4,FALSE),"")</f>
        <v/>
      </c>
      <c r="G282" s="17"/>
      <c r="H282" s="17"/>
      <c r="I282" s="17"/>
      <c r="J282" s="17" t="b">
        <v>0</v>
      </c>
    </row>
    <row r="283">
      <c r="A283" s="17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 t="str">
        <f>IFERROR(VLOOKUP(B283,'MASTER DATA'!$A$1:$E$212,4,FALSE),"")</f>
        <v/>
      </c>
      <c r="G283" s="17"/>
      <c r="H283" s="17"/>
      <c r="I283" s="17"/>
      <c r="J283" s="17" t="b">
        <v>0</v>
      </c>
    </row>
    <row r="284">
      <c r="A284" s="17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 t="str">
        <f>IFERROR(VLOOKUP(B284,'MASTER DATA'!$A$1:$E$212,4,FALSE),"")</f>
        <v/>
      </c>
      <c r="G284" s="17"/>
      <c r="H284" s="17"/>
      <c r="I284" s="17"/>
      <c r="J284" s="17" t="b">
        <v>0</v>
      </c>
    </row>
    <row r="285">
      <c r="A285" s="17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 t="str">
        <f>IFERROR(VLOOKUP(B285,'MASTER DATA'!$A$1:$E$212,4,FALSE),"")</f>
        <v/>
      </c>
      <c r="G285" s="17"/>
      <c r="H285" s="17"/>
      <c r="I285" s="17"/>
      <c r="J285" s="17" t="b">
        <v>0</v>
      </c>
    </row>
    <row r="286">
      <c r="A286" s="17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 t="str">
        <f>IFERROR(VLOOKUP(B286,'MASTER DATA'!$A$1:$E$212,4,FALSE),"")</f>
        <v/>
      </c>
      <c r="G286" s="17"/>
      <c r="H286" s="17"/>
      <c r="I286" s="17"/>
      <c r="J286" s="17" t="b">
        <v>0</v>
      </c>
    </row>
    <row r="287">
      <c r="A287" s="17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 t="str">
        <f>IFERROR(VLOOKUP(B287,'MASTER DATA'!$A$1:$E$212,4,FALSE),"")</f>
        <v/>
      </c>
      <c r="G287" s="17"/>
      <c r="H287" s="17"/>
      <c r="I287" s="17"/>
      <c r="J287" s="17" t="b">
        <v>0</v>
      </c>
    </row>
    <row r="288">
      <c r="A288" s="17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 t="str">
        <f>IFERROR(VLOOKUP(B288,'MASTER DATA'!$A$1:$E$212,4,FALSE),"")</f>
        <v/>
      </c>
      <c r="G288" s="17"/>
      <c r="H288" s="17"/>
      <c r="I288" s="17"/>
      <c r="J288" s="17" t="b">
        <v>0</v>
      </c>
    </row>
    <row r="289">
      <c r="A289" s="17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 t="str">
        <f>IFERROR(VLOOKUP(B289,'MASTER DATA'!$A$1:$E$212,4,FALSE),"")</f>
        <v/>
      </c>
      <c r="G289" s="17"/>
      <c r="H289" s="17"/>
      <c r="I289" s="17"/>
      <c r="J289" s="17" t="b">
        <v>0</v>
      </c>
    </row>
    <row r="290">
      <c r="A290" s="17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 t="str">
        <f>IFERROR(VLOOKUP(B290,'MASTER DATA'!$A$1:$E$212,4,FALSE),"")</f>
        <v/>
      </c>
      <c r="G290" s="17"/>
      <c r="H290" s="17"/>
      <c r="I290" s="17"/>
      <c r="J290" s="17" t="b">
        <v>0</v>
      </c>
    </row>
    <row r="291">
      <c r="A291" s="17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 t="str">
        <f>IFERROR(VLOOKUP(B291,'MASTER DATA'!$A$1:$E$212,4,FALSE),"")</f>
        <v/>
      </c>
      <c r="G291" s="17"/>
      <c r="H291" s="17"/>
      <c r="I291" s="17"/>
      <c r="J291" s="17" t="b">
        <v>0</v>
      </c>
    </row>
    <row r="292">
      <c r="A292" s="17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 t="str">
        <f>IFERROR(VLOOKUP(B292,'MASTER DATA'!$A$1:$E$212,4,FALSE),"")</f>
        <v/>
      </c>
      <c r="G292" s="17"/>
      <c r="H292" s="17"/>
      <c r="I292" s="17"/>
      <c r="J292" s="17" t="b">
        <v>0</v>
      </c>
    </row>
    <row r="293">
      <c r="A293" s="17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 t="str">
        <f>IFERROR(VLOOKUP(B293,'MASTER DATA'!$A$1:$E$212,4,FALSE),"")</f>
        <v/>
      </c>
      <c r="G293" s="17"/>
      <c r="H293" s="17"/>
      <c r="I293" s="17"/>
      <c r="J293" s="17" t="b">
        <v>0</v>
      </c>
    </row>
    <row r="294">
      <c r="A294" s="17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 t="str">
        <f>IFERROR(VLOOKUP(B294,'MASTER DATA'!$A$1:$E$212,4,FALSE),"")</f>
        <v/>
      </c>
      <c r="G294" s="17"/>
      <c r="H294" s="17"/>
      <c r="I294" s="17"/>
      <c r="J294" s="17" t="b">
        <v>0</v>
      </c>
    </row>
    <row r="295">
      <c r="A295" s="17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 t="str">
        <f>IFERROR(VLOOKUP(B295,'MASTER DATA'!$A$1:$E$212,4,FALSE),"")</f>
        <v/>
      </c>
      <c r="G295" s="17"/>
      <c r="H295" s="17"/>
      <c r="I295" s="17"/>
      <c r="J295" s="17" t="b">
        <v>0</v>
      </c>
    </row>
    <row r="296">
      <c r="A296" s="17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 t="str">
        <f>IFERROR(VLOOKUP(B296,'MASTER DATA'!$A$1:$E$212,4,FALSE),"")</f>
        <v/>
      </c>
      <c r="G296" s="17"/>
      <c r="H296" s="17"/>
      <c r="I296" s="17"/>
      <c r="J296" s="17" t="b">
        <v>0</v>
      </c>
    </row>
    <row r="297">
      <c r="A297" s="17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 t="str">
        <f>IFERROR(VLOOKUP(B297,'MASTER DATA'!$A$1:$E$212,4,FALSE),"")</f>
        <v/>
      </c>
      <c r="G297" s="17"/>
      <c r="H297" s="17"/>
      <c r="I297" s="17"/>
      <c r="J297" s="17" t="b">
        <v>0</v>
      </c>
    </row>
    <row r="298">
      <c r="A298" s="17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 t="str">
        <f>IFERROR(VLOOKUP(B298,'MASTER DATA'!$A$1:$E$212,4,FALSE),"")</f>
        <v/>
      </c>
      <c r="G298" s="17"/>
      <c r="H298" s="17"/>
      <c r="I298" s="17"/>
      <c r="J298" s="17" t="b">
        <v>0</v>
      </c>
    </row>
    <row r="299">
      <c r="A299" s="17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 t="str">
        <f>IFERROR(VLOOKUP(B299,'MASTER DATA'!$A$1:$E$212,4,FALSE),"")</f>
        <v/>
      </c>
      <c r="G299" s="17"/>
      <c r="H299" s="17"/>
      <c r="I299" s="17"/>
      <c r="J299" s="17" t="b">
        <v>0</v>
      </c>
    </row>
    <row r="300">
      <c r="A300" s="17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 t="str">
        <f>IFERROR(VLOOKUP(B300,'MASTER DATA'!$A$1:$E$212,4,FALSE),"")</f>
        <v/>
      </c>
      <c r="G300" s="17"/>
      <c r="H300" s="17"/>
      <c r="I300" s="17"/>
      <c r="J300" s="17" t="b">
        <v>0</v>
      </c>
    </row>
    <row r="301">
      <c r="A301" s="17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 t="str">
        <f>IFERROR(VLOOKUP(B301,'MASTER DATA'!$A$1:$E$212,4,FALSE),"")</f>
        <v/>
      </c>
      <c r="G301" s="17"/>
      <c r="H301" s="17"/>
      <c r="I301" s="17"/>
      <c r="J301" s="17" t="b">
        <v>0</v>
      </c>
    </row>
    <row r="302">
      <c r="A302" s="17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 t="str">
        <f>IFERROR(VLOOKUP(B302,'MASTER DATA'!$A$1:$E$212,4,FALSE),"")</f>
        <v/>
      </c>
      <c r="G302" s="17"/>
      <c r="H302" s="17"/>
      <c r="I302" s="17"/>
      <c r="J302" s="17" t="b">
        <v>0</v>
      </c>
    </row>
    <row r="303">
      <c r="A303" s="17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 t="str">
        <f>IFERROR(VLOOKUP(B303,'MASTER DATA'!$A$1:$E$212,4,FALSE),"")</f>
        <v/>
      </c>
      <c r="G303" s="17"/>
      <c r="H303" s="17"/>
      <c r="I303" s="17"/>
      <c r="J303" s="17" t="b">
        <v>0</v>
      </c>
    </row>
    <row r="304">
      <c r="A304" s="17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 t="str">
        <f>IFERROR(VLOOKUP(B304,'MASTER DATA'!$A$1:$E$212,4,FALSE),"")</f>
        <v/>
      </c>
      <c r="G304" s="17"/>
      <c r="H304" s="17"/>
      <c r="I304" s="17"/>
      <c r="J304" s="17" t="b">
        <v>0</v>
      </c>
    </row>
    <row r="305">
      <c r="A305" s="17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 t="str">
        <f>IFERROR(VLOOKUP(B305,'MASTER DATA'!$A$1:$E$212,4,FALSE),"")</f>
        <v/>
      </c>
      <c r="G305" s="17"/>
      <c r="H305" s="17"/>
      <c r="I305" s="17"/>
      <c r="J305" s="17" t="b">
        <v>0</v>
      </c>
    </row>
    <row r="306">
      <c r="A306" s="17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 t="str">
        <f>IFERROR(VLOOKUP(B306,'MASTER DATA'!$A$1:$E$212,4,FALSE),"")</f>
        <v/>
      </c>
      <c r="G306" s="17"/>
      <c r="H306" s="17"/>
      <c r="I306" s="17"/>
      <c r="J306" s="17" t="b">
        <v>0</v>
      </c>
    </row>
    <row r="307">
      <c r="A307" s="17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 t="str">
        <f>IFERROR(VLOOKUP(B307,'MASTER DATA'!$A$1:$E$212,4,FALSE),"")</f>
        <v/>
      </c>
      <c r="G307" s="17"/>
      <c r="H307" s="17"/>
      <c r="I307" s="17"/>
      <c r="J307" s="17" t="b">
        <v>0</v>
      </c>
    </row>
    <row r="308">
      <c r="A308" s="17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 t="str">
        <f>IFERROR(VLOOKUP(B308,'MASTER DATA'!$A$1:$E$212,4,FALSE),"")</f>
        <v/>
      </c>
      <c r="G308" s="17"/>
      <c r="H308" s="17"/>
      <c r="I308" s="17"/>
      <c r="J308" s="17" t="b">
        <v>0</v>
      </c>
    </row>
    <row r="309">
      <c r="A309" s="17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 t="str">
        <f>IFERROR(VLOOKUP(B309,'MASTER DATA'!$A$1:$E$212,4,FALSE),"")</f>
        <v/>
      </c>
      <c r="G309" s="17"/>
      <c r="H309" s="17"/>
      <c r="I309" s="17"/>
      <c r="J309" s="17" t="b">
        <v>0</v>
      </c>
    </row>
    <row r="310">
      <c r="A310" s="17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 t="str">
        <f>IFERROR(VLOOKUP(B310,'MASTER DATA'!$A$1:$E$212,4,FALSE),"")</f>
        <v/>
      </c>
      <c r="G310" s="17"/>
      <c r="H310" s="17"/>
      <c r="I310" s="17"/>
      <c r="J310" s="17" t="b">
        <v>0</v>
      </c>
    </row>
    <row r="311">
      <c r="A311" s="17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 t="str">
        <f>IFERROR(VLOOKUP(B311,'MASTER DATA'!$A$1:$E$212,4,FALSE),"")</f>
        <v/>
      </c>
      <c r="G311" s="17"/>
      <c r="H311" s="17"/>
      <c r="I311" s="17"/>
      <c r="J311" s="17" t="b">
        <v>0</v>
      </c>
    </row>
    <row r="312">
      <c r="A312" s="17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 t="str">
        <f>IFERROR(VLOOKUP(B312,'MASTER DATA'!$A$1:$E$212,4,FALSE),"")</f>
        <v/>
      </c>
      <c r="G312" s="17"/>
      <c r="H312" s="17"/>
      <c r="I312" s="17"/>
      <c r="J312" s="17" t="b">
        <v>0</v>
      </c>
    </row>
    <row r="313">
      <c r="A313" s="17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 t="str">
        <f>IFERROR(VLOOKUP(B313,'MASTER DATA'!$A$1:$E$212,4,FALSE),"")</f>
        <v/>
      </c>
      <c r="G313" s="17"/>
      <c r="H313" s="17"/>
      <c r="I313" s="17"/>
      <c r="J313" s="17" t="b">
        <v>0</v>
      </c>
    </row>
    <row r="314">
      <c r="A314" s="17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 t="str">
        <f>IFERROR(VLOOKUP(B314,'MASTER DATA'!$A$1:$E$212,4,FALSE),"")</f>
        <v/>
      </c>
      <c r="G314" s="17"/>
      <c r="H314" s="17"/>
      <c r="I314" s="17"/>
      <c r="J314" s="17" t="b">
        <v>0</v>
      </c>
    </row>
    <row r="315">
      <c r="A315" s="17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 t="str">
        <f>IFERROR(VLOOKUP(B315,'MASTER DATA'!$A$1:$E$212,4,FALSE),"")</f>
        <v/>
      </c>
      <c r="G315" s="17"/>
      <c r="H315" s="17"/>
      <c r="I315" s="17"/>
      <c r="J315" s="17" t="b">
        <v>0</v>
      </c>
    </row>
    <row r="316">
      <c r="A316" s="17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 t="str">
        <f>IFERROR(VLOOKUP(B316,'MASTER DATA'!$A$1:$E$212,4,FALSE),"")</f>
        <v/>
      </c>
      <c r="G316" s="17"/>
      <c r="H316" s="17"/>
      <c r="I316" s="17"/>
      <c r="J316" s="17" t="b">
        <v>0</v>
      </c>
    </row>
    <row r="317">
      <c r="A317" s="17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 t="str">
        <f>IFERROR(VLOOKUP(B317,'MASTER DATA'!$A$1:$E$212,4,FALSE),"")</f>
        <v/>
      </c>
      <c r="G317" s="17"/>
      <c r="H317" s="17"/>
      <c r="I317" s="17"/>
      <c r="J317" s="17" t="b">
        <v>0</v>
      </c>
    </row>
    <row r="318">
      <c r="A318" s="17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 t="str">
        <f>IFERROR(VLOOKUP(B318,'MASTER DATA'!$A$1:$E$212,4,FALSE),"")</f>
        <v/>
      </c>
      <c r="G318" s="17"/>
      <c r="H318" s="17"/>
      <c r="I318" s="17"/>
      <c r="J318" s="17" t="b">
        <v>0</v>
      </c>
    </row>
    <row r="319">
      <c r="A319" s="17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 t="str">
        <f>IFERROR(VLOOKUP(B319,'MASTER DATA'!$A$1:$E$212,4,FALSE),"")</f>
        <v/>
      </c>
      <c r="G319" s="17"/>
      <c r="H319" s="17"/>
      <c r="I319" s="17"/>
      <c r="J319" s="17" t="b">
        <v>0</v>
      </c>
    </row>
    <row r="320">
      <c r="A320" s="17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 t="str">
        <f>IFERROR(VLOOKUP(B320,'MASTER DATA'!$A$1:$E$212,4,FALSE),"")</f>
        <v/>
      </c>
      <c r="G320" s="17"/>
      <c r="H320" s="17"/>
      <c r="I320" s="17"/>
      <c r="J320" s="17" t="b">
        <v>0</v>
      </c>
    </row>
    <row r="321">
      <c r="A321" s="17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 t="str">
        <f>IFERROR(VLOOKUP(B321,'MASTER DATA'!$A$1:$E$212,4,FALSE),"")</f>
        <v/>
      </c>
      <c r="G321" s="17"/>
      <c r="H321" s="17"/>
      <c r="I321" s="17"/>
      <c r="J321" s="17" t="b">
        <v>0</v>
      </c>
    </row>
    <row r="322">
      <c r="A322" s="17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 t="str">
        <f>IFERROR(VLOOKUP(B322,'MASTER DATA'!$A$1:$E$212,4,FALSE),"")</f>
        <v/>
      </c>
      <c r="G322" s="17"/>
      <c r="H322" s="17"/>
      <c r="I322" s="17"/>
      <c r="J322" s="17" t="b">
        <v>0</v>
      </c>
    </row>
    <row r="323">
      <c r="A323" s="17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 t="str">
        <f>IFERROR(VLOOKUP(B323,'MASTER DATA'!$A$1:$E$212,4,FALSE),"")</f>
        <v/>
      </c>
      <c r="G323" s="17"/>
      <c r="H323" s="17"/>
      <c r="I323" s="17"/>
      <c r="J323" s="17" t="b">
        <v>0</v>
      </c>
    </row>
    <row r="324">
      <c r="A324" s="17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 t="str">
        <f>IFERROR(VLOOKUP(B324,'MASTER DATA'!$A$1:$E$212,4,FALSE),"")</f>
        <v/>
      </c>
      <c r="G324" s="17"/>
      <c r="H324" s="17"/>
      <c r="I324" s="17"/>
      <c r="J324" s="17" t="b">
        <v>0</v>
      </c>
    </row>
    <row r="325">
      <c r="A325" s="17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 t="str">
        <f>IFERROR(VLOOKUP(B325,'MASTER DATA'!$A$1:$E$212,4,FALSE),"")</f>
        <v/>
      </c>
      <c r="G325" s="17"/>
      <c r="H325" s="17"/>
      <c r="I325" s="17"/>
      <c r="J325" s="17" t="b">
        <v>0</v>
      </c>
    </row>
    <row r="326">
      <c r="A326" s="17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 t="str">
        <f>IFERROR(VLOOKUP(B326,'MASTER DATA'!$A$1:$E$212,4,FALSE),"")</f>
        <v/>
      </c>
      <c r="G326" s="17"/>
      <c r="H326" s="17"/>
      <c r="I326" s="17"/>
      <c r="J326" s="17" t="b">
        <v>0</v>
      </c>
    </row>
    <row r="327">
      <c r="A327" s="17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 t="str">
        <f>IFERROR(VLOOKUP(B327,'MASTER DATA'!$A$1:$E$212,4,FALSE),"")</f>
        <v/>
      </c>
      <c r="G327" s="17"/>
      <c r="H327" s="17"/>
      <c r="I327" s="17"/>
      <c r="J327" s="17" t="b">
        <v>0</v>
      </c>
    </row>
    <row r="328">
      <c r="A328" s="17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 t="str">
        <f>IFERROR(VLOOKUP(B328,'MASTER DATA'!$A$1:$E$212,4,FALSE),"")</f>
        <v/>
      </c>
      <c r="G328" s="17"/>
      <c r="H328" s="17"/>
      <c r="I328" s="17"/>
      <c r="J328" s="17" t="b">
        <v>0</v>
      </c>
    </row>
    <row r="329">
      <c r="A329" s="17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 t="str">
        <f>IFERROR(VLOOKUP(B329,'MASTER DATA'!$A$1:$E$212,4,FALSE),"")</f>
        <v/>
      </c>
      <c r="G329" s="17"/>
      <c r="H329" s="17"/>
      <c r="I329" s="17"/>
      <c r="J329" s="17" t="b">
        <v>0</v>
      </c>
    </row>
    <row r="330">
      <c r="A330" s="17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 t="str">
        <f>IFERROR(VLOOKUP(B330,'MASTER DATA'!$A$1:$E$212,4,FALSE),"")</f>
        <v/>
      </c>
      <c r="G330" s="17"/>
      <c r="H330" s="17"/>
      <c r="I330" s="17"/>
      <c r="J330" s="17" t="b">
        <v>0</v>
      </c>
    </row>
    <row r="331">
      <c r="A331" s="17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 t="str">
        <f>IFERROR(VLOOKUP(B331,'MASTER DATA'!$A$1:$E$212,4,FALSE),"")</f>
        <v/>
      </c>
      <c r="G331" s="17"/>
      <c r="H331" s="17"/>
      <c r="I331" s="17"/>
      <c r="J331" s="17" t="b">
        <v>0</v>
      </c>
    </row>
    <row r="332">
      <c r="A332" s="17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 t="str">
        <f>IFERROR(VLOOKUP(B332,'MASTER DATA'!$A$1:$E$212,4,FALSE),"")</f>
        <v/>
      </c>
      <c r="G332" s="17"/>
      <c r="H332" s="17"/>
      <c r="I332" s="17"/>
      <c r="J332" s="17" t="b">
        <v>0</v>
      </c>
    </row>
    <row r="333">
      <c r="A333" s="17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 t="str">
        <f>IFERROR(VLOOKUP(B333,'MASTER DATA'!$A$1:$E$212,4,FALSE),"")</f>
        <v/>
      </c>
      <c r="G333" s="17"/>
      <c r="H333" s="17"/>
      <c r="I333" s="17"/>
      <c r="J333" s="17" t="b">
        <v>0</v>
      </c>
    </row>
    <row r="334">
      <c r="A334" s="17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 t="str">
        <f>IFERROR(VLOOKUP(B334,'MASTER DATA'!$A$1:$E$212,4,FALSE),"")</f>
        <v/>
      </c>
      <c r="G334" s="17"/>
      <c r="H334" s="17"/>
      <c r="I334" s="17"/>
      <c r="J334" s="17" t="b">
        <v>0</v>
      </c>
    </row>
    <row r="335">
      <c r="A335" s="17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 t="str">
        <f>IFERROR(VLOOKUP(B335,'MASTER DATA'!$A$1:$E$212,4,FALSE),"")</f>
        <v/>
      </c>
      <c r="G335" s="17"/>
      <c r="H335" s="17"/>
      <c r="I335" s="17"/>
      <c r="J335" s="17" t="b">
        <v>0</v>
      </c>
    </row>
    <row r="336">
      <c r="A336" s="17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 t="str">
        <f>IFERROR(VLOOKUP(B336,'MASTER DATA'!$A$1:$E$212,4,FALSE),"")</f>
        <v/>
      </c>
      <c r="G336" s="17"/>
      <c r="H336" s="17"/>
      <c r="I336" s="17"/>
      <c r="J336" s="17" t="b">
        <v>0</v>
      </c>
    </row>
    <row r="337">
      <c r="A337" s="17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 t="str">
        <f>IFERROR(VLOOKUP(B337,'MASTER DATA'!$A$1:$E$212,4,FALSE),"")</f>
        <v/>
      </c>
      <c r="G337" s="17"/>
      <c r="H337" s="17"/>
      <c r="I337" s="17"/>
      <c r="J337" s="17" t="b">
        <v>0</v>
      </c>
    </row>
    <row r="338">
      <c r="A338" s="17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 t="str">
        <f>IFERROR(VLOOKUP(B338,'MASTER DATA'!$A$1:$E$212,4,FALSE),"")</f>
        <v/>
      </c>
      <c r="G338" s="17"/>
      <c r="H338" s="17"/>
      <c r="I338" s="17"/>
      <c r="J338" s="17" t="b">
        <v>0</v>
      </c>
    </row>
    <row r="339">
      <c r="A339" s="17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 t="str">
        <f>IFERROR(VLOOKUP(B339,'MASTER DATA'!$A$1:$E$212,4,FALSE),"")</f>
        <v/>
      </c>
      <c r="G339" s="17"/>
      <c r="H339" s="17"/>
      <c r="I339" s="17"/>
      <c r="J339" s="17" t="b">
        <v>0</v>
      </c>
    </row>
    <row r="340">
      <c r="A340" s="17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 t="str">
        <f>IFERROR(VLOOKUP(B340,'MASTER DATA'!$A$1:$E$212,4,FALSE),"")</f>
        <v/>
      </c>
      <c r="G340" s="17"/>
      <c r="H340" s="17"/>
      <c r="I340" s="17"/>
      <c r="J340" s="17" t="b">
        <v>0</v>
      </c>
    </row>
    <row r="341">
      <c r="A341" s="17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 t="str">
        <f>IFERROR(VLOOKUP(B341,'MASTER DATA'!$A$1:$E$212,4,FALSE),"")</f>
        <v/>
      </c>
      <c r="G341" s="17"/>
      <c r="H341" s="17"/>
      <c r="I341" s="17"/>
      <c r="J341" s="17" t="b">
        <v>0</v>
      </c>
    </row>
    <row r="342">
      <c r="A342" s="17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 t="str">
        <f>IFERROR(VLOOKUP(B342,'MASTER DATA'!$A$1:$E$212,4,FALSE),"")</f>
        <v/>
      </c>
      <c r="G342" s="17"/>
      <c r="H342" s="17"/>
      <c r="I342" s="17"/>
      <c r="J342" s="17" t="b">
        <v>0</v>
      </c>
    </row>
    <row r="343">
      <c r="A343" s="17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 t="str">
        <f>IFERROR(VLOOKUP(B343,'MASTER DATA'!$A$1:$E$212,4,FALSE),"")</f>
        <v/>
      </c>
      <c r="G343" s="17"/>
      <c r="H343" s="17"/>
      <c r="I343" s="17"/>
      <c r="J343" s="17" t="b">
        <v>0</v>
      </c>
    </row>
    <row r="344">
      <c r="A344" s="17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 t="str">
        <f>IFERROR(VLOOKUP(B344,'MASTER DATA'!$A$1:$E$212,4,FALSE),"")</f>
        <v/>
      </c>
      <c r="G344" s="17"/>
      <c r="H344" s="17"/>
      <c r="I344" s="17"/>
      <c r="J344" s="17" t="b">
        <v>0</v>
      </c>
    </row>
    <row r="345">
      <c r="A345" s="17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 t="str">
        <f>IFERROR(VLOOKUP(B345,'MASTER DATA'!$A$1:$E$212,4,FALSE),"")</f>
        <v/>
      </c>
      <c r="G345" s="17"/>
      <c r="H345" s="17"/>
      <c r="I345" s="17"/>
      <c r="J345" s="17" t="b">
        <v>0</v>
      </c>
    </row>
    <row r="346">
      <c r="A346" s="17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 t="str">
        <f>IFERROR(VLOOKUP(B346,'MASTER DATA'!$A$1:$E$212,4,FALSE),"")</f>
        <v/>
      </c>
      <c r="G346" s="17"/>
      <c r="H346" s="17"/>
      <c r="I346" s="17"/>
      <c r="J346" s="17" t="b">
        <v>0</v>
      </c>
    </row>
    <row r="347">
      <c r="A347" s="17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 t="str">
        <f>IFERROR(VLOOKUP(B347,'MASTER DATA'!$A$1:$E$212,4,FALSE),"")</f>
        <v/>
      </c>
      <c r="G347" s="17"/>
      <c r="H347" s="17"/>
      <c r="I347" s="17"/>
      <c r="J347" s="17" t="b">
        <v>0</v>
      </c>
    </row>
    <row r="348">
      <c r="A348" s="17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 t="str">
        <f>IFERROR(VLOOKUP(B348,'MASTER DATA'!$A$1:$E$212,4,FALSE),"")</f>
        <v/>
      </c>
      <c r="G348" s="17"/>
      <c r="H348" s="17"/>
      <c r="I348" s="17"/>
      <c r="J348" s="17" t="b">
        <v>0</v>
      </c>
    </row>
    <row r="349">
      <c r="A349" s="17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 t="str">
        <f>IFERROR(VLOOKUP(B349,'MASTER DATA'!$A$1:$E$212,4,FALSE),"")</f>
        <v/>
      </c>
      <c r="G349" s="17"/>
      <c r="H349" s="17"/>
      <c r="I349" s="17"/>
      <c r="J349" s="17" t="b">
        <v>0</v>
      </c>
    </row>
    <row r="350">
      <c r="A350" s="17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 t="str">
        <f>IFERROR(VLOOKUP(B350,'MASTER DATA'!$A$1:$E$212,4,FALSE),"")</f>
        <v/>
      </c>
      <c r="G350" s="17"/>
      <c r="H350" s="17"/>
      <c r="I350" s="17"/>
      <c r="J350" s="17" t="b">
        <v>0</v>
      </c>
    </row>
    <row r="351">
      <c r="A351" s="17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 t="str">
        <f>IFERROR(VLOOKUP(B351,'MASTER DATA'!$A$1:$E$212,4,FALSE),"")</f>
        <v/>
      </c>
      <c r="G351" s="17"/>
      <c r="H351" s="17"/>
      <c r="I351" s="17"/>
      <c r="J351" s="17" t="b">
        <v>0</v>
      </c>
    </row>
    <row r="352">
      <c r="A352" s="17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 t="str">
        <f>IFERROR(VLOOKUP(B352,'MASTER DATA'!$A$1:$E$212,4,FALSE),"")</f>
        <v/>
      </c>
      <c r="G352" s="17"/>
      <c r="H352" s="17"/>
      <c r="I352" s="17"/>
      <c r="J352" s="17" t="b">
        <v>0</v>
      </c>
    </row>
    <row r="353">
      <c r="A353" s="17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 t="str">
        <f>IFERROR(VLOOKUP(B353,'MASTER DATA'!$A$1:$E$212,4,FALSE),"")</f>
        <v/>
      </c>
      <c r="G353" s="17"/>
      <c r="H353" s="17"/>
      <c r="I353" s="17"/>
      <c r="J353" s="17" t="b">
        <v>0</v>
      </c>
    </row>
    <row r="354">
      <c r="A354" s="17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 t="str">
        <f>IFERROR(VLOOKUP(B354,'MASTER DATA'!$A$1:$E$212,4,FALSE),"")</f>
        <v/>
      </c>
      <c r="G354" s="17"/>
      <c r="H354" s="17"/>
      <c r="I354" s="17"/>
      <c r="J354" s="17" t="b">
        <v>0</v>
      </c>
    </row>
    <row r="355">
      <c r="A355" s="17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 t="str">
        <f>IFERROR(VLOOKUP(B355,'MASTER DATA'!$A$1:$E$212,4,FALSE),"")</f>
        <v/>
      </c>
      <c r="G355" s="17"/>
      <c r="H355" s="17"/>
      <c r="I355" s="17"/>
      <c r="J355" s="17" t="b">
        <v>0</v>
      </c>
    </row>
    <row r="356">
      <c r="A356" s="17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 t="str">
        <f>IFERROR(VLOOKUP(B356,'MASTER DATA'!$A$1:$E$212,4,FALSE),"")</f>
        <v/>
      </c>
      <c r="G356" s="17"/>
      <c r="H356" s="17"/>
      <c r="I356" s="17"/>
      <c r="J356" s="17" t="b">
        <v>0</v>
      </c>
    </row>
    <row r="357">
      <c r="A357" s="17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 t="str">
        <f>IFERROR(VLOOKUP(B357,'MASTER DATA'!$A$1:$E$212,4,FALSE),"")</f>
        <v/>
      </c>
      <c r="G357" s="17"/>
      <c r="H357" s="17"/>
      <c r="I357" s="17"/>
      <c r="J357" s="17" t="b">
        <v>0</v>
      </c>
    </row>
    <row r="358">
      <c r="A358" s="17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 t="str">
        <f>IFERROR(VLOOKUP(B358,'MASTER DATA'!$A$1:$E$212,4,FALSE),"")</f>
        <v/>
      </c>
      <c r="G358" s="17"/>
      <c r="H358" s="17"/>
      <c r="I358" s="17"/>
      <c r="J358" s="17" t="b">
        <v>0</v>
      </c>
    </row>
    <row r="359">
      <c r="A359" s="17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 t="str">
        <f>IFERROR(VLOOKUP(B359,'MASTER DATA'!$A$1:$E$212,4,FALSE),"")</f>
        <v/>
      </c>
      <c r="G359" s="17"/>
      <c r="H359" s="17"/>
      <c r="I359" s="17"/>
      <c r="J359" s="17" t="b">
        <v>0</v>
      </c>
    </row>
    <row r="360">
      <c r="A360" s="17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 t="str">
        <f>IFERROR(VLOOKUP(B360,'MASTER DATA'!$A$1:$E$212,4,FALSE),"")</f>
        <v/>
      </c>
      <c r="G360" s="17"/>
      <c r="H360" s="17"/>
      <c r="I360" s="17"/>
      <c r="J360" s="17" t="b">
        <v>0</v>
      </c>
    </row>
    <row r="361">
      <c r="A361" s="17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 t="str">
        <f>IFERROR(VLOOKUP(B361,'MASTER DATA'!$A$1:$E$212,4,FALSE),"")</f>
        <v/>
      </c>
      <c r="G361" s="17"/>
      <c r="H361" s="17"/>
      <c r="I361" s="17"/>
      <c r="J361" s="17" t="b">
        <v>0</v>
      </c>
    </row>
    <row r="362">
      <c r="A362" s="17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 t="str">
        <f>IFERROR(VLOOKUP(B362,'MASTER DATA'!$A$1:$E$212,4,FALSE),"")</f>
        <v/>
      </c>
      <c r="G362" s="17"/>
      <c r="H362" s="17"/>
      <c r="I362" s="17"/>
      <c r="J362" s="17" t="b">
        <v>0</v>
      </c>
    </row>
    <row r="363">
      <c r="A363" s="17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 t="str">
        <f>IFERROR(VLOOKUP(B363,'MASTER DATA'!$A$1:$E$212,4,FALSE),"")</f>
        <v/>
      </c>
      <c r="G363" s="17"/>
      <c r="H363" s="17"/>
      <c r="I363" s="17"/>
      <c r="J363" s="17" t="b">
        <v>0</v>
      </c>
    </row>
    <row r="364">
      <c r="A364" s="17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 t="str">
        <f>IFERROR(VLOOKUP(B364,'MASTER DATA'!$A$1:$E$212,4,FALSE),"")</f>
        <v/>
      </c>
      <c r="G364" s="17"/>
      <c r="H364" s="17"/>
      <c r="I364" s="17"/>
      <c r="J364" s="17" t="b">
        <v>0</v>
      </c>
    </row>
    <row r="365">
      <c r="A365" s="17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 t="str">
        <f>IFERROR(VLOOKUP(B365,'MASTER DATA'!$A$1:$E$212,4,FALSE),"")</f>
        <v/>
      </c>
      <c r="G365" s="17"/>
      <c r="H365" s="17"/>
      <c r="I365" s="17"/>
      <c r="J365" s="17" t="b">
        <v>0</v>
      </c>
    </row>
    <row r="366">
      <c r="A366" s="17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 t="str">
        <f>IFERROR(VLOOKUP(B366,'MASTER DATA'!$A$1:$E$212,4,FALSE),"")</f>
        <v/>
      </c>
      <c r="G366" s="17"/>
      <c r="H366" s="17"/>
      <c r="I366" s="17"/>
      <c r="J366" s="17" t="b">
        <v>0</v>
      </c>
    </row>
    <row r="367">
      <c r="A367" s="17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 t="str">
        <f>IFERROR(VLOOKUP(B367,'MASTER DATA'!$A$1:$E$212,4,FALSE),"")</f>
        <v/>
      </c>
      <c r="G367" s="17"/>
      <c r="H367" s="17"/>
      <c r="I367" s="17"/>
      <c r="J367" s="17" t="b">
        <v>0</v>
      </c>
    </row>
    <row r="368">
      <c r="A368" s="17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 t="str">
        <f>IFERROR(VLOOKUP(B368,'MASTER DATA'!$A$1:$E$212,4,FALSE),"")</f>
        <v/>
      </c>
      <c r="G368" s="17"/>
      <c r="H368" s="17"/>
      <c r="I368" s="17"/>
      <c r="J368" s="17" t="b">
        <v>0</v>
      </c>
    </row>
    <row r="369">
      <c r="A369" s="17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 t="str">
        <f>IFERROR(VLOOKUP(B369,'MASTER DATA'!$A$1:$E$212,4,FALSE),"")</f>
        <v/>
      </c>
      <c r="G369" s="17"/>
      <c r="H369" s="17"/>
      <c r="I369" s="17"/>
      <c r="J369" s="17" t="b">
        <v>0</v>
      </c>
    </row>
    <row r="370">
      <c r="A370" s="17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 t="str">
        <f>IFERROR(VLOOKUP(B370,'MASTER DATA'!$A$1:$E$212,4,FALSE),"")</f>
        <v/>
      </c>
      <c r="G370" s="17"/>
      <c r="H370" s="17"/>
      <c r="I370" s="17"/>
      <c r="J370" s="17" t="b">
        <v>0</v>
      </c>
    </row>
    <row r="371">
      <c r="A371" s="17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 t="str">
        <f>IFERROR(VLOOKUP(B371,'MASTER DATA'!$A$1:$E$212,4,FALSE),"")</f>
        <v/>
      </c>
      <c r="G371" s="17"/>
      <c r="H371" s="17"/>
      <c r="I371" s="17"/>
      <c r="J371" s="17" t="b">
        <v>0</v>
      </c>
    </row>
    <row r="372">
      <c r="A372" s="17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 t="str">
        <f>IFERROR(VLOOKUP(B372,'MASTER DATA'!$A$1:$E$212,4,FALSE),"")</f>
        <v/>
      </c>
      <c r="G372" s="17"/>
      <c r="H372" s="17"/>
      <c r="I372" s="17"/>
      <c r="J372" s="17" t="b">
        <v>0</v>
      </c>
    </row>
    <row r="373">
      <c r="A373" s="17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 t="str">
        <f>IFERROR(VLOOKUP(B373,'MASTER DATA'!$A$1:$E$212,4,FALSE),"")</f>
        <v/>
      </c>
      <c r="G373" s="17"/>
      <c r="H373" s="17"/>
      <c r="I373" s="17"/>
      <c r="J373" s="17" t="b">
        <v>0</v>
      </c>
    </row>
    <row r="374">
      <c r="A374" s="17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 t="str">
        <f>IFERROR(VLOOKUP(B374,'MASTER DATA'!$A$1:$E$212,4,FALSE),"")</f>
        <v/>
      </c>
      <c r="G374" s="17"/>
      <c r="H374" s="17"/>
      <c r="I374" s="17"/>
      <c r="J374" s="17" t="b">
        <v>0</v>
      </c>
    </row>
    <row r="375">
      <c r="A375" s="17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 t="str">
        <f>IFERROR(VLOOKUP(B375,'MASTER DATA'!$A$1:$E$212,4,FALSE),"")</f>
        <v/>
      </c>
      <c r="G375" s="17"/>
      <c r="H375" s="17"/>
      <c r="I375" s="17"/>
      <c r="J375" s="17" t="b">
        <v>0</v>
      </c>
    </row>
    <row r="376">
      <c r="A376" s="17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 t="str">
        <f>IFERROR(VLOOKUP(B376,'MASTER DATA'!$A$1:$E$212,4,FALSE),"")</f>
        <v/>
      </c>
      <c r="G376" s="17"/>
      <c r="H376" s="17"/>
      <c r="I376" s="17"/>
      <c r="J376" s="17" t="b">
        <v>0</v>
      </c>
    </row>
    <row r="377">
      <c r="A377" s="17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 t="str">
        <f>IFERROR(VLOOKUP(B377,'MASTER DATA'!$A$1:$E$212,4,FALSE),"")</f>
        <v/>
      </c>
      <c r="G377" s="17"/>
      <c r="H377" s="17"/>
      <c r="I377" s="17"/>
      <c r="J377" s="17" t="b">
        <v>0</v>
      </c>
    </row>
    <row r="378">
      <c r="A378" s="17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 t="str">
        <f>IFERROR(VLOOKUP(B378,'MASTER DATA'!$A$1:$E$212,4,FALSE),"")</f>
        <v/>
      </c>
      <c r="G378" s="17"/>
      <c r="H378" s="17"/>
      <c r="I378" s="17"/>
      <c r="J378" s="17" t="b">
        <v>0</v>
      </c>
    </row>
    <row r="379">
      <c r="A379" s="17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 t="str">
        <f>IFERROR(VLOOKUP(B379,'MASTER DATA'!$A$1:$E$212,4,FALSE),"")</f>
        <v/>
      </c>
      <c r="G379" s="17"/>
      <c r="H379" s="17"/>
      <c r="I379" s="17"/>
      <c r="J379" s="17" t="b">
        <v>0</v>
      </c>
    </row>
    <row r="380">
      <c r="A380" s="17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 t="str">
        <f>IFERROR(VLOOKUP(B380,'MASTER DATA'!$A$1:$E$212,4,FALSE),"")</f>
        <v/>
      </c>
      <c r="G380" s="17"/>
      <c r="H380" s="17"/>
      <c r="I380" s="17"/>
      <c r="J380" s="17" t="b">
        <v>0</v>
      </c>
    </row>
    <row r="381">
      <c r="A381" s="17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 t="str">
        <f>IFERROR(VLOOKUP(B381,'MASTER DATA'!$A$1:$E$212,4,FALSE),"")</f>
        <v/>
      </c>
      <c r="G381" s="17"/>
      <c r="H381" s="17"/>
      <c r="I381" s="17"/>
      <c r="J381" s="17" t="b">
        <v>0</v>
      </c>
    </row>
    <row r="382">
      <c r="A382" s="17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 t="str">
        <f>IFERROR(VLOOKUP(B382,'MASTER DATA'!$A$1:$E$212,4,FALSE),"")</f>
        <v/>
      </c>
      <c r="G382" s="17"/>
      <c r="H382" s="17"/>
      <c r="I382" s="17"/>
      <c r="J382" s="17" t="b">
        <v>0</v>
      </c>
    </row>
    <row r="383">
      <c r="A383" s="17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 t="str">
        <f>IFERROR(VLOOKUP(B383,'MASTER DATA'!$A$1:$E$212,4,FALSE),"")</f>
        <v/>
      </c>
      <c r="G383" s="17"/>
      <c r="H383" s="17"/>
      <c r="I383" s="17"/>
      <c r="J383" s="17" t="b">
        <v>0</v>
      </c>
    </row>
    <row r="384">
      <c r="A384" s="17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 t="str">
        <f>IFERROR(VLOOKUP(B384,'MASTER DATA'!$A$1:$E$212,4,FALSE),"")</f>
        <v/>
      </c>
      <c r="G384" s="17"/>
      <c r="H384" s="17"/>
      <c r="I384" s="17"/>
      <c r="J384" s="17" t="b">
        <v>0</v>
      </c>
    </row>
    <row r="385">
      <c r="A385" s="17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 t="str">
        <f>IFERROR(VLOOKUP(B385,'MASTER DATA'!$A$1:$E$212,4,FALSE),"")</f>
        <v/>
      </c>
      <c r="G385" s="17"/>
      <c r="H385" s="17"/>
      <c r="I385" s="17"/>
      <c r="J385" s="17" t="b">
        <v>0</v>
      </c>
    </row>
    <row r="386">
      <c r="A386" s="17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 t="str">
        <f>IFERROR(VLOOKUP(B386,'MASTER DATA'!$A$1:$E$212,4,FALSE),"")</f>
        <v/>
      </c>
      <c r="G386" s="17"/>
      <c r="H386" s="17"/>
      <c r="I386" s="17"/>
      <c r="J386" s="17" t="b">
        <v>0</v>
      </c>
    </row>
    <row r="387">
      <c r="A387" s="17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 t="str">
        <f>IFERROR(VLOOKUP(B387,'MASTER DATA'!$A$1:$E$212,4,FALSE),"")</f>
        <v/>
      </c>
      <c r="G387" s="17"/>
      <c r="H387" s="17"/>
      <c r="I387" s="17"/>
      <c r="J387" s="17" t="b">
        <v>0</v>
      </c>
    </row>
    <row r="388">
      <c r="A388" s="17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 t="str">
        <f>IFERROR(VLOOKUP(B388,'MASTER DATA'!$A$1:$E$212,4,FALSE),"")</f>
        <v/>
      </c>
      <c r="G388" s="17"/>
      <c r="H388" s="17"/>
      <c r="I388" s="17"/>
      <c r="J388" s="17" t="b">
        <v>0</v>
      </c>
    </row>
    <row r="389">
      <c r="A389" s="17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 t="str">
        <f>IFERROR(VLOOKUP(B389,'MASTER DATA'!$A$1:$E$212,4,FALSE),"")</f>
        <v/>
      </c>
      <c r="G389" s="17"/>
      <c r="H389" s="17"/>
      <c r="I389" s="17"/>
      <c r="J389" s="17" t="b">
        <v>0</v>
      </c>
    </row>
    <row r="390">
      <c r="A390" s="17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 t="str">
        <f>IFERROR(VLOOKUP(B390,'MASTER DATA'!$A$1:$E$212,4,FALSE),"")</f>
        <v/>
      </c>
      <c r="G390" s="17"/>
      <c r="H390" s="17"/>
      <c r="I390" s="17"/>
      <c r="J390" s="17" t="b">
        <v>0</v>
      </c>
    </row>
    <row r="391">
      <c r="A391" s="17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 t="str">
        <f>IFERROR(VLOOKUP(B391,'MASTER DATA'!$A$1:$E$212,4,FALSE),"")</f>
        <v/>
      </c>
      <c r="G391" s="17"/>
      <c r="H391" s="17"/>
      <c r="I391" s="17"/>
      <c r="J391" s="17" t="b">
        <v>0</v>
      </c>
    </row>
    <row r="392">
      <c r="A392" s="17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 t="str">
        <f>IFERROR(VLOOKUP(B392,'MASTER DATA'!$A$1:$E$212,4,FALSE),"")</f>
        <v/>
      </c>
      <c r="G392" s="17"/>
      <c r="H392" s="17"/>
      <c r="I392" s="17"/>
      <c r="J392" s="17" t="b">
        <v>0</v>
      </c>
    </row>
    <row r="393">
      <c r="A393" s="17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 t="str">
        <f>IFERROR(VLOOKUP(B393,'MASTER DATA'!$A$1:$E$212,4,FALSE),"")</f>
        <v/>
      </c>
      <c r="G393" s="17"/>
      <c r="H393" s="17"/>
      <c r="I393" s="17"/>
      <c r="J393" s="17" t="b">
        <v>0</v>
      </c>
    </row>
    <row r="394">
      <c r="A394" s="17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 t="str">
        <f>IFERROR(VLOOKUP(B394,'MASTER DATA'!$A$1:$E$212,4,FALSE),"")</f>
        <v/>
      </c>
      <c r="G394" s="17"/>
      <c r="H394" s="17"/>
      <c r="I394" s="17"/>
      <c r="J394" s="17" t="b">
        <v>0</v>
      </c>
    </row>
    <row r="395">
      <c r="A395" s="17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 t="str">
        <f>IFERROR(VLOOKUP(B395,'MASTER DATA'!$A$1:$E$212,4,FALSE),"")</f>
        <v/>
      </c>
      <c r="G395" s="17"/>
      <c r="H395" s="17"/>
      <c r="I395" s="17"/>
      <c r="J395" s="17" t="b">
        <v>0</v>
      </c>
    </row>
    <row r="396">
      <c r="A396" s="17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 t="str">
        <f>IFERROR(VLOOKUP(B396,'MASTER DATA'!$A$1:$E$212,4,FALSE),"")</f>
        <v/>
      </c>
      <c r="G396" s="17"/>
      <c r="H396" s="17"/>
      <c r="I396" s="17"/>
      <c r="J396" s="17" t="b">
        <v>0</v>
      </c>
    </row>
    <row r="397">
      <c r="A397" s="17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 t="str">
        <f>IFERROR(VLOOKUP(B397,'MASTER DATA'!$A$1:$E$212,4,FALSE),"")</f>
        <v/>
      </c>
      <c r="G397" s="17"/>
      <c r="H397" s="17"/>
      <c r="I397" s="17"/>
      <c r="J397" s="17" t="b">
        <v>0</v>
      </c>
    </row>
    <row r="398">
      <c r="A398" s="17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 t="str">
        <f>IFERROR(VLOOKUP(B398,'MASTER DATA'!$A$1:$E$212,4,FALSE),"")</f>
        <v/>
      </c>
      <c r="G398" s="17"/>
      <c r="H398" s="17"/>
      <c r="I398" s="17"/>
      <c r="J398" s="17" t="b">
        <v>0</v>
      </c>
    </row>
    <row r="399">
      <c r="A399" s="17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 t="str">
        <f>IFERROR(VLOOKUP(B399,'MASTER DATA'!$A$1:$E$212,4,FALSE),"")</f>
        <v/>
      </c>
      <c r="G399" s="17"/>
      <c r="H399" s="17"/>
      <c r="I399" s="17"/>
      <c r="J399" s="17" t="b">
        <v>0</v>
      </c>
    </row>
    <row r="400">
      <c r="A400" s="17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 t="str">
        <f>IFERROR(VLOOKUP(B400,'MASTER DATA'!$A$1:$E$212,4,FALSE),"")</f>
        <v/>
      </c>
      <c r="G400" s="17"/>
      <c r="H400" s="17"/>
      <c r="I400" s="17"/>
      <c r="J400" s="17" t="b">
        <v>0</v>
      </c>
    </row>
    <row r="401">
      <c r="A401" s="17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 t="str">
        <f>IFERROR(VLOOKUP(B401,'MASTER DATA'!$A$1:$E$212,4,FALSE),"")</f>
        <v/>
      </c>
      <c r="G401" s="17"/>
      <c r="H401" s="17"/>
      <c r="I401" s="17"/>
      <c r="J401" s="17" t="b">
        <v>0</v>
      </c>
    </row>
    <row r="402">
      <c r="A402" s="17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 t="str">
        <f>IFERROR(VLOOKUP(B402,'MASTER DATA'!$A$1:$E$212,4,FALSE),"")</f>
        <v/>
      </c>
      <c r="G402" s="17"/>
      <c r="H402" s="17"/>
      <c r="I402" s="17"/>
      <c r="J402" s="17" t="b">
        <v>0</v>
      </c>
    </row>
    <row r="403">
      <c r="A403" s="17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 t="str">
        <f>IFERROR(VLOOKUP(B403,'MASTER DATA'!$A$1:$E$212,4,FALSE),"")</f>
        <v/>
      </c>
      <c r="G403" s="17"/>
      <c r="H403" s="17"/>
      <c r="I403" s="17"/>
      <c r="J403" s="17" t="b">
        <v>0</v>
      </c>
    </row>
    <row r="404">
      <c r="A404" s="17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 t="str">
        <f>IFERROR(VLOOKUP(B404,'MASTER DATA'!$A$1:$E$212,4,FALSE),"")</f>
        <v/>
      </c>
      <c r="G404" s="17"/>
      <c r="H404" s="17"/>
      <c r="I404" s="17"/>
      <c r="J404" s="17" t="b">
        <v>0</v>
      </c>
    </row>
    <row r="405">
      <c r="A405" s="17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 t="str">
        <f>IFERROR(VLOOKUP(B405,'MASTER DATA'!$A$1:$E$212,4,FALSE),"")</f>
        <v/>
      </c>
      <c r="G405" s="17"/>
      <c r="H405" s="17"/>
      <c r="I405" s="17"/>
      <c r="J405" s="17" t="b">
        <v>0</v>
      </c>
    </row>
    <row r="406">
      <c r="A406" s="17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 t="str">
        <f>IFERROR(VLOOKUP(B406,'MASTER DATA'!$A$1:$E$212,4,FALSE),"")</f>
        <v/>
      </c>
      <c r="G406" s="17"/>
      <c r="H406" s="17"/>
      <c r="I406" s="17"/>
      <c r="J406" s="17" t="b">
        <v>0</v>
      </c>
    </row>
    <row r="407">
      <c r="A407" s="17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 t="str">
        <f>IFERROR(VLOOKUP(B407,'MASTER DATA'!$A$1:$E$212,4,FALSE),"")</f>
        <v/>
      </c>
      <c r="G407" s="17"/>
      <c r="H407" s="17"/>
      <c r="I407" s="17"/>
      <c r="J407" s="17" t="b">
        <v>0</v>
      </c>
    </row>
    <row r="408">
      <c r="A408" s="17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 t="str">
        <f>IFERROR(VLOOKUP(B408,'MASTER DATA'!$A$1:$E$212,4,FALSE),"")</f>
        <v/>
      </c>
      <c r="G408" s="17"/>
      <c r="H408" s="17"/>
      <c r="I408" s="17"/>
      <c r="J408" s="17" t="b">
        <v>0</v>
      </c>
    </row>
    <row r="409">
      <c r="A409" s="17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 t="str">
        <f>IFERROR(VLOOKUP(B409,'MASTER DATA'!$A$1:$E$212,4,FALSE),"")</f>
        <v/>
      </c>
      <c r="G409" s="17"/>
      <c r="H409" s="17"/>
      <c r="I409" s="17"/>
      <c r="J409" s="17" t="b">
        <v>0</v>
      </c>
    </row>
    <row r="410">
      <c r="A410" s="17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 t="str">
        <f>IFERROR(VLOOKUP(B410,'MASTER DATA'!$A$1:$E$212,4,FALSE),"")</f>
        <v/>
      </c>
      <c r="G410" s="17"/>
      <c r="H410" s="17"/>
      <c r="I410" s="17"/>
      <c r="J410" s="17" t="b">
        <v>0</v>
      </c>
    </row>
    <row r="411">
      <c r="A411" s="17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 t="str">
        <f>IFERROR(VLOOKUP(B411,'MASTER DATA'!$A$1:$E$212,4,FALSE),"")</f>
        <v/>
      </c>
      <c r="G411" s="17"/>
      <c r="H411" s="17"/>
      <c r="I411" s="17"/>
      <c r="J411" s="17" t="b">
        <v>0</v>
      </c>
    </row>
    <row r="412">
      <c r="A412" s="17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 t="str">
        <f>IFERROR(VLOOKUP(B412,'MASTER DATA'!$A$1:$E$212,4,FALSE),"")</f>
        <v/>
      </c>
      <c r="G412" s="17"/>
      <c r="H412" s="17"/>
      <c r="I412" s="17"/>
      <c r="J412" s="17" t="b">
        <v>0</v>
      </c>
    </row>
    <row r="413">
      <c r="A413" s="17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 t="str">
        <f>IFERROR(VLOOKUP(B413,'MASTER DATA'!$A$1:$E$212,4,FALSE),"")</f>
        <v/>
      </c>
      <c r="G413" s="17"/>
      <c r="H413" s="17"/>
      <c r="I413" s="17"/>
      <c r="J413" s="17" t="b">
        <v>0</v>
      </c>
    </row>
    <row r="414">
      <c r="A414" s="17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 t="str">
        <f>IFERROR(VLOOKUP(B414,'MASTER DATA'!$A$1:$E$212,4,FALSE),"")</f>
        <v/>
      </c>
      <c r="G414" s="17"/>
      <c r="H414" s="17"/>
      <c r="I414" s="17"/>
      <c r="J414" s="17" t="b">
        <v>0</v>
      </c>
    </row>
    <row r="415">
      <c r="A415" s="17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 t="str">
        <f>IFERROR(VLOOKUP(B415,'MASTER DATA'!$A$1:$E$212,4,FALSE),"")</f>
        <v/>
      </c>
      <c r="G415" s="17"/>
      <c r="H415" s="17"/>
      <c r="I415" s="17"/>
      <c r="J415" s="17" t="b">
        <v>0</v>
      </c>
    </row>
    <row r="416">
      <c r="A416" s="17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 t="str">
        <f>IFERROR(VLOOKUP(B416,'MASTER DATA'!$A$1:$E$212,4,FALSE),"")</f>
        <v/>
      </c>
      <c r="G416" s="17"/>
      <c r="H416" s="17"/>
      <c r="I416" s="17"/>
      <c r="J416" s="17" t="b">
        <v>0</v>
      </c>
    </row>
    <row r="417">
      <c r="A417" s="17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 t="str">
        <f>IFERROR(VLOOKUP(B417,'MASTER DATA'!$A$1:$E$212,4,FALSE),"")</f>
        <v/>
      </c>
      <c r="G417" s="17"/>
      <c r="H417" s="17"/>
      <c r="I417" s="17"/>
      <c r="J417" s="17" t="b">
        <v>0</v>
      </c>
    </row>
    <row r="418">
      <c r="A418" s="17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 t="str">
        <f>IFERROR(VLOOKUP(B418,'MASTER DATA'!$A$1:$E$212,4,FALSE),"")</f>
        <v/>
      </c>
      <c r="G418" s="17"/>
      <c r="H418" s="17"/>
      <c r="I418" s="17"/>
      <c r="J418" s="17" t="b">
        <v>0</v>
      </c>
    </row>
    <row r="419">
      <c r="A419" s="17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 t="str">
        <f>IFERROR(VLOOKUP(B419,'MASTER DATA'!$A$1:$E$212,4,FALSE),"")</f>
        <v/>
      </c>
      <c r="G419" s="17"/>
      <c r="H419" s="17"/>
      <c r="I419" s="17"/>
      <c r="J419" s="17" t="b">
        <v>0</v>
      </c>
    </row>
    <row r="420">
      <c r="A420" s="17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 t="str">
        <f>IFERROR(VLOOKUP(B420,'MASTER DATA'!$A$1:$E$212,4,FALSE),"")</f>
        <v/>
      </c>
      <c r="G420" s="17"/>
      <c r="H420" s="17"/>
      <c r="I420" s="17"/>
      <c r="J420" s="17" t="b">
        <v>0</v>
      </c>
    </row>
    <row r="421">
      <c r="A421" s="17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 t="str">
        <f>IFERROR(VLOOKUP(B421,'MASTER DATA'!$A$1:$E$212,4,FALSE),"")</f>
        <v/>
      </c>
      <c r="G421" s="17"/>
      <c r="H421" s="17"/>
      <c r="I421" s="17"/>
      <c r="J421" s="17" t="b">
        <v>0</v>
      </c>
    </row>
    <row r="422">
      <c r="A422" s="17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 t="str">
        <f>IFERROR(VLOOKUP(B422,'MASTER DATA'!$A$1:$E$212,4,FALSE),"")</f>
        <v/>
      </c>
      <c r="G422" s="17"/>
      <c r="H422" s="17"/>
      <c r="I422" s="17"/>
      <c r="J422" s="17" t="b">
        <v>0</v>
      </c>
    </row>
    <row r="423">
      <c r="A423" s="17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 t="str">
        <f>IFERROR(VLOOKUP(B423,'MASTER DATA'!$A$1:$E$212,4,FALSE),"")</f>
        <v/>
      </c>
      <c r="G423" s="17"/>
      <c r="H423" s="17"/>
      <c r="I423" s="17"/>
      <c r="J423" s="17" t="b">
        <v>0</v>
      </c>
    </row>
    <row r="424">
      <c r="A424" s="17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 t="str">
        <f>IFERROR(VLOOKUP(B424,'MASTER DATA'!$A$1:$E$212,4,FALSE),"")</f>
        <v/>
      </c>
      <c r="G424" s="17"/>
      <c r="H424" s="17"/>
      <c r="I424" s="17"/>
      <c r="J424" s="17" t="b">
        <v>0</v>
      </c>
    </row>
    <row r="425">
      <c r="A425" s="17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 t="str">
        <f>IFERROR(VLOOKUP(B425,'MASTER DATA'!$A$1:$E$212,4,FALSE),"")</f>
        <v/>
      </c>
      <c r="G425" s="17"/>
      <c r="H425" s="17"/>
      <c r="I425" s="17"/>
      <c r="J425" s="17" t="b">
        <v>0</v>
      </c>
    </row>
    <row r="426">
      <c r="A426" s="17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 t="str">
        <f>IFERROR(VLOOKUP(B426,'MASTER DATA'!$A$1:$E$212,4,FALSE),"")</f>
        <v/>
      </c>
      <c r="G426" s="17"/>
      <c r="H426" s="17"/>
      <c r="I426" s="17"/>
      <c r="J426" s="17" t="b">
        <v>0</v>
      </c>
    </row>
    <row r="427">
      <c r="A427" s="17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 t="str">
        <f>IFERROR(VLOOKUP(B427,'MASTER DATA'!$A$1:$E$212,4,FALSE),"")</f>
        <v/>
      </c>
      <c r="G427" s="17"/>
      <c r="H427" s="17"/>
      <c r="I427" s="17"/>
      <c r="J427" s="17" t="b">
        <v>0</v>
      </c>
    </row>
    <row r="428">
      <c r="A428" s="17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 t="str">
        <f>IFERROR(VLOOKUP(B428,'MASTER DATA'!$A$1:$E$212,4,FALSE),"")</f>
        <v/>
      </c>
      <c r="G428" s="17"/>
      <c r="H428" s="17"/>
      <c r="I428" s="17"/>
      <c r="J428" s="17" t="b">
        <v>0</v>
      </c>
    </row>
    <row r="429">
      <c r="A429" s="17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 t="str">
        <f>IFERROR(VLOOKUP(B429,'MASTER DATA'!$A$1:$E$212,4,FALSE),"")</f>
        <v/>
      </c>
      <c r="G429" s="17"/>
      <c r="H429" s="17"/>
      <c r="I429" s="17"/>
      <c r="J429" s="17" t="b">
        <v>0</v>
      </c>
    </row>
    <row r="430">
      <c r="A430" s="17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 t="str">
        <f>IFERROR(VLOOKUP(B430,'MASTER DATA'!$A$1:$E$212,4,FALSE),"")</f>
        <v/>
      </c>
      <c r="G430" s="17"/>
      <c r="H430" s="17"/>
      <c r="I430" s="17"/>
      <c r="J430" s="17" t="b">
        <v>0</v>
      </c>
    </row>
    <row r="431">
      <c r="A431" s="17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 t="str">
        <f>IFERROR(VLOOKUP(B431,'MASTER DATA'!$A$1:$E$212,4,FALSE),"")</f>
        <v/>
      </c>
      <c r="G431" s="17"/>
      <c r="H431" s="17"/>
      <c r="I431" s="17"/>
      <c r="J431" s="17" t="b">
        <v>0</v>
      </c>
    </row>
    <row r="432">
      <c r="A432" s="17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 t="str">
        <f>IFERROR(VLOOKUP(B432,'MASTER DATA'!$A$1:$E$212,4,FALSE),"")</f>
        <v/>
      </c>
      <c r="G432" s="17"/>
      <c r="H432" s="17"/>
      <c r="I432" s="17"/>
      <c r="J432" s="17" t="b">
        <v>0</v>
      </c>
    </row>
    <row r="433">
      <c r="A433" s="17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 t="str">
        <f>IFERROR(VLOOKUP(B433,'MASTER DATA'!$A$1:$E$212,4,FALSE),"")</f>
        <v/>
      </c>
      <c r="G433" s="17"/>
      <c r="H433" s="17"/>
      <c r="I433" s="17"/>
      <c r="J433" s="17" t="b">
        <v>0</v>
      </c>
    </row>
    <row r="434">
      <c r="A434" s="17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 t="str">
        <f>IFERROR(VLOOKUP(B434,'MASTER DATA'!$A$1:$E$212,4,FALSE),"")</f>
        <v/>
      </c>
      <c r="G434" s="17"/>
      <c r="H434" s="17"/>
      <c r="I434" s="17"/>
      <c r="J434" s="17" t="b">
        <v>0</v>
      </c>
    </row>
    <row r="435">
      <c r="A435" s="17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 t="str">
        <f>IFERROR(VLOOKUP(B435,'MASTER DATA'!$A$1:$E$212,4,FALSE),"")</f>
        <v/>
      </c>
      <c r="G435" s="17"/>
      <c r="H435" s="17"/>
      <c r="I435" s="17"/>
      <c r="J435" s="17" t="b">
        <v>0</v>
      </c>
    </row>
    <row r="436">
      <c r="A436" s="17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 t="str">
        <f>IFERROR(VLOOKUP(B436,'MASTER DATA'!$A$1:$E$212,4,FALSE),"")</f>
        <v/>
      </c>
      <c r="G436" s="17"/>
      <c r="H436" s="17"/>
      <c r="I436" s="17"/>
      <c r="J436" s="17" t="b">
        <v>0</v>
      </c>
    </row>
    <row r="437">
      <c r="A437" s="17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 t="str">
        <f>IFERROR(VLOOKUP(B437,'MASTER DATA'!$A$1:$E$212,4,FALSE),"")</f>
        <v/>
      </c>
      <c r="G437" s="17"/>
      <c r="H437" s="17"/>
      <c r="I437" s="17"/>
      <c r="J437" s="17" t="b">
        <v>0</v>
      </c>
    </row>
    <row r="438">
      <c r="A438" s="17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 t="str">
        <f>IFERROR(VLOOKUP(B438,'MASTER DATA'!$A$1:$E$212,4,FALSE),"")</f>
        <v/>
      </c>
      <c r="G438" s="17"/>
      <c r="H438" s="17"/>
      <c r="I438" s="17"/>
      <c r="J438" s="17" t="b">
        <v>0</v>
      </c>
    </row>
    <row r="439">
      <c r="A439" s="17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 t="str">
        <f>IFERROR(VLOOKUP(B439,'MASTER DATA'!$A$1:$E$212,4,FALSE),"")</f>
        <v/>
      </c>
      <c r="G439" s="17"/>
      <c r="H439" s="17"/>
      <c r="I439" s="17"/>
      <c r="J439" s="17" t="b">
        <v>0</v>
      </c>
    </row>
    <row r="440">
      <c r="A440" s="17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 t="str">
        <f>IFERROR(VLOOKUP(B440,'MASTER DATA'!$A$1:$E$212,4,FALSE),"")</f>
        <v/>
      </c>
      <c r="G440" s="17"/>
      <c r="H440" s="17"/>
      <c r="I440" s="17"/>
      <c r="J440" s="17" t="b">
        <v>0</v>
      </c>
    </row>
    <row r="441">
      <c r="A441" s="17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 t="str">
        <f>IFERROR(VLOOKUP(B441,'MASTER DATA'!$A$1:$E$212,4,FALSE),"")</f>
        <v/>
      </c>
      <c r="G441" s="17"/>
      <c r="H441" s="17"/>
      <c r="I441" s="17"/>
      <c r="J441" s="17" t="b">
        <v>0</v>
      </c>
    </row>
    <row r="442">
      <c r="A442" s="17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 t="str">
        <f>IFERROR(VLOOKUP(B442,'MASTER DATA'!$A$1:$E$212,4,FALSE),"")</f>
        <v/>
      </c>
      <c r="G442" s="17"/>
      <c r="H442" s="17"/>
      <c r="I442" s="17"/>
      <c r="J442" s="17" t="b">
        <v>0</v>
      </c>
    </row>
    <row r="443">
      <c r="A443" s="17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 t="str">
        <f>IFERROR(VLOOKUP(B443,'MASTER DATA'!$A$1:$E$212,4,FALSE),"")</f>
        <v/>
      </c>
      <c r="G443" s="17"/>
      <c r="H443" s="17"/>
      <c r="I443" s="17"/>
      <c r="J443" s="17" t="b">
        <v>0</v>
      </c>
    </row>
    <row r="444">
      <c r="A444" s="17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 t="str">
        <f>IFERROR(VLOOKUP(B444,'MASTER DATA'!$A$1:$E$212,4,FALSE),"")</f>
        <v/>
      </c>
      <c r="G444" s="17"/>
      <c r="H444" s="17"/>
      <c r="I444" s="17"/>
      <c r="J444" s="17" t="b">
        <v>0</v>
      </c>
    </row>
    <row r="445">
      <c r="A445" s="17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 t="str">
        <f>IFERROR(VLOOKUP(B445,'MASTER DATA'!$A$1:$E$212,4,FALSE),"")</f>
        <v/>
      </c>
      <c r="G445" s="17"/>
      <c r="H445" s="17"/>
      <c r="I445" s="17"/>
      <c r="J445" s="17" t="b">
        <v>0</v>
      </c>
    </row>
    <row r="446">
      <c r="A446" s="17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 t="str">
        <f>IFERROR(VLOOKUP(B446,'MASTER DATA'!$A$1:$E$212,4,FALSE),"")</f>
        <v/>
      </c>
      <c r="G446" s="17"/>
      <c r="H446" s="17"/>
      <c r="I446" s="17"/>
      <c r="J446" s="17" t="b">
        <v>0</v>
      </c>
    </row>
    <row r="447">
      <c r="A447" s="17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 t="str">
        <f>IFERROR(VLOOKUP(B447,'MASTER DATA'!$A$1:$E$212,4,FALSE),"")</f>
        <v/>
      </c>
      <c r="G447" s="17"/>
      <c r="H447" s="17"/>
      <c r="I447" s="17"/>
      <c r="J447" s="17" t="b">
        <v>0</v>
      </c>
    </row>
    <row r="448">
      <c r="A448" s="17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 t="str">
        <f>IFERROR(VLOOKUP(B448,'MASTER DATA'!$A$1:$E$212,4,FALSE),"")</f>
        <v/>
      </c>
      <c r="G448" s="17"/>
      <c r="H448" s="17"/>
      <c r="I448" s="17"/>
      <c r="J448" s="17" t="b">
        <v>0</v>
      </c>
    </row>
    <row r="449">
      <c r="A449" s="17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 t="str">
        <f>IFERROR(VLOOKUP(B449,'MASTER DATA'!$A$1:$E$212,4,FALSE),"")</f>
        <v/>
      </c>
      <c r="G449" s="17"/>
      <c r="H449" s="17"/>
      <c r="I449" s="17"/>
      <c r="J449" s="17" t="b">
        <v>0</v>
      </c>
    </row>
    <row r="450">
      <c r="A450" s="17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 t="str">
        <f>IFERROR(VLOOKUP(B450,'MASTER DATA'!$A$1:$E$212,4,FALSE),"")</f>
        <v/>
      </c>
      <c r="G450" s="17"/>
      <c r="H450" s="17"/>
      <c r="I450" s="17"/>
      <c r="J450" s="17" t="b">
        <v>0</v>
      </c>
    </row>
    <row r="451">
      <c r="A451" s="17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 t="str">
        <f>IFERROR(VLOOKUP(B451,'MASTER DATA'!$A$1:$E$212,4,FALSE),"")</f>
        <v/>
      </c>
      <c r="G451" s="17"/>
      <c r="H451" s="17"/>
      <c r="I451" s="17"/>
      <c r="J451" s="17" t="b">
        <v>0</v>
      </c>
    </row>
    <row r="452">
      <c r="A452" s="17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 t="str">
        <f>IFERROR(VLOOKUP(B452,'MASTER DATA'!$A$1:$E$212,4,FALSE),"")</f>
        <v/>
      </c>
      <c r="G452" s="17"/>
      <c r="H452" s="17"/>
      <c r="I452" s="17"/>
      <c r="J452" s="17" t="b">
        <v>0</v>
      </c>
    </row>
    <row r="453">
      <c r="A453" s="17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 t="str">
        <f>IFERROR(VLOOKUP(B453,'MASTER DATA'!$A$1:$E$212,4,FALSE),"")</f>
        <v/>
      </c>
      <c r="G453" s="17"/>
      <c r="H453" s="17"/>
      <c r="I453" s="17"/>
      <c r="J453" s="17" t="b">
        <v>0</v>
      </c>
    </row>
    <row r="454">
      <c r="A454" s="17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 t="str">
        <f>IFERROR(VLOOKUP(B454,'MASTER DATA'!$A$1:$E$212,4,FALSE),"")</f>
        <v/>
      </c>
      <c r="G454" s="17"/>
      <c r="H454" s="17"/>
      <c r="I454" s="17"/>
      <c r="J454" s="17" t="b">
        <v>0</v>
      </c>
    </row>
    <row r="455">
      <c r="A455" s="17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 t="str">
        <f>IFERROR(VLOOKUP(B455,'MASTER DATA'!$A$1:$E$212,4,FALSE),"")</f>
        <v/>
      </c>
      <c r="G455" s="17"/>
      <c r="H455" s="17"/>
      <c r="I455" s="17"/>
      <c r="J455" s="17" t="b">
        <v>0</v>
      </c>
    </row>
    <row r="456">
      <c r="A456" s="17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 t="str">
        <f>IFERROR(VLOOKUP(B456,'MASTER DATA'!$A$1:$E$212,4,FALSE),"")</f>
        <v/>
      </c>
      <c r="G456" s="17"/>
      <c r="H456" s="17"/>
      <c r="I456" s="17"/>
      <c r="J456" s="17" t="b">
        <v>0</v>
      </c>
    </row>
    <row r="457">
      <c r="A457" s="17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 t="str">
        <f>IFERROR(VLOOKUP(B457,'MASTER DATA'!$A$1:$E$212,4,FALSE),"")</f>
        <v/>
      </c>
      <c r="G457" s="17"/>
      <c r="H457" s="17"/>
      <c r="I457" s="17"/>
      <c r="J457" s="17" t="b">
        <v>0</v>
      </c>
    </row>
    <row r="458">
      <c r="A458" s="17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 t="str">
        <f>IFERROR(VLOOKUP(B458,'MASTER DATA'!$A$1:$E$212,4,FALSE),"")</f>
        <v/>
      </c>
      <c r="G458" s="17"/>
      <c r="H458" s="17"/>
      <c r="I458" s="17"/>
      <c r="J458" s="17" t="b">
        <v>0</v>
      </c>
    </row>
    <row r="459">
      <c r="A459" s="17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 t="str">
        <f>IFERROR(VLOOKUP(B459,'MASTER DATA'!$A$1:$E$212,4,FALSE),"")</f>
        <v/>
      </c>
      <c r="G459" s="17"/>
      <c r="H459" s="17"/>
      <c r="I459" s="17"/>
      <c r="J459" s="17" t="b">
        <v>0</v>
      </c>
    </row>
    <row r="460">
      <c r="A460" s="17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 t="str">
        <f>IFERROR(VLOOKUP(B460,'MASTER DATA'!$A$1:$E$212,4,FALSE),"")</f>
        <v/>
      </c>
      <c r="G460" s="17"/>
      <c r="H460" s="17"/>
      <c r="I460" s="17"/>
      <c r="J460" s="17" t="b">
        <v>0</v>
      </c>
    </row>
    <row r="461">
      <c r="A461" s="17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 t="str">
        <f>IFERROR(VLOOKUP(B461,'MASTER DATA'!$A$1:$E$212,4,FALSE),"")</f>
        <v/>
      </c>
      <c r="G461" s="17"/>
      <c r="H461" s="17"/>
      <c r="I461" s="17"/>
      <c r="J461" s="17" t="b">
        <v>0</v>
      </c>
    </row>
    <row r="462">
      <c r="A462" s="17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 t="str">
        <f>IFERROR(VLOOKUP(B462,'MASTER DATA'!$A$1:$E$212,4,FALSE),"")</f>
        <v/>
      </c>
      <c r="G462" s="17"/>
      <c r="H462" s="17"/>
      <c r="I462" s="17"/>
      <c r="J462" s="17" t="b">
        <v>0</v>
      </c>
    </row>
    <row r="463">
      <c r="A463" s="17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 t="str">
        <f>IFERROR(VLOOKUP(B463,'MASTER DATA'!$A$1:$E$212,4,FALSE),"")</f>
        <v/>
      </c>
      <c r="G463" s="17"/>
      <c r="H463" s="17"/>
      <c r="I463" s="17"/>
      <c r="J463" s="17" t="b">
        <v>0</v>
      </c>
    </row>
    <row r="464">
      <c r="A464" s="17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 t="str">
        <f>IFERROR(VLOOKUP(B464,'MASTER DATA'!$A$1:$E$212,4,FALSE),"")</f>
        <v/>
      </c>
      <c r="G464" s="17"/>
      <c r="H464" s="17"/>
      <c r="I464" s="17"/>
      <c r="J464" s="17" t="b">
        <v>0</v>
      </c>
    </row>
    <row r="465">
      <c r="A465" s="17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 t="str">
        <f>IFERROR(VLOOKUP(B465,'MASTER DATA'!$A$1:$E$212,4,FALSE),"")</f>
        <v/>
      </c>
      <c r="G465" s="17"/>
      <c r="H465" s="17"/>
      <c r="I465" s="17"/>
      <c r="J465" s="17" t="b">
        <v>0</v>
      </c>
    </row>
    <row r="466">
      <c r="A466" s="17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 t="str">
        <f>IFERROR(VLOOKUP(B466,'MASTER DATA'!$A$1:$E$212,4,FALSE),"")</f>
        <v/>
      </c>
      <c r="G466" s="17"/>
      <c r="H466" s="17"/>
      <c r="I466" s="17"/>
      <c r="J466" s="17" t="b">
        <v>0</v>
      </c>
    </row>
    <row r="467">
      <c r="A467" s="17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 t="str">
        <f>IFERROR(VLOOKUP(B467,'MASTER DATA'!$A$1:$E$212,4,FALSE),"")</f>
        <v/>
      </c>
      <c r="G467" s="17"/>
      <c r="H467" s="17"/>
      <c r="I467" s="17"/>
      <c r="J467" s="17" t="b">
        <v>0</v>
      </c>
    </row>
    <row r="468">
      <c r="A468" s="17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 t="str">
        <f>IFERROR(VLOOKUP(B468,'MASTER DATA'!$A$1:$E$212,4,FALSE),"")</f>
        <v/>
      </c>
      <c r="G468" s="17"/>
      <c r="H468" s="17"/>
      <c r="I468" s="17"/>
      <c r="J468" s="17" t="b">
        <v>0</v>
      </c>
    </row>
    <row r="469">
      <c r="A469" s="17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 t="str">
        <f>IFERROR(VLOOKUP(B469,'MASTER DATA'!$A$1:$E$212,4,FALSE),"")</f>
        <v/>
      </c>
      <c r="G469" s="17"/>
      <c r="H469" s="17"/>
      <c r="I469" s="17"/>
      <c r="J469" s="17" t="b">
        <v>0</v>
      </c>
    </row>
    <row r="470">
      <c r="A470" s="17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 t="str">
        <f>IFERROR(VLOOKUP(B470,'MASTER DATA'!$A$1:$E$212,4,FALSE),"")</f>
        <v/>
      </c>
      <c r="G470" s="17"/>
      <c r="H470" s="17"/>
      <c r="I470" s="17"/>
      <c r="J470" s="17" t="b">
        <v>0</v>
      </c>
    </row>
    <row r="471">
      <c r="A471" s="17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 t="str">
        <f>IFERROR(VLOOKUP(B471,'MASTER DATA'!$A$1:$E$212,4,FALSE),"")</f>
        <v/>
      </c>
      <c r="G471" s="17"/>
      <c r="H471" s="17"/>
      <c r="I471" s="17"/>
      <c r="J471" s="17" t="b">
        <v>0</v>
      </c>
    </row>
    <row r="472">
      <c r="A472" s="17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 t="str">
        <f>IFERROR(VLOOKUP(B472,'MASTER DATA'!$A$1:$E$212,4,FALSE),"")</f>
        <v/>
      </c>
      <c r="G472" s="17"/>
      <c r="H472" s="17"/>
      <c r="I472" s="17"/>
      <c r="J472" s="17" t="b">
        <v>0</v>
      </c>
    </row>
    <row r="473">
      <c r="A473" s="17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 t="str">
        <f>IFERROR(VLOOKUP(B473,'MASTER DATA'!$A$1:$E$212,4,FALSE),"")</f>
        <v/>
      </c>
      <c r="G473" s="17"/>
      <c r="H473" s="17"/>
      <c r="I473" s="17"/>
      <c r="J473" s="17" t="b">
        <v>0</v>
      </c>
    </row>
    <row r="474">
      <c r="A474" s="17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 t="str">
        <f>IFERROR(VLOOKUP(B474,'MASTER DATA'!$A$1:$E$212,4,FALSE),"")</f>
        <v/>
      </c>
      <c r="G474" s="17"/>
      <c r="H474" s="17"/>
      <c r="I474" s="17"/>
      <c r="J474" s="17" t="b">
        <v>0</v>
      </c>
    </row>
    <row r="475">
      <c r="A475" s="17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 t="str">
        <f>IFERROR(VLOOKUP(B475,'MASTER DATA'!$A$1:$E$212,4,FALSE),"")</f>
        <v/>
      </c>
      <c r="G475" s="17"/>
      <c r="H475" s="17"/>
      <c r="I475" s="17"/>
      <c r="J475" s="17" t="b">
        <v>0</v>
      </c>
    </row>
    <row r="476">
      <c r="A476" s="17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 t="str">
        <f>IFERROR(VLOOKUP(B476,'MASTER DATA'!$A$1:$E$212,4,FALSE),"")</f>
        <v/>
      </c>
      <c r="G476" s="17"/>
      <c r="H476" s="17"/>
      <c r="I476" s="17"/>
      <c r="J476" s="17" t="b">
        <v>0</v>
      </c>
    </row>
    <row r="477">
      <c r="A477" s="17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 t="str">
        <f>IFERROR(VLOOKUP(B477,'MASTER DATA'!$A$1:$E$212,4,FALSE),"")</f>
        <v/>
      </c>
      <c r="G477" s="17"/>
      <c r="H477" s="17"/>
      <c r="I477" s="17"/>
      <c r="J477" s="17" t="b">
        <v>0</v>
      </c>
    </row>
    <row r="478">
      <c r="A478" s="17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 t="str">
        <f>IFERROR(VLOOKUP(B478,'MASTER DATA'!$A$1:$E$212,4,FALSE),"")</f>
        <v/>
      </c>
      <c r="G478" s="17"/>
      <c r="H478" s="17"/>
      <c r="I478" s="17"/>
      <c r="J478" s="17" t="b">
        <v>0</v>
      </c>
    </row>
    <row r="479">
      <c r="A479" s="17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 t="str">
        <f>IFERROR(VLOOKUP(B479,'MASTER DATA'!$A$1:$E$212,4,FALSE),"")</f>
        <v/>
      </c>
      <c r="G479" s="17"/>
      <c r="H479" s="17"/>
      <c r="I479" s="17"/>
      <c r="J479" s="17" t="b">
        <v>0</v>
      </c>
    </row>
    <row r="480">
      <c r="A480" s="17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 t="str">
        <f>IFERROR(VLOOKUP(B480,'MASTER DATA'!$A$1:$E$212,4,FALSE),"")</f>
        <v/>
      </c>
      <c r="G480" s="17"/>
      <c r="H480" s="17"/>
      <c r="I480" s="17"/>
      <c r="J480" s="17" t="b">
        <v>0</v>
      </c>
    </row>
    <row r="481">
      <c r="A481" s="17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 t="str">
        <f>IFERROR(VLOOKUP(B481,'MASTER DATA'!$A$1:$E$212,4,FALSE),"")</f>
        <v/>
      </c>
      <c r="G481" s="17"/>
      <c r="H481" s="17"/>
      <c r="I481" s="17"/>
      <c r="J481" s="17" t="b">
        <v>0</v>
      </c>
    </row>
    <row r="482">
      <c r="A482" s="17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 t="str">
        <f>IFERROR(VLOOKUP(B482,'MASTER DATA'!$A$1:$E$212,4,FALSE),"")</f>
        <v/>
      </c>
      <c r="G482" s="17"/>
      <c r="H482" s="17"/>
      <c r="I482" s="17"/>
      <c r="J482" s="17" t="b">
        <v>0</v>
      </c>
    </row>
    <row r="483">
      <c r="A483" s="17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 t="str">
        <f>IFERROR(VLOOKUP(B483,'MASTER DATA'!$A$1:$E$212,4,FALSE),"")</f>
        <v/>
      </c>
      <c r="G483" s="17"/>
      <c r="H483" s="17"/>
      <c r="I483" s="17"/>
      <c r="J483" s="17" t="b">
        <v>0</v>
      </c>
    </row>
    <row r="484">
      <c r="A484" s="17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 t="str">
        <f>IFERROR(VLOOKUP(B484,'MASTER DATA'!$A$1:$E$212,4,FALSE),"")</f>
        <v/>
      </c>
      <c r="G484" s="17"/>
      <c r="H484" s="17"/>
      <c r="I484" s="17"/>
      <c r="J484" s="17" t="b">
        <v>0</v>
      </c>
    </row>
    <row r="485">
      <c r="A485" s="17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 t="str">
        <f>IFERROR(VLOOKUP(B485,'MASTER DATA'!$A$1:$E$212,4,FALSE),"")</f>
        <v/>
      </c>
      <c r="G485" s="17"/>
      <c r="H485" s="17"/>
      <c r="I485" s="17"/>
      <c r="J485" s="17" t="b">
        <v>0</v>
      </c>
    </row>
    <row r="486">
      <c r="A486" s="17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 t="str">
        <f>IFERROR(VLOOKUP(B486,'MASTER DATA'!$A$1:$E$212,4,FALSE),"")</f>
        <v/>
      </c>
      <c r="G486" s="17"/>
      <c r="H486" s="17"/>
      <c r="I486" s="17"/>
      <c r="J486" s="17" t="b">
        <v>0</v>
      </c>
    </row>
    <row r="487">
      <c r="A487" s="17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 t="str">
        <f>IFERROR(VLOOKUP(B487,'MASTER DATA'!$A$1:$E$212,4,FALSE),"")</f>
        <v/>
      </c>
      <c r="G487" s="17"/>
      <c r="H487" s="17"/>
      <c r="I487" s="17"/>
      <c r="J487" s="17" t="b">
        <v>0</v>
      </c>
    </row>
    <row r="488">
      <c r="A488" s="17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 t="str">
        <f>IFERROR(VLOOKUP(B488,'MASTER DATA'!$A$1:$E$212,4,FALSE),"")</f>
        <v/>
      </c>
      <c r="G488" s="17"/>
      <c r="H488" s="17"/>
      <c r="I488" s="17"/>
      <c r="J488" s="17" t="b">
        <v>0</v>
      </c>
    </row>
    <row r="489">
      <c r="A489" s="17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 t="str">
        <f>IFERROR(VLOOKUP(B489,'MASTER DATA'!$A$1:$E$212,4,FALSE),"")</f>
        <v/>
      </c>
      <c r="G489" s="17"/>
      <c r="H489" s="17"/>
      <c r="I489" s="17"/>
      <c r="J489" s="17" t="b">
        <v>0</v>
      </c>
    </row>
    <row r="490">
      <c r="A490" s="17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 t="str">
        <f>IFERROR(VLOOKUP(B490,'MASTER DATA'!$A$1:$E$212,4,FALSE),"")</f>
        <v/>
      </c>
      <c r="G490" s="17"/>
      <c r="H490" s="17"/>
      <c r="I490" s="17"/>
      <c r="J490" s="17" t="b">
        <v>0</v>
      </c>
    </row>
    <row r="491">
      <c r="A491" s="17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 t="str">
        <f>IFERROR(VLOOKUP(B491,'MASTER DATA'!$A$1:$E$212,4,FALSE),"")</f>
        <v/>
      </c>
      <c r="G491" s="17"/>
      <c r="H491" s="17"/>
      <c r="I491" s="17"/>
      <c r="J491" s="17" t="b">
        <v>0</v>
      </c>
    </row>
    <row r="492">
      <c r="A492" s="17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 t="str">
        <f>IFERROR(VLOOKUP(B492,'MASTER DATA'!$A$1:$E$212,4,FALSE),"")</f>
        <v/>
      </c>
      <c r="G492" s="17"/>
      <c r="H492" s="17"/>
      <c r="I492" s="17"/>
      <c r="J492" s="17" t="b">
        <v>0</v>
      </c>
    </row>
    <row r="493">
      <c r="A493" s="17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 t="str">
        <f>IFERROR(VLOOKUP(B493,'MASTER DATA'!$A$1:$E$212,4,FALSE),"")</f>
        <v/>
      </c>
      <c r="G493" s="17"/>
      <c r="H493" s="17"/>
      <c r="I493" s="17"/>
      <c r="J493" s="17" t="b">
        <v>0</v>
      </c>
    </row>
    <row r="494">
      <c r="A494" s="17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 t="str">
        <f>IFERROR(VLOOKUP(B494,'MASTER DATA'!$A$1:$E$212,4,FALSE),"")</f>
        <v/>
      </c>
      <c r="G494" s="17"/>
      <c r="H494" s="17"/>
      <c r="I494" s="17"/>
      <c r="J494" s="17" t="b">
        <v>0</v>
      </c>
    </row>
    <row r="495">
      <c r="A495" s="17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 t="str">
        <f>IFERROR(VLOOKUP(B495,'MASTER DATA'!$A$1:$E$212,4,FALSE),"")</f>
        <v/>
      </c>
      <c r="G495" s="17"/>
      <c r="H495" s="17"/>
      <c r="I495" s="17"/>
      <c r="J495" s="17" t="b">
        <v>0</v>
      </c>
    </row>
    <row r="496">
      <c r="A496" s="17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 t="str">
        <f>IFERROR(VLOOKUP(B496,'MASTER DATA'!$A$1:$E$212,4,FALSE),"")</f>
        <v/>
      </c>
      <c r="G496" s="17"/>
      <c r="H496" s="17"/>
      <c r="I496" s="17"/>
      <c r="J496" s="17" t="b">
        <v>0</v>
      </c>
    </row>
    <row r="497">
      <c r="A497" s="17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 t="str">
        <f>IFERROR(VLOOKUP(B497,'MASTER DATA'!$A$1:$E$212,4,FALSE),"")</f>
        <v/>
      </c>
      <c r="G497" s="17"/>
      <c r="H497" s="17"/>
      <c r="I497" s="17"/>
      <c r="J497" s="17" t="b">
        <v>0</v>
      </c>
    </row>
    <row r="498">
      <c r="A498" s="17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 t="str">
        <f>IFERROR(VLOOKUP(B498,'MASTER DATA'!$A$1:$E$212,4,FALSE),"")</f>
        <v/>
      </c>
      <c r="G498" s="17"/>
      <c r="H498" s="17"/>
      <c r="I498" s="17"/>
      <c r="J498" s="17" t="b">
        <v>0</v>
      </c>
    </row>
    <row r="499">
      <c r="A499" s="17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 t="str">
        <f>IFERROR(VLOOKUP(B499,'MASTER DATA'!$A$1:$E$212,4,FALSE),"")</f>
        <v/>
      </c>
      <c r="G499" s="17"/>
      <c r="H499" s="17"/>
      <c r="I499" s="17"/>
      <c r="J499" s="17" t="b">
        <v>0</v>
      </c>
    </row>
    <row r="500">
      <c r="A500" s="17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 t="str">
        <f>IFERROR(VLOOKUP(B500,'MASTER DATA'!$A$1:$E$212,4,FALSE),"")</f>
        <v/>
      </c>
      <c r="G500" s="17"/>
      <c r="H500" s="17"/>
      <c r="I500" s="17"/>
      <c r="J500" s="17" t="b">
        <v>0</v>
      </c>
    </row>
    <row r="501">
      <c r="A501" s="17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 t="str">
        <f>IFERROR(VLOOKUP(B501,'MASTER DATA'!$A$1:$E$212,4,FALSE),"")</f>
        <v/>
      </c>
      <c r="G501" s="17"/>
      <c r="H501" s="17"/>
      <c r="I501" s="17"/>
      <c r="J501" s="17" t="b">
        <v>0</v>
      </c>
    </row>
    <row r="502">
      <c r="A502" s="17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 t="str">
        <f>IFERROR(VLOOKUP(B502,'MASTER DATA'!$A$1:$E$212,4,FALSE),"")</f>
        <v/>
      </c>
      <c r="G502" s="17"/>
      <c r="H502" s="17"/>
      <c r="I502" s="17"/>
      <c r="J502" s="17" t="b">
        <v>0</v>
      </c>
    </row>
    <row r="503">
      <c r="A503" s="17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 t="str">
        <f>IFERROR(VLOOKUP(B503,'MASTER DATA'!$A$1:$E$212,4,FALSE),"")</f>
        <v/>
      </c>
      <c r="G503" s="17"/>
      <c r="H503" s="17"/>
      <c r="I503" s="17"/>
      <c r="J503" s="17" t="b">
        <v>0</v>
      </c>
    </row>
    <row r="504">
      <c r="A504" s="17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 t="str">
        <f>IFERROR(VLOOKUP(B504,'MASTER DATA'!$A$1:$E$212,4,FALSE),"")</f>
        <v/>
      </c>
      <c r="G504" s="17"/>
      <c r="H504" s="17"/>
      <c r="I504" s="17"/>
      <c r="J504" s="17" t="b">
        <v>0</v>
      </c>
    </row>
    <row r="505">
      <c r="A505" s="17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 t="str">
        <f>IFERROR(VLOOKUP(B505,'MASTER DATA'!$A$1:$E$212,4,FALSE),"")</f>
        <v/>
      </c>
      <c r="G505" s="17"/>
      <c r="H505" s="17"/>
      <c r="I505" s="17"/>
      <c r="J505" s="17" t="b">
        <v>0</v>
      </c>
    </row>
    <row r="506">
      <c r="A506" s="17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 t="str">
        <f>IFERROR(VLOOKUP(B506,'MASTER DATA'!$A$1:$E$212,4,FALSE),"")</f>
        <v/>
      </c>
      <c r="G506" s="17"/>
      <c r="H506" s="17"/>
      <c r="I506" s="17"/>
      <c r="J506" s="17" t="b">
        <v>0</v>
      </c>
    </row>
    <row r="507">
      <c r="A507" s="17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 t="str">
        <f>IFERROR(VLOOKUP(B507,'MASTER DATA'!$A$1:$E$212,4,FALSE),"")</f>
        <v/>
      </c>
      <c r="G507" s="17"/>
      <c r="H507" s="17"/>
      <c r="I507" s="17"/>
      <c r="J507" s="17" t="b">
        <v>0</v>
      </c>
    </row>
    <row r="508">
      <c r="A508" s="17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 t="str">
        <f>IFERROR(VLOOKUP(B508,'MASTER DATA'!$A$1:$E$212,4,FALSE),"")</f>
        <v/>
      </c>
      <c r="G508" s="17"/>
      <c r="H508" s="17"/>
      <c r="I508" s="17"/>
      <c r="J508" s="17" t="b">
        <v>0</v>
      </c>
    </row>
    <row r="509">
      <c r="A509" s="17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 t="str">
        <f>IFERROR(VLOOKUP(B509,'MASTER DATA'!$A$1:$E$212,4,FALSE),"")</f>
        <v/>
      </c>
      <c r="G509" s="17"/>
      <c r="H509" s="17"/>
      <c r="I509" s="17"/>
      <c r="J509" s="17" t="b">
        <v>0</v>
      </c>
    </row>
    <row r="510">
      <c r="A510" s="17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 t="str">
        <f>IFERROR(VLOOKUP(B510,'MASTER DATA'!$A$1:$E$212,4,FALSE),"")</f>
        <v/>
      </c>
      <c r="G510" s="17"/>
      <c r="H510" s="17"/>
      <c r="I510" s="17"/>
      <c r="J510" s="17" t="b">
        <v>0</v>
      </c>
    </row>
    <row r="511">
      <c r="A511" s="17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 t="str">
        <f>IFERROR(VLOOKUP(B511,'MASTER DATA'!$A$1:$E$212,4,FALSE),"")</f>
        <v/>
      </c>
      <c r="G511" s="17"/>
      <c r="H511" s="17"/>
      <c r="I511" s="17"/>
      <c r="J511" s="17" t="b">
        <v>0</v>
      </c>
    </row>
    <row r="512">
      <c r="A512" s="17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 t="str">
        <f>IFERROR(VLOOKUP(B512,'MASTER DATA'!$A$1:$E$212,4,FALSE),"")</f>
        <v/>
      </c>
      <c r="G512" s="17"/>
      <c r="H512" s="17"/>
      <c r="I512" s="17"/>
      <c r="J512" s="17" t="b">
        <v>0</v>
      </c>
    </row>
    <row r="513">
      <c r="A513" s="17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 t="str">
        <f>IFERROR(VLOOKUP(B513,'MASTER DATA'!$A$1:$E$212,4,FALSE),"")</f>
        <v/>
      </c>
      <c r="G513" s="17"/>
      <c r="H513" s="17"/>
      <c r="I513" s="17"/>
      <c r="J513" s="17" t="b">
        <v>0</v>
      </c>
    </row>
    <row r="514">
      <c r="A514" s="17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 t="str">
        <f>IFERROR(VLOOKUP(B514,'MASTER DATA'!$A$1:$E$212,4,FALSE),"")</f>
        <v/>
      </c>
      <c r="G514" s="17"/>
      <c r="H514" s="17"/>
      <c r="I514" s="17"/>
      <c r="J514" s="17" t="b">
        <v>0</v>
      </c>
    </row>
    <row r="515">
      <c r="A515" s="17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 t="str">
        <f>IFERROR(VLOOKUP(B515,'MASTER DATA'!$A$1:$E$212,4,FALSE),"")</f>
        <v/>
      </c>
      <c r="G515" s="17"/>
      <c r="H515" s="17"/>
      <c r="I515" s="17"/>
      <c r="J515" s="17" t="b">
        <v>0</v>
      </c>
    </row>
    <row r="516">
      <c r="A516" s="17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 t="str">
        <f>IFERROR(VLOOKUP(B516,'MASTER DATA'!$A$1:$E$212,4,FALSE),"")</f>
        <v/>
      </c>
      <c r="G516" s="17"/>
      <c r="H516" s="17"/>
      <c r="I516" s="17"/>
      <c r="J516" s="17" t="b">
        <v>0</v>
      </c>
    </row>
    <row r="517">
      <c r="A517" s="17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 t="str">
        <f>IFERROR(VLOOKUP(B517,'MASTER DATA'!$A$1:$E$212,4,FALSE),"")</f>
        <v/>
      </c>
      <c r="G517" s="17"/>
      <c r="H517" s="17"/>
      <c r="I517" s="17"/>
      <c r="J517" s="17" t="b">
        <v>0</v>
      </c>
    </row>
    <row r="518">
      <c r="A518" s="17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 t="str">
        <f>IFERROR(VLOOKUP(B518,'MASTER DATA'!$A$1:$E$212,4,FALSE),"")</f>
        <v/>
      </c>
      <c r="G518" s="17"/>
      <c r="H518" s="17"/>
      <c r="I518" s="17"/>
      <c r="J518" s="17" t="b">
        <v>0</v>
      </c>
    </row>
    <row r="519">
      <c r="A519" s="17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 t="str">
        <f>IFERROR(VLOOKUP(B519,'MASTER DATA'!$A$1:$E$212,4,FALSE),"")</f>
        <v/>
      </c>
      <c r="G519" s="17"/>
      <c r="H519" s="17"/>
      <c r="I519" s="17"/>
      <c r="J519" s="17" t="b">
        <v>0</v>
      </c>
    </row>
    <row r="520">
      <c r="A520" s="17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 t="str">
        <f>IFERROR(VLOOKUP(B520,'MASTER DATA'!$A$1:$E$212,4,FALSE),"")</f>
        <v/>
      </c>
      <c r="G520" s="17"/>
      <c r="H520" s="17"/>
      <c r="I520" s="17"/>
      <c r="J520" s="17" t="b">
        <v>0</v>
      </c>
    </row>
    <row r="521">
      <c r="A521" s="17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 t="str">
        <f>IFERROR(VLOOKUP(B521,'MASTER DATA'!$A$1:$E$212,4,FALSE),"")</f>
        <v/>
      </c>
      <c r="G521" s="17"/>
      <c r="H521" s="17"/>
      <c r="I521" s="17"/>
      <c r="J521" s="17" t="b">
        <v>0</v>
      </c>
    </row>
    <row r="522">
      <c r="A522" s="17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 t="str">
        <f>IFERROR(VLOOKUP(B522,'MASTER DATA'!$A$1:$E$212,4,FALSE),"")</f>
        <v/>
      </c>
      <c r="G522" s="17"/>
      <c r="H522" s="17"/>
      <c r="I522" s="17"/>
      <c r="J522" s="17" t="b">
        <v>0</v>
      </c>
    </row>
    <row r="523">
      <c r="A523" s="17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 t="str">
        <f>IFERROR(VLOOKUP(B523,'MASTER DATA'!$A$1:$E$212,4,FALSE),"")</f>
        <v/>
      </c>
      <c r="G523" s="17"/>
      <c r="H523" s="17"/>
      <c r="I523" s="17"/>
      <c r="J523" s="17" t="b">
        <v>0</v>
      </c>
    </row>
    <row r="524">
      <c r="A524" s="17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 t="str">
        <f>IFERROR(VLOOKUP(B524,'MASTER DATA'!$A$1:$E$212,4,FALSE),"")</f>
        <v/>
      </c>
      <c r="G524" s="17"/>
      <c r="H524" s="17"/>
      <c r="I524" s="17"/>
      <c r="J524" s="17" t="b">
        <v>0</v>
      </c>
    </row>
    <row r="525">
      <c r="A525" s="17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 t="str">
        <f>IFERROR(VLOOKUP(B525,'MASTER DATA'!$A$1:$E$212,4,FALSE),"")</f>
        <v/>
      </c>
      <c r="G525" s="17"/>
      <c r="H525" s="17"/>
      <c r="I525" s="17"/>
      <c r="J525" s="17" t="b">
        <v>0</v>
      </c>
    </row>
    <row r="526">
      <c r="A526" s="17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 t="str">
        <f>IFERROR(VLOOKUP(B526,'MASTER DATA'!$A$1:$E$212,4,FALSE),"")</f>
        <v/>
      </c>
      <c r="G526" s="17"/>
      <c r="H526" s="17"/>
      <c r="I526" s="17"/>
      <c r="J526" s="17" t="b">
        <v>0</v>
      </c>
    </row>
    <row r="527">
      <c r="A527" s="17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 t="str">
        <f>IFERROR(VLOOKUP(B527,'MASTER DATA'!$A$1:$E$212,4,FALSE),"")</f>
        <v/>
      </c>
      <c r="G527" s="17"/>
      <c r="H527" s="17"/>
      <c r="I527" s="17"/>
      <c r="J527" s="17" t="b">
        <v>0</v>
      </c>
    </row>
    <row r="528">
      <c r="A528" s="17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 t="str">
        <f>IFERROR(VLOOKUP(B528,'MASTER DATA'!$A$1:$E$212,4,FALSE),"")</f>
        <v/>
      </c>
      <c r="G528" s="17"/>
      <c r="H528" s="17"/>
      <c r="I528" s="17"/>
      <c r="J528" s="17" t="b">
        <v>0</v>
      </c>
    </row>
    <row r="529">
      <c r="A529" s="17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 t="str">
        <f>IFERROR(VLOOKUP(B529,'MASTER DATA'!$A$1:$E$212,4,FALSE),"")</f>
        <v/>
      </c>
      <c r="G529" s="17"/>
      <c r="H529" s="17"/>
      <c r="I529" s="17"/>
      <c r="J529" s="17" t="b">
        <v>0</v>
      </c>
    </row>
    <row r="530">
      <c r="A530" s="17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 t="str">
        <f>IFERROR(VLOOKUP(B530,'MASTER DATA'!$A$1:$E$212,4,FALSE),"")</f>
        <v/>
      </c>
      <c r="G530" s="17"/>
      <c r="H530" s="17"/>
      <c r="I530" s="17"/>
      <c r="J530" s="17" t="b">
        <v>0</v>
      </c>
    </row>
    <row r="531">
      <c r="A531" s="17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 t="str">
        <f>IFERROR(VLOOKUP(B531,'MASTER DATA'!$A$1:$E$212,4,FALSE),"")</f>
        <v/>
      </c>
      <c r="G531" s="17"/>
      <c r="H531" s="17"/>
      <c r="I531" s="17"/>
      <c r="J531" s="17" t="b">
        <v>0</v>
      </c>
    </row>
    <row r="532">
      <c r="A532" s="17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 t="str">
        <f>IFERROR(VLOOKUP(B532,'MASTER DATA'!$A$1:$E$212,4,FALSE),"")</f>
        <v/>
      </c>
      <c r="G532" s="17"/>
      <c r="H532" s="17"/>
      <c r="I532" s="17"/>
      <c r="J532" s="17" t="b">
        <v>0</v>
      </c>
    </row>
    <row r="533">
      <c r="A533" s="17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 t="str">
        <f>IFERROR(VLOOKUP(B533,'MASTER DATA'!$A$1:$E$212,4,FALSE),"")</f>
        <v/>
      </c>
      <c r="G533" s="17"/>
      <c r="H533" s="17"/>
      <c r="I533" s="17"/>
      <c r="J533" s="17" t="b">
        <v>0</v>
      </c>
    </row>
    <row r="534">
      <c r="A534" s="17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 t="str">
        <f>IFERROR(VLOOKUP(B534,'MASTER DATA'!$A$1:$E$212,4,FALSE),"")</f>
        <v/>
      </c>
      <c r="G534" s="17"/>
      <c r="H534" s="17"/>
      <c r="I534" s="17"/>
      <c r="J534" s="17" t="b">
        <v>0</v>
      </c>
    </row>
    <row r="535">
      <c r="A535" s="17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 t="str">
        <f>IFERROR(VLOOKUP(B535,'MASTER DATA'!$A$1:$E$212,4,FALSE),"")</f>
        <v/>
      </c>
      <c r="G535" s="17"/>
      <c r="H535" s="17"/>
      <c r="I535" s="17"/>
      <c r="J535" s="17" t="b">
        <v>0</v>
      </c>
    </row>
    <row r="536">
      <c r="A536" s="17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 t="str">
        <f>IFERROR(VLOOKUP(B536,'MASTER DATA'!$A$1:$E$212,4,FALSE),"")</f>
        <v/>
      </c>
      <c r="G536" s="17"/>
      <c r="H536" s="17"/>
      <c r="I536" s="17"/>
      <c r="J536" s="17" t="b">
        <v>0</v>
      </c>
    </row>
    <row r="537">
      <c r="A537" s="17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 t="str">
        <f>IFERROR(VLOOKUP(B537,'MASTER DATA'!$A$1:$E$212,4,FALSE),"")</f>
        <v/>
      </c>
      <c r="G537" s="17"/>
      <c r="H537" s="17"/>
      <c r="I537" s="17"/>
      <c r="J537" s="17" t="b">
        <v>0</v>
      </c>
    </row>
    <row r="538">
      <c r="A538" s="17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 t="str">
        <f>IFERROR(VLOOKUP(B538,'MASTER DATA'!$A$1:$E$212,4,FALSE),"")</f>
        <v/>
      </c>
      <c r="G538" s="17"/>
      <c r="H538" s="17"/>
      <c r="I538" s="17"/>
      <c r="J538" s="17" t="b">
        <v>0</v>
      </c>
    </row>
    <row r="539">
      <c r="A539" s="17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 t="str">
        <f>IFERROR(VLOOKUP(B539,'MASTER DATA'!$A$1:$E$212,4,FALSE),"")</f>
        <v/>
      </c>
      <c r="G539" s="17"/>
      <c r="H539" s="17"/>
      <c r="I539" s="17"/>
      <c r="J539" s="17" t="b">
        <v>0</v>
      </c>
    </row>
    <row r="540">
      <c r="A540" s="17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 t="str">
        <f>IFERROR(VLOOKUP(B540,'MASTER DATA'!$A$1:$E$212,4,FALSE),"")</f>
        <v/>
      </c>
      <c r="G540" s="17"/>
      <c r="H540" s="17"/>
      <c r="I540" s="17"/>
      <c r="J540" s="17" t="b">
        <v>0</v>
      </c>
    </row>
    <row r="541">
      <c r="A541" s="17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 t="str">
        <f>IFERROR(VLOOKUP(B541,'MASTER DATA'!$A$1:$E$212,4,FALSE),"")</f>
        <v/>
      </c>
      <c r="G541" s="17"/>
      <c r="H541" s="17"/>
      <c r="I541" s="17"/>
      <c r="J541" s="17" t="b">
        <v>0</v>
      </c>
    </row>
    <row r="542">
      <c r="A542" s="17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 t="str">
        <f>IFERROR(VLOOKUP(B542,'MASTER DATA'!$A$1:$E$212,4,FALSE),"")</f>
        <v/>
      </c>
      <c r="G542" s="17"/>
      <c r="H542" s="17"/>
      <c r="I542" s="17"/>
      <c r="J542" s="17" t="b">
        <v>0</v>
      </c>
    </row>
    <row r="543">
      <c r="A543" s="17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 t="str">
        <f>IFERROR(VLOOKUP(B543,'MASTER DATA'!$A$1:$E$212,4,FALSE),"")</f>
        <v/>
      </c>
      <c r="G543" s="17"/>
      <c r="H543" s="17"/>
      <c r="I543" s="17"/>
      <c r="J543" s="17" t="b">
        <v>0</v>
      </c>
    </row>
    <row r="544">
      <c r="A544" s="17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 t="str">
        <f>IFERROR(VLOOKUP(B544,'MASTER DATA'!$A$1:$E$212,4,FALSE),"")</f>
        <v/>
      </c>
      <c r="G544" s="17"/>
      <c r="H544" s="17"/>
      <c r="I544" s="17"/>
      <c r="J544" s="17" t="b">
        <v>0</v>
      </c>
    </row>
    <row r="545">
      <c r="A545" s="17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 t="str">
        <f>IFERROR(VLOOKUP(B545,'MASTER DATA'!$A$1:$E$212,4,FALSE),"")</f>
        <v/>
      </c>
      <c r="G545" s="17"/>
      <c r="H545" s="17"/>
      <c r="I545" s="17"/>
      <c r="J545" s="17" t="b">
        <v>0</v>
      </c>
    </row>
    <row r="546">
      <c r="A546" s="17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 t="str">
        <f>IFERROR(VLOOKUP(B546,'MASTER DATA'!$A$1:$E$212,4,FALSE),"")</f>
        <v/>
      </c>
      <c r="G546" s="17"/>
      <c r="H546" s="17"/>
      <c r="I546" s="17"/>
      <c r="J546" s="17" t="b">
        <v>0</v>
      </c>
    </row>
    <row r="547">
      <c r="A547" s="17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 t="str">
        <f>IFERROR(VLOOKUP(B547,'MASTER DATA'!$A$1:$E$212,4,FALSE),"")</f>
        <v/>
      </c>
      <c r="G547" s="17"/>
      <c r="H547" s="17"/>
      <c r="I547" s="17"/>
      <c r="J547" s="17" t="b">
        <v>0</v>
      </c>
    </row>
    <row r="548">
      <c r="A548" s="17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 t="str">
        <f>IFERROR(VLOOKUP(B548,'MASTER DATA'!$A$1:$E$212,4,FALSE),"")</f>
        <v/>
      </c>
      <c r="G548" s="17"/>
      <c r="H548" s="17"/>
      <c r="I548" s="17"/>
      <c r="J548" s="17" t="b">
        <v>0</v>
      </c>
    </row>
    <row r="549">
      <c r="A549" s="17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 t="str">
        <f>IFERROR(VLOOKUP(B549,'MASTER DATA'!$A$1:$E$212,4,FALSE),"")</f>
        <v/>
      </c>
      <c r="G549" s="17"/>
      <c r="H549" s="17"/>
      <c r="I549" s="17"/>
      <c r="J549" s="17" t="b">
        <v>0</v>
      </c>
    </row>
    <row r="550">
      <c r="A550" s="17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 t="str">
        <f>IFERROR(VLOOKUP(B550,'MASTER DATA'!$A$1:$E$212,4,FALSE),"")</f>
        <v/>
      </c>
      <c r="G550" s="17"/>
      <c r="H550" s="17"/>
      <c r="I550" s="17"/>
      <c r="J550" s="17" t="b">
        <v>0</v>
      </c>
    </row>
    <row r="551">
      <c r="A551" s="17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 t="str">
        <f>IFERROR(VLOOKUP(B551,'MASTER DATA'!$A$1:$E$212,4,FALSE),"")</f>
        <v/>
      </c>
      <c r="G551" s="17"/>
      <c r="H551" s="17"/>
      <c r="I551" s="17"/>
      <c r="J551" s="17" t="b">
        <v>0</v>
      </c>
    </row>
    <row r="552">
      <c r="A552" s="17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 t="str">
        <f>IFERROR(VLOOKUP(B552,'MASTER DATA'!$A$1:$E$212,4,FALSE),"")</f>
        <v/>
      </c>
      <c r="G552" s="17"/>
      <c r="H552" s="17"/>
      <c r="I552" s="17"/>
      <c r="J552" s="17" t="b">
        <v>0</v>
      </c>
    </row>
    <row r="553">
      <c r="A553" s="17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 t="str">
        <f>IFERROR(VLOOKUP(B553,'MASTER DATA'!$A$1:$E$212,4,FALSE),"")</f>
        <v/>
      </c>
      <c r="G553" s="17"/>
      <c r="H553" s="17"/>
      <c r="I553" s="17"/>
      <c r="J553" s="17" t="b">
        <v>0</v>
      </c>
    </row>
    <row r="554">
      <c r="A554" s="17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 t="str">
        <f>IFERROR(VLOOKUP(B554,'MASTER DATA'!$A$1:$E$212,4,FALSE),"")</f>
        <v/>
      </c>
      <c r="G554" s="17"/>
      <c r="H554" s="17"/>
      <c r="I554" s="17"/>
      <c r="J554" s="17" t="b">
        <v>0</v>
      </c>
    </row>
    <row r="555">
      <c r="A555" s="17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 t="str">
        <f>IFERROR(VLOOKUP(B555,'MASTER DATA'!$A$1:$E$212,4,FALSE),"")</f>
        <v/>
      </c>
      <c r="G555" s="17"/>
      <c r="H555" s="17"/>
      <c r="I555" s="17"/>
      <c r="J555" s="17" t="b">
        <v>0</v>
      </c>
    </row>
    <row r="556">
      <c r="A556" s="17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 t="str">
        <f>IFERROR(VLOOKUP(B556,'MASTER DATA'!$A$1:$E$212,4,FALSE),"")</f>
        <v/>
      </c>
      <c r="G556" s="17"/>
      <c r="H556" s="17"/>
      <c r="I556" s="17"/>
      <c r="J556" s="17" t="b">
        <v>0</v>
      </c>
    </row>
    <row r="557">
      <c r="A557" s="17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 t="str">
        <f>IFERROR(VLOOKUP(B557,'MASTER DATA'!$A$1:$E$212,4,FALSE),"")</f>
        <v/>
      </c>
      <c r="G557" s="17"/>
      <c r="H557" s="17"/>
      <c r="I557" s="17"/>
      <c r="J557" s="17" t="b">
        <v>0</v>
      </c>
    </row>
    <row r="558">
      <c r="A558" s="17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 t="str">
        <f>IFERROR(VLOOKUP(B558,'MASTER DATA'!$A$1:$E$212,4,FALSE),"")</f>
        <v/>
      </c>
      <c r="G558" s="17"/>
      <c r="H558" s="17"/>
      <c r="I558" s="17"/>
      <c r="J558" s="17" t="b">
        <v>0</v>
      </c>
    </row>
    <row r="559">
      <c r="A559" s="17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 t="str">
        <f>IFERROR(VLOOKUP(B559,'MASTER DATA'!$A$1:$E$212,4,FALSE),"")</f>
        <v/>
      </c>
      <c r="G559" s="17"/>
      <c r="H559" s="17"/>
      <c r="I559" s="17"/>
      <c r="J559" s="17" t="b">
        <v>0</v>
      </c>
    </row>
    <row r="560">
      <c r="A560" s="17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 t="str">
        <f>IFERROR(VLOOKUP(B560,'MASTER DATA'!$A$1:$E$212,4,FALSE),"")</f>
        <v/>
      </c>
      <c r="G560" s="17"/>
      <c r="H560" s="17"/>
      <c r="I560" s="17"/>
      <c r="J560" s="17" t="b">
        <v>0</v>
      </c>
    </row>
    <row r="561">
      <c r="A561" s="17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 t="str">
        <f>IFERROR(VLOOKUP(B561,'MASTER DATA'!$A$1:$E$212,4,FALSE),"")</f>
        <v/>
      </c>
      <c r="G561" s="17"/>
      <c r="H561" s="17"/>
      <c r="I561" s="17"/>
      <c r="J561" s="17" t="b">
        <v>0</v>
      </c>
    </row>
    <row r="562">
      <c r="A562" s="17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 t="str">
        <f>IFERROR(VLOOKUP(B562,'MASTER DATA'!$A$1:$E$212,4,FALSE),"")</f>
        <v/>
      </c>
      <c r="G562" s="17"/>
      <c r="H562" s="17"/>
      <c r="I562" s="17"/>
      <c r="J562" s="17" t="b">
        <v>0</v>
      </c>
    </row>
    <row r="563">
      <c r="A563" s="17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 t="str">
        <f>IFERROR(VLOOKUP(B563,'MASTER DATA'!$A$1:$E$212,4,FALSE),"")</f>
        <v/>
      </c>
      <c r="G563" s="17"/>
      <c r="H563" s="17"/>
      <c r="I563" s="17"/>
      <c r="J563" s="17" t="b">
        <v>0</v>
      </c>
    </row>
    <row r="564">
      <c r="A564" s="17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 t="str">
        <f>IFERROR(VLOOKUP(B564,'MASTER DATA'!$A$1:$E$212,4,FALSE),"")</f>
        <v/>
      </c>
      <c r="G564" s="17"/>
      <c r="H564" s="17"/>
      <c r="I564" s="17"/>
      <c r="J564" s="17" t="b">
        <v>0</v>
      </c>
    </row>
    <row r="565">
      <c r="A565" s="17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 t="str">
        <f>IFERROR(VLOOKUP(B565,'MASTER DATA'!$A$1:$E$212,4,FALSE),"")</f>
        <v/>
      </c>
      <c r="G565" s="17"/>
      <c r="H565" s="17"/>
      <c r="I565" s="17"/>
      <c r="J565" s="17" t="b">
        <v>0</v>
      </c>
    </row>
    <row r="566">
      <c r="A566" s="17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 t="str">
        <f>IFERROR(VLOOKUP(B566,'MASTER DATA'!$A$1:$E$212,4,FALSE),"")</f>
        <v/>
      </c>
      <c r="G566" s="17"/>
      <c r="H566" s="17"/>
      <c r="I566" s="17"/>
      <c r="J566" s="17" t="b">
        <v>0</v>
      </c>
    </row>
    <row r="567">
      <c r="A567" s="17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 t="str">
        <f>IFERROR(VLOOKUP(B567,'MASTER DATA'!$A$1:$E$212,4,FALSE),"")</f>
        <v/>
      </c>
      <c r="G567" s="17"/>
      <c r="H567" s="17"/>
      <c r="I567" s="17"/>
      <c r="J567" s="17" t="b">
        <v>0</v>
      </c>
    </row>
    <row r="568">
      <c r="A568" s="17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 t="str">
        <f>IFERROR(VLOOKUP(B568,'MASTER DATA'!$A$1:$E$212,4,FALSE),"")</f>
        <v/>
      </c>
      <c r="G568" s="17"/>
      <c r="H568" s="17"/>
      <c r="I568" s="17"/>
      <c r="J568" s="17" t="b">
        <v>0</v>
      </c>
    </row>
    <row r="569">
      <c r="A569" s="17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 t="str">
        <f>IFERROR(VLOOKUP(B569,'MASTER DATA'!$A$1:$E$212,4,FALSE),"")</f>
        <v/>
      </c>
      <c r="G569" s="17"/>
      <c r="H569" s="17"/>
      <c r="I569" s="17"/>
      <c r="J569" s="17" t="b">
        <v>0</v>
      </c>
    </row>
    <row r="570">
      <c r="A570" s="17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 t="str">
        <f>IFERROR(VLOOKUP(B570,'MASTER DATA'!$A$1:$E$212,4,FALSE),"")</f>
        <v/>
      </c>
      <c r="G570" s="17"/>
      <c r="H570" s="17"/>
      <c r="I570" s="17"/>
      <c r="J570" s="17" t="b">
        <v>0</v>
      </c>
    </row>
    <row r="571">
      <c r="A571" s="17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 t="str">
        <f>IFERROR(VLOOKUP(B571,'MASTER DATA'!$A$1:$E$212,4,FALSE),"")</f>
        <v/>
      </c>
      <c r="G571" s="17"/>
      <c r="H571" s="17"/>
      <c r="I571" s="17"/>
      <c r="J571" s="17" t="b">
        <v>0</v>
      </c>
    </row>
    <row r="572">
      <c r="A572" s="17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 t="str">
        <f>IFERROR(VLOOKUP(B572,'MASTER DATA'!$A$1:$E$212,4,FALSE),"")</f>
        <v/>
      </c>
      <c r="G572" s="17"/>
      <c r="H572" s="17"/>
      <c r="I572" s="17"/>
      <c r="J572" s="17" t="b">
        <v>0</v>
      </c>
    </row>
    <row r="573">
      <c r="A573" s="17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 t="str">
        <f>IFERROR(VLOOKUP(B573,'MASTER DATA'!$A$1:$E$212,4,FALSE),"")</f>
        <v/>
      </c>
      <c r="G573" s="17"/>
      <c r="H573" s="17"/>
      <c r="I573" s="17"/>
      <c r="J573" s="17" t="b">
        <v>0</v>
      </c>
    </row>
    <row r="574">
      <c r="A574" s="17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 t="str">
        <f>IFERROR(VLOOKUP(B574,'MASTER DATA'!$A$1:$E$212,4,FALSE),"")</f>
        <v/>
      </c>
      <c r="G574" s="17"/>
      <c r="H574" s="17"/>
      <c r="I574" s="17"/>
      <c r="J574" s="17" t="b">
        <v>0</v>
      </c>
    </row>
    <row r="575">
      <c r="A575" s="17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 t="str">
        <f>IFERROR(VLOOKUP(B575,'MASTER DATA'!$A$1:$E$212,4,FALSE),"")</f>
        <v/>
      </c>
      <c r="G575" s="17"/>
      <c r="H575" s="17"/>
      <c r="I575" s="17"/>
      <c r="J575" s="17" t="b">
        <v>0</v>
      </c>
    </row>
    <row r="576">
      <c r="A576" s="17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 t="str">
        <f>IFERROR(VLOOKUP(B576,'MASTER DATA'!$A$1:$E$212,4,FALSE),"")</f>
        <v/>
      </c>
      <c r="G576" s="17"/>
      <c r="H576" s="17"/>
      <c r="I576" s="17"/>
      <c r="J576" s="17" t="b">
        <v>0</v>
      </c>
    </row>
    <row r="577">
      <c r="A577" s="17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 t="str">
        <f>IFERROR(VLOOKUP(B577,'MASTER DATA'!$A$1:$E$212,4,FALSE),"")</f>
        <v/>
      </c>
      <c r="G577" s="17"/>
      <c r="H577" s="17"/>
      <c r="I577" s="17"/>
      <c r="J577" s="17" t="b">
        <v>0</v>
      </c>
    </row>
    <row r="578">
      <c r="A578" s="17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 t="str">
        <f>IFERROR(VLOOKUP(B578,'MASTER DATA'!$A$1:$E$212,4,FALSE),"")</f>
        <v/>
      </c>
      <c r="G578" s="17"/>
      <c r="H578" s="17"/>
      <c r="I578" s="17"/>
      <c r="J578" s="17" t="b">
        <v>0</v>
      </c>
    </row>
    <row r="579">
      <c r="A579" s="17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 t="str">
        <f>IFERROR(VLOOKUP(B579,'MASTER DATA'!$A$1:$E$212,4,FALSE),"")</f>
        <v/>
      </c>
      <c r="G579" s="17"/>
      <c r="H579" s="17"/>
      <c r="I579" s="17"/>
      <c r="J579" s="17" t="b">
        <v>0</v>
      </c>
    </row>
    <row r="580">
      <c r="A580" s="17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 t="str">
        <f>IFERROR(VLOOKUP(B580,'MASTER DATA'!$A$1:$E$212,4,FALSE),"")</f>
        <v/>
      </c>
      <c r="G580" s="17"/>
      <c r="H580" s="17"/>
      <c r="I580" s="17"/>
      <c r="J580" s="17" t="b">
        <v>0</v>
      </c>
    </row>
    <row r="581">
      <c r="A581" s="17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 t="str">
        <f>IFERROR(VLOOKUP(B581,'MASTER DATA'!$A$1:$E$212,4,FALSE),"")</f>
        <v/>
      </c>
      <c r="G581" s="17"/>
      <c r="H581" s="17"/>
      <c r="I581" s="17"/>
      <c r="J581" s="17" t="b">
        <v>0</v>
      </c>
    </row>
    <row r="582">
      <c r="A582" s="17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 t="str">
        <f>IFERROR(VLOOKUP(B582,'MASTER DATA'!$A$1:$E$212,4,FALSE),"")</f>
        <v/>
      </c>
      <c r="G582" s="17"/>
      <c r="H582" s="17"/>
      <c r="I582" s="17"/>
      <c r="J582" s="17" t="b">
        <v>0</v>
      </c>
    </row>
    <row r="583">
      <c r="A583" s="17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 t="str">
        <f>IFERROR(VLOOKUP(B583,'MASTER DATA'!$A$1:$E$212,4,FALSE),"")</f>
        <v/>
      </c>
      <c r="G583" s="17"/>
      <c r="H583" s="17"/>
      <c r="I583" s="17"/>
      <c r="J583" s="17" t="b">
        <v>0</v>
      </c>
    </row>
    <row r="584">
      <c r="A584" s="17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 t="str">
        <f>IFERROR(VLOOKUP(B584,'MASTER DATA'!$A$1:$E$212,4,FALSE),"")</f>
        <v/>
      </c>
      <c r="G584" s="17"/>
      <c r="H584" s="17"/>
      <c r="I584" s="17"/>
      <c r="J584" s="17" t="b">
        <v>0</v>
      </c>
    </row>
    <row r="585">
      <c r="A585" s="17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 t="str">
        <f>IFERROR(VLOOKUP(B585,'MASTER DATA'!$A$1:$E$212,4,FALSE),"")</f>
        <v/>
      </c>
      <c r="G585" s="17"/>
      <c r="H585" s="17"/>
      <c r="I585" s="17"/>
      <c r="J585" s="17" t="b">
        <v>0</v>
      </c>
    </row>
    <row r="586">
      <c r="A586" s="17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 t="str">
        <f>IFERROR(VLOOKUP(B586,'MASTER DATA'!$A$1:$E$212,4,FALSE),"")</f>
        <v/>
      </c>
      <c r="G586" s="17"/>
      <c r="H586" s="17"/>
      <c r="I586" s="17"/>
      <c r="J586" s="17" t="b">
        <v>0</v>
      </c>
    </row>
    <row r="587">
      <c r="A587" s="17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 t="str">
        <f>IFERROR(VLOOKUP(B587,'MASTER DATA'!$A$1:$E$212,4,FALSE),"")</f>
        <v/>
      </c>
      <c r="G587" s="17"/>
      <c r="H587" s="17"/>
      <c r="I587" s="17"/>
      <c r="J587" s="17" t="b">
        <v>0</v>
      </c>
    </row>
    <row r="588">
      <c r="A588" s="17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 t="str">
        <f>IFERROR(VLOOKUP(B588,'MASTER DATA'!$A$1:$E$212,4,FALSE),"")</f>
        <v/>
      </c>
      <c r="G588" s="17"/>
      <c r="H588" s="17"/>
      <c r="I588" s="17"/>
      <c r="J588" s="17" t="b">
        <v>0</v>
      </c>
    </row>
    <row r="589">
      <c r="A589" s="17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 t="str">
        <f>IFERROR(VLOOKUP(B589,'MASTER DATA'!$A$1:$E$212,4,FALSE),"")</f>
        <v/>
      </c>
      <c r="G589" s="17"/>
      <c r="H589" s="17"/>
      <c r="I589" s="17"/>
      <c r="J589" s="17" t="b">
        <v>0</v>
      </c>
    </row>
    <row r="590">
      <c r="A590" s="17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 t="str">
        <f>IFERROR(VLOOKUP(B590,'MASTER DATA'!$A$1:$E$212,4,FALSE),"")</f>
        <v/>
      </c>
      <c r="G590" s="17"/>
      <c r="H590" s="17"/>
      <c r="I590" s="17"/>
      <c r="J590" s="17" t="b">
        <v>0</v>
      </c>
    </row>
    <row r="591">
      <c r="A591" s="17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 t="str">
        <f>IFERROR(VLOOKUP(B591,'MASTER DATA'!$A$1:$E$212,4,FALSE),"")</f>
        <v/>
      </c>
      <c r="G591" s="17"/>
      <c r="H591" s="17"/>
      <c r="I591" s="17"/>
      <c r="J591" s="17" t="b">
        <v>0</v>
      </c>
    </row>
    <row r="592">
      <c r="A592" s="17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 t="str">
        <f>IFERROR(VLOOKUP(B592,'MASTER DATA'!$A$1:$E$212,4,FALSE),"")</f>
        <v/>
      </c>
      <c r="G592" s="17"/>
      <c r="H592" s="17"/>
      <c r="I592" s="17"/>
      <c r="J592" s="17" t="b">
        <v>0</v>
      </c>
    </row>
    <row r="593">
      <c r="A593" s="17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 t="str">
        <f>IFERROR(VLOOKUP(B593,'MASTER DATA'!$A$1:$E$212,4,FALSE),"")</f>
        <v/>
      </c>
      <c r="G593" s="17"/>
      <c r="H593" s="17"/>
      <c r="I593" s="17"/>
      <c r="J593" s="17" t="b">
        <v>0</v>
      </c>
    </row>
    <row r="594">
      <c r="A594" s="17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 t="str">
        <f>IFERROR(VLOOKUP(B594,'MASTER DATA'!$A$1:$E$212,4,FALSE),"")</f>
        <v/>
      </c>
      <c r="G594" s="17"/>
      <c r="H594" s="17"/>
      <c r="I594" s="17"/>
      <c r="J594" s="17" t="b">
        <v>0</v>
      </c>
    </row>
    <row r="595">
      <c r="A595" s="17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 t="str">
        <f>IFERROR(VLOOKUP(B595,'MASTER DATA'!$A$1:$E$212,4,FALSE),"")</f>
        <v/>
      </c>
      <c r="G595" s="17"/>
      <c r="H595" s="17"/>
      <c r="I595" s="17"/>
      <c r="J595" s="17" t="b">
        <v>0</v>
      </c>
    </row>
    <row r="596">
      <c r="A596" s="17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 t="str">
        <f>IFERROR(VLOOKUP(B596,'MASTER DATA'!$A$1:$E$212,4,FALSE),"")</f>
        <v/>
      </c>
      <c r="G596" s="17"/>
      <c r="H596" s="17"/>
      <c r="I596" s="17"/>
      <c r="J596" s="17" t="b">
        <v>0</v>
      </c>
    </row>
    <row r="597">
      <c r="A597" s="17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 t="str">
        <f>IFERROR(VLOOKUP(B597,'MASTER DATA'!$A$1:$E$212,4,FALSE),"")</f>
        <v/>
      </c>
      <c r="G597" s="17"/>
      <c r="H597" s="17"/>
      <c r="I597" s="17"/>
      <c r="J597" s="17" t="b">
        <v>0</v>
      </c>
    </row>
    <row r="598">
      <c r="A598" s="17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 t="str">
        <f>IFERROR(VLOOKUP(B598,'MASTER DATA'!$A$1:$E$212,4,FALSE),"")</f>
        <v/>
      </c>
      <c r="G598" s="17"/>
      <c r="H598" s="17"/>
      <c r="I598" s="17"/>
      <c r="J598" s="17" t="b">
        <v>0</v>
      </c>
    </row>
    <row r="599">
      <c r="A599" s="17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 t="str">
        <f>IFERROR(VLOOKUP(B599,'MASTER DATA'!$A$1:$E$212,4,FALSE),"")</f>
        <v/>
      </c>
      <c r="G599" s="17"/>
      <c r="H599" s="17"/>
      <c r="I599" s="17"/>
      <c r="J599" s="17" t="b">
        <v>0</v>
      </c>
    </row>
    <row r="600">
      <c r="A600" s="17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 t="str">
        <f>IFERROR(VLOOKUP(B600,'MASTER DATA'!$A$1:$E$212,4,FALSE),"")</f>
        <v/>
      </c>
      <c r="G600" s="17"/>
      <c r="H600" s="17"/>
      <c r="I600" s="17"/>
      <c r="J600" s="17" t="b">
        <v>0</v>
      </c>
    </row>
    <row r="601">
      <c r="A601" s="17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 t="str">
        <f>IFERROR(VLOOKUP(B601,'MASTER DATA'!$A$1:$E$212,4,FALSE),"")</f>
        <v/>
      </c>
      <c r="G601" s="17"/>
      <c r="H601" s="17"/>
      <c r="I601" s="17"/>
      <c r="J601" s="17" t="b">
        <v>0</v>
      </c>
    </row>
    <row r="602">
      <c r="A602" s="17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 t="str">
        <f>IFERROR(VLOOKUP(B602,'MASTER DATA'!$A$1:$E$212,4,FALSE),"")</f>
        <v/>
      </c>
      <c r="G602" s="17"/>
      <c r="H602" s="17"/>
      <c r="I602" s="17"/>
      <c r="J602" s="17" t="b">
        <v>0</v>
      </c>
    </row>
    <row r="603">
      <c r="A603" s="17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 t="str">
        <f>IFERROR(VLOOKUP(B603,'MASTER DATA'!$A$1:$E$212,4,FALSE),"")</f>
        <v/>
      </c>
      <c r="G603" s="17"/>
      <c r="H603" s="17"/>
      <c r="I603" s="17"/>
      <c r="J603" s="17" t="b">
        <v>0</v>
      </c>
    </row>
    <row r="604">
      <c r="A604" s="17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 t="str">
        <f>IFERROR(VLOOKUP(B604,'MASTER DATA'!$A$1:$E$212,4,FALSE),"")</f>
        <v/>
      </c>
      <c r="G604" s="17"/>
      <c r="H604" s="17"/>
      <c r="I604" s="17"/>
      <c r="J604" s="17" t="b">
        <v>0</v>
      </c>
    </row>
    <row r="605">
      <c r="A605" s="17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 t="str">
        <f>IFERROR(VLOOKUP(B605,'MASTER DATA'!$A$1:$E$212,4,FALSE),"")</f>
        <v/>
      </c>
      <c r="G605" s="17"/>
      <c r="H605" s="17"/>
      <c r="I605" s="17"/>
      <c r="J605" s="17" t="b">
        <v>0</v>
      </c>
    </row>
    <row r="606">
      <c r="A606" s="17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 t="str">
        <f>IFERROR(VLOOKUP(B606,'MASTER DATA'!$A$1:$E$212,4,FALSE),"")</f>
        <v/>
      </c>
      <c r="G606" s="17"/>
      <c r="H606" s="17"/>
      <c r="I606" s="17"/>
      <c r="J606" s="17" t="b">
        <v>0</v>
      </c>
    </row>
    <row r="607">
      <c r="A607" s="17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 t="str">
        <f>IFERROR(VLOOKUP(B607,'MASTER DATA'!$A$1:$E$212,4,FALSE),"")</f>
        <v/>
      </c>
      <c r="G607" s="17"/>
      <c r="H607" s="17"/>
      <c r="I607" s="17"/>
      <c r="J607" s="17" t="b">
        <v>0</v>
      </c>
    </row>
    <row r="608">
      <c r="A608" s="17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 t="str">
        <f>IFERROR(VLOOKUP(B608,'MASTER DATA'!$A$1:$E$212,4,FALSE),"")</f>
        <v/>
      </c>
      <c r="G608" s="17"/>
      <c r="H608" s="17"/>
      <c r="I608" s="17"/>
      <c r="J608" s="17" t="b">
        <v>0</v>
      </c>
    </row>
    <row r="609">
      <c r="A609" s="17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 t="str">
        <f>IFERROR(VLOOKUP(B609,'MASTER DATA'!$A$1:$E$212,4,FALSE),"")</f>
        <v/>
      </c>
      <c r="G609" s="17"/>
      <c r="H609" s="17"/>
      <c r="I609" s="17"/>
      <c r="J609" s="17" t="b">
        <v>0</v>
      </c>
    </row>
    <row r="610">
      <c r="A610" s="17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 t="str">
        <f>IFERROR(VLOOKUP(B610,'MASTER DATA'!$A$1:$E$212,4,FALSE),"")</f>
        <v/>
      </c>
      <c r="G610" s="17"/>
      <c r="H610" s="17"/>
      <c r="I610" s="17"/>
      <c r="J610" s="17" t="b">
        <v>0</v>
      </c>
    </row>
    <row r="611">
      <c r="A611" s="17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 t="str">
        <f>IFERROR(VLOOKUP(B611,'MASTER DATA'!$A$1:$E$212,4,FALSE),"")</f>
        <v/>
      </c>
      <c r="G611" s="17"/>
      <c r="H611" s="17"/>
      <c r="I611" s="17"/>
      <c r="J611" s="17" t="b">
        <v>0</v>
      </c>
    </row>
    <row r="612">
      <c r="A612" s="17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 t="str">
        <f>IFERROR(VLOOKUP(B612,'MASTER DATA'!$A$1:$E$212,4,FALSE),"")</f>
        <v/>
      </c>
      <c r="G612" s="17"/>
      <c r="H612" s="17"/>
      <c r="I612" s="17"/>
      <c r="J612" s="17" t="b">
        <v>0</v>
      </c>
    </row>
    <row r="613">
      <c r="A613" s="17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 t="str">
        <f>IFERROR(VLOOKUP(B613,'MASTER DATA'!$A$1:$E$212,4,FALSE),"")</f>
        <v/>
      </c>
      <c r="G613" s="17"/>
      <c r="H613" s="17"/>
      <c r="I613" s="17"/>
      <c r="J613" s="17" t="b">
        <v>0</v>
      </c>
    </row>
    <row r="614">
      <c r="A614" s="17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 t="str">
        <f>IFERROR(VLOOKUP(B614,'MASTER DATA'!$A$1:$E$212,4,FALSE),"")</f>
        <v/>
      </c>
      <c r="G614" s="17"/>
      <c r="H614" s="17"/>
      <c r="I614" s="17"/>
      <c r="J614" s="17" t="b">
        <v>0</v>
      </c>
    </row>
    <row r="615">
      <c r="A615" s="17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 t="str">
        <f>IFERROR(VLOOKUP(B615,'MASTER DATA'!$A$1:$E$212,4,FALSE),"")</f>
        <v/>
      </c>
      <c r="G615" s="17"/>
      <c r="H615" s="17"/>
      <c r="I615" s="17"/>
      <c r="J615" s="17" t="b">
        <v>0</v>
      </c>
    </row>
    <row r="616">
      <c r="A616" s="17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 t="str">
        <f>IFERROR(VLOOKUP(B616,'MASTER DATA'!$A$1:$E$212,4,FALSE),"")</f>
        <v/>
      </c>
      <c r="G616" s="17"/>
      <c r="H616" s="17"/>
      <c r="I616" s="17"/>
      <c r="J616" s="17" t="b">
        <v>0</v>
      </c>
    </row>
    <row r="617">
      <c r="A617" s="17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 t="str">
        <f>IFERROR(VLOOKUP(B617,'MASTER DATA'!$A$1:$E$212,4,FALSE),"")</f>
        <v/>
      </c>
      <c r="G617" s="17"/>
      <c r="H617" s="17"/>
      <c r="I617" s="17"/>
      <c r="J617" s="17" t="b">
        <v>0</v>
      </c>
    </row>
    <row r="618">
      <c r="A618" s="17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 t="str">
        <f>IFERROR(VLOOKUP(B618,'MASTER DATA'!$A$1:$E$212,4,FALSE),"")</f>
        <v/>
      </c>
      <c r="G618" s="17"/>
      <c r="H618" s="17"/>
      <c r="I618" s="17"/>
      <c r="J618" s="17" t="b">
        <v>0</v>
      </c>
    </row>
    <row r="619">
      <c r="A619" s="17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 t="str">
        <f>IFERROR(VLOOKUP(B619,'MASTER DATA'!$A$1:$E$212,4,FALSE),"")</f>
        <v/>
      </c>
      <c r="G619" s="17"/>
      <c r="H619" s="17"/>
      <c r="I619" s="17"/>
      <c r="J619" s="17" t="b">
        <v>0</v>
      </c>
    </row>
    <row r="620">
      <c r="A620" s="17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 t="str">
        <f>IFERROR(VLOOKUP(B620,'MASTER DATA'!$A$1:$E$212,4,FALSE),"")</f>
        <v/>
      </c>
      <c r="G620" s="17"/>
      <c r="H620" s="17"/>
      <c r="I620" s="17"/>
      <c r="J620" s="17" t="b">
        <v>0</v>
      </c>
    </row>
    <row r="621">
      <c r="A621" s="17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 t="str">
        <f>IFERROR(VLOOKUP(B621,'MASTER DATA'!$A$1:$E$212,4,FALSE),"")</f>
        <v/>
      </c>
      <c r="G621" s="17"/>
      <c r="H621" s="17"/>
      <c r="I621" s="17"/>
      <c r="J621" s="17" t="b">
        <v>0</v>
      </c>
    </row>
    <row r="622">
      <c r="A622" s="17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 t="str">
        <f>IFERROR(VLOOKUP(B622,'MASTER DATA'!$A$1:$E$212,4,FALSE),"")</f>
        <v/>
      </c>
      <c r="G622" s="17"/>
      <c r="H622" s="17"/>
      <c r="I622" s="17"/>
      <c r="J622" s="17" t="b">
        <v>0</v>
      </c>
    </row>
    <row r="623">
      <c r="A623" s="17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 t="str">
        <f>IFERROR(VLOOKUP(B623,'MASTER DATA'!$A$1:$E$212,4,FALSE),"")</f>
        <v/>
      </c>
      <c r="G623" s="17"/>
      <c r="H623" s="17"/>
      <c r="I623" s="17"/>
      <c r="J623" s="17" t="b">
        <v>0</v>
      </c>
    </row>
    <row r="624">
      <c r="A624" s="17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 t="str">
        <f>IFERROR(VLOOKUP(B624,'MASTER DATA'!$A$1:$E$212,4,FALSE),"")</f>
        <v/>
      </c>
      <c r="G624" s="17"/>
      <c r="H624" s="17"/>
      <c r="I624" s="17"/>
      <c r="J624" s="17" t="b">
        <v>0</v>
      </c>
    </row>
    <row r="625">
      <c r="A625" s="17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 t="str">
        <f>IFERROR(VLOOKUP(B625,'MASTER DATA'!$A$1:$E$212,4,FALSE),"")</f>
        <v/>
      </c>
      <c r="G625" s="17"/>
      <c r="H625" s="17"/>
      <c r="I625" s="17"/>
      <c r="J625" s="17" t="b">
        <v>0</v>
      </c>
    </row>
    <row r="626">
      <c r="A626" s="17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 t="str">
        <f>IFERROR(VLOOKUP(B626,'MASTER DATA'!$A$1:$E$212,4,FALSE),"")</f>
        <v/>
      </c>
      <c r="G626" s="17"/>
      <c r="H626" s="17"/>
      <c r="I626" s="17"/>
      <c r="J626" s="17" t="b">
        <v>0</v>
      </c>
    </row>
    <row r="627">
      <c r="A627" s="17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 t="str">
        <f>IFERROR(VLOOKUP(B627,'MASTER DATA'!$A$1:$E$212,4,FALSE),"")</f>
        <v/>
      </c>
      <c r="G627" s="17"/>
      <c r="H627" s="17"/>
      <c r="I627" s="17"/>
      <c r="J627" s="17" t="b">
        <v>0</v>
      </c>
    </row>
    <row r="628">
      <c r="A628" s="17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 t="str">
        <f>IFERROR(VLOOKUP(B628,'MASTER DATA'!$A$1:$E$212,4,FALSE),"")</f>
        <v/>
      </c>
      <c r="G628" s="17"/>
      <c r="H628" s="17"/>
      <c r="I628" s="17"/>
      <c r="J628" s="17" t="b">
        <v>0</v>
      </c>
    </row>
    <row r="629">
      <c r="A629" s="17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 t="str">
        <f>IFERROR(VLOOKUP(B629,'MASTER DATA'!$A$1:$E$212,4,FALSE),"")</f>
        <v/>
      </c>
      <c r="G629" s="17"/>
      <c r="H629" s="17"/>
      <c r="I629" s="17"/>
      <c r="J629" s="17" t="b">
        <v>0</v>
      </c>
    </row>
    <row r="630">
      <c r="A630" s="17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 t="str">
        <f>IFERROR(VLOOKUP(B630,'MASTER DATA'!$A$1:$E$212,4,FALSE),"")</f>
        <v/>
      </c>
      <c r="G630" s="17"/>
      <c r="H630" s="17"/>
      <c r="I630" s="17"/>
      <c r="J630" s="17" t="b">
        <v>0</v>
      </c>
    </row>
    <row r="631">
      <c r="A631" s="17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 t="str">
        <f>IFERROR(VLOOKUP(B631,'MASTER DATA'!$A$1:$E$212,4,FALSE),"")</f>
        <v/>
      </c>
      <c r="G631" s="17"/>
      <c r="H631" s="17"/>
      <c r="I631" s="17"/>
      <c r="J631" s="17" t="b">
        <v>0</v>
      </c>
    </row>
    <row r="632">
      <c r="A632" s="17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 t="str">
        <f>IFERROR(VLOOKUP(B632,'MASTER DATA'!$A$1:$E$212,4,FALSE),"")</f>
        <v/>
      </c>
      <c r="G632" s="17"/>
      <c r="H632" s="17"/>
      <c r="I632" s="17"/>
      <c r="J632" s="17" t="b">
        <v>0</v>
      </c>
    </row>
    <row r="633">
      <c r="A633" s="17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 t="str">
        <f>IFERROR(VLOOKUP(B633,'MASTER DATA'!$A$1:$E$212,4,FALSE),"")</f>
        <v/>
      </c>
      <c r="G633" s="17"/>
      <c r="H633" s="17"/>
      <c r="I633" s="17"/>
      <c r="J633" s="17" t="b">
        <v>0</v>
      </c>
    </row>
    <row r="634">
      <c r="A634" s="17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 t="str">
        <f>IFERROR(VLOOKUP(B634,'MASTER DATA'!$A$1:$E$212,4,FALSE),"")</f>
        <v/>
      </c>
      <c r="G634" s="17"/>
      <c r="H634" s="17"/>
      <c r="I634" s="17"/>
      <c r="J634" s="17" t="b">
        <v>0</v>
      </c>
    </row>
    <row r="635">
      <c r="A635" s="17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 t="str">
        <f>IFERROR(VLOOKUP(B635,'MASTER DATA'!$A$1:$E$212,4,FALSE),"")</f>
        <v/>
      </c>
      <c r="G635" s="17"/>
      <c r="H635" s="17"/>
      <c r="I635" s="17"/>
      <c r="J635" s="17" t="b">
        <v>0</v>
      </c>
    </row>
    <row r="636">
      <c r="A636" s="17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 t="str">
        <f>IFERROR(VLOOKUP(B636,'MASTER DATA'!$A$1:$E$212,4,FALSE),"")</f>
        <v/>
      </c>
      <c r="G636" s="17"/>
      <c r="H636" s="17"/>
      <c r="I636" s="17"/>
      <c r="J636" s="17" t="b">
        <v>0</v>
      </c>
    </row>
    <row r="637">
      <c r="A637" s="17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 t="str">
        <f>IFERROR(VLOOKUP(B637,'MASTER DATA'!$A$1:$E$212,4,FALSE),"")</f>
        <v/>
      </c>
      <c r="G637" s="17"/>
      <c r="H637" s="17"/>
      <c r="I637" s="17"/>
      <c r="J637" s="17" t="b">
        <v>0</v>
      </c>
    </row>
    <row r="638">
      <c r="A638" s="17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 t="str">
        <f>IFERROR(VLOOKUP(B638,'MASTER DATA'!$A$1:$E$212,4,FALSE),"")</f>
        <v/>
      </c>
      <c r="G638" s="17"/>
      <c r="H638" s="17"/>
      <c r="I638" s="17"/>
      <c r="J638" s="17" t="b">
        <v>0</v>
      </c>
    </row>
    <row r="639">
      <c r="A639" s="17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 t="str">
        <f>IFERROR(VLOOKUP(B639,'MASTER DATA'!$A$1:$E$212,4,FALSE),"")</f>
        <v/>
      </c>
      <c r="G639" s="17"/>
      <c r="H639" s="17"/>
      <c r="I639" s="17"/>
      <c r="J639" s="17" t="b">
        <v>0</v>
      </c>
    </row>
    <row r="640">
      <c r="A640" s="17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 t="str">
        <f>IFERROR(VLOOKUP(B640,'MASTER DATA'!$A$1:$E$212,4,FALSE),"")</f>
        <v/>
      </c>
      <c r="G640" s="17"/>
      <c r="H640" s="17"/>
      <c r="I640" s="17"/>
      <c r="J640" s="17" t="b">
        <v>0</v>
      </c>
    </row>
    <row r="641">
      <c r="A641" s="17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 t="str">
        <f>IFERROR(VLOOKUP(B641,'MASTER DATA'!$A$1:$E$212,4,FALSE),"")</f>
        <v/>
      </c>
      <c r="G641" s="17"/>
      <c r="H641" s="17"/>
      <c r="I641" s="17"/>
      <c r="J641" s="17" t="b">
        <v>0</v>
      </c>
    </row>
    <row r="642">
      <c r="A642" s="17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 t="str">
        <f>IFERROR(VLOOKUP(B642,'MASTER DATA'!$A$1:$E$212,4,FALSE),"")</f>
        <v/>
      </c>
      <c r="G642" s="17"/>
      <c r="H642" s="17"/>
      <c r="I642" s="17"/>
      <c r="J642" s="17" t="b">
        <v>0</v>
      </c>
    </row>
    <row r="643">
      <c r="A643" s="17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 t="str">
        <f>IFERROR(VLOOKUP(B643,'MASTER DATA'!$A$1:$E$212,4,FALSE),"")</f>
        <v/>
      </c>
      <c r="G643" s="17"/>
      <c r="H643" s="17"/>
      <c r="I643" s="17"/>
      <c r="J643" s="17" t="b">
        <v>0</v>
      </c>
    </row>
    <row r="644">
      <c r="A644" s="17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 t="str">
        <f>IFERROR(VLOOKUP(B644,'MASTER DATA'!$A$1:$E$212,4,FALSE),"")</f>
        <v/>
      </c>
      <c r="G644" s="17"/>
      <c r="H644" s="17"/>
      <c r="I644" s="17"/>
      <c r="J644" s="17" t="b">
        <v>0</v>
      </c>
    </row>
    <row r="645">
      <c r="A645" s="17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 t="str">
        <f>IFERROR(VLOOKUP(B645,'MASTER DATA'!$A$1:$E$212,4,FALSE),"")</f>
        <v/>
      </c>
      <c r="G645" s="17"/>
      <c r="H645" s="17"/>
      <c r="I645" s="17"/>
      <c r="J645" s="17" t="b">
        <v>0</v>
      </c>
    </row>
    <row r="646">
      <c r="A646" s="17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 t="str">
        <f>IFERROR(VLOOKUP(B646,'MASTER DATA'!$A$1:$E$212,4,FALSE),"")</f>
        <v/>
      </c>
      <c r="G646" s="17"/>
      <c r="H646" s="17"/>
      <c r="I646" s="17"/>
      <c r="J646" s="17" t="b">
        <v>0</v>
      </c>
    </row>
    <row r="647">
      <c r="A647" s="17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 t="str">
        <f>IFERROR(VLOOKUP(B647,'MASTER DATA'!$A$1:$E$212,4,FALSE),"")</f>
        <v/>
      </c>
      <c r="G647" s="17"/>
      <c r="H647" s="17"/>
      <c r="I647" s="17"/>
      <c r="J647" s="17" t="b">
        <v>0</v>
      </c>
    </row>
    <row r="648">
      <c r="A648" s="17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 t="str">
        <f>IFERROR(VLOOKUP(B648,'MASTER DATA'!$A$1:$E$212,4,FALSE),"")</f>
        <v/>
      </c>
      <c r="G648" s="17"/>
      <c r="H648" s="17"/>
      <c r="I648" s="17"/>
      <c r="J648" s="17" t="b">
        <v>0</v>
      </c>
    </row>
    <row r="649">
      <c r="A649" s="17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 t="str">
        <f>IFERROR(VLOOKUP(B649,'MASTER DATA'!$A$1:$E$212,4,FALSE),"")</f>
        <v/>
      </c>
      <c r="G649" s="17"/>
      <c r="H649" s="17"/>
      <c r="I649" s="17"/>
      <c r="J649" s="17" t="b">
        <v>0</v>
      </c>
    </row>
    <row r="650">
      <c r="A650" s="17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 t="str">
        <f>IFERROR(VLOOKUP(B650,'MASTER DATA'!$A$1:$E$212,4,FALSE),"")</f>
        <v/>
      </c>
      <c r="G650" s="17"/>
      <c r="H650" s="17"/>
      <c r="I650" s="17"/>
      <c r="J650" s="17" t="b">
        <v>0</v>
      </c>
    </row>
    <row r="651">
      <c r="A651" s="17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 t="str">
        <f>IFERROR(VLOOKUP(B651,'MASTER DATA'!$A$1:$E$212,4,FALSE),"")</f>
        <v/>
      </c>
      <c r="G651" s="17"/>
      <c r="H651" s="17"/>
      <c r="I651" s="17"/>
      <c r="J651" s="17" t="b">
        <v>0</v>
      </c>
    </row>
    <row r="652">
      <c r="A652" s="17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 t="str">
        <f>IFERROR(VLOOKUP(B652,'MASTER DATA'!$A$1:$E$212,4,FALSE),"")</f>
        <v/>
      </c>
      <c r="G652" s="17"/>
      <c r="H652" s="17"/>
      <c r="I652" s="17"/>
      <c r="J652" s="17" t="b">
        <v>0</v>
      </c>
    </row>
    <row r="653">
      <c r="A653" s="17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 t="str">
        <f>IFERROR(VLOOKUP(B653,'MASTER DATA'!$A$1:$E$212,4,FALSE),"")</f>
        <v/>
      </c>
      <c r="G653" s="17"/>
      <c r="H653" s="17"/>
      <c r="I653" s="17"/>
      <c r="J653" s="17" t="b">
        <v>0</v>
      </c>
    </row>
    <row r="654">
      <c r="A654" s="17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 t="str">
        <f>IFERROR(VLOOKUP(B654,'MASTER DATA'!$A$1:$E$212,4,FALSE),"")</f>
        <v/>
      </c>
      <c r="G654" s="17"/>
      <c r="H654" s="17"/>
      <c r="I654" s="17"/>
      <c r="J654" s="17" t="b">
        <v>0</v>
      </c>
    </row>
    <row r="655">
      <c r="A655" s="17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 t="str">
        <f>IFERROR(VLOOKUP(B655,'MASTER DATA'!$A$1:$E$212,4,FALSE),"")</f>
        <v/>
      </c>
      <c r="G655" s="17"/>
      <c r="H655" s="17"/>
      <c r="I655" s="17"/>
      <c r="J655" s="17" t="b">
        <v>0</v>
      </c>
    </row>
    <row r="656">
      <c r="A656" s="17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 t="str">
        <f>IFERROR(VLOOKUP(B656,'MASTER DATA'!$A$1:$E$212,4,FALSE),"")</f>
        <v/>
      </c>
      <c r="G656" s="17"/>
      <c r="H656" s="17"/>
      <c r="I656" s="17"/>
      <c r="J656" s="17" t="b">
        <v>0</v>
      </c>
    </row>
    <row r="657">
      <c r="A657" s="17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 t="str">
        <f>IFERROR(VLOOKUP(B657,'MASTER DATA'!$A$1:$E$212,4,FALSE),"")</f>
        <v/>
      </c>
      <c r="G657" s="17"/>
      <c r="H657" s="17"/>
      <c r="I657" s="17"/>
      <c r="J657" s="17" t="b">
        <v>0</v>
      </c>
    </row>
    <row r="658">
      <c r="A658" s="17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 t="str">
        <f>IFERROR(VLOOKUP(B658,'MASTER DATA'!$A$1:$E$212,4,FALSE),"")</f>
        <v/>
      </c>
      <c r="G658" s="17"/>
      <c r="H658" s="17"/>
      <c r="I658" s="17"/>
      <c r="J658" s="17" t="b">
        <v>0</v>
      </c>
    </row>
    <row r="659">
      <c r="A659" s="17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 t="str">
        <f>IFERROR(VLOOKUP(B659,'MASTER DATA'!$A$1:$E$212,4,FALSE),"")</f>
        <v/>
      </c>
      <c r="G659" s="17"/>
      <c r="H659" s="17"/>
      <c r="I659" s="17"/>
      <c r="J659" s="17" t="b">
        <v>0</v>
      </c>
    </row>
    <row r="660">
      <c r="A660" s="17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 t="str">
        <f>IFERROR(VLOOKUP(B660,'MASTER DATA'!$A$1:$E$212,4,FALSE),"")</f>
        <v/>
      </c>
      <c r="G660" s="17"/>
      <c r="H660" s="17"/>
      <c r="I660" s="17"/>
      <c r="J660" s="17" t="b">
        <v>0</v>
      </c>
    </row>
    <row r="661">
      <c r="A661" s="17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 t="str">
        <f>IFERROR(VLOOKUP(B661,'MASTER DATA'!$A$1:$E$212,4,FALSE),"")</f>
        <v/>
      </c>
      <c r="G661" s="17"/>
      <c r="H661" s="17"/>
      <c r="I661" s="17"/>
      <c r="J661" s="17" t="b">
        <v>0</v>
      </c>
    </row>
    <row r="662">
      <c r="A662" s="17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 t="str">
        <f>IFERROR(VLOOKUP(B662,'MASTER DATA'!$A$1:$E$212,4,FALSE),"")</f>
        <v/>
      </c>
      <c r="G662" s="17"/>
      <c r="H662" s="17"/>
      <c r="I662" s="17"/>
      <c r="J662" s="17" t="b">
        <v>0</v>
      </c>
    </row>
    <row r="663">
      <c r="A663" s="17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 t="str">
        <f>IFERROR(VLOOKUP(B663,'MASTER DATA'!$A$1:$E$212,4,FALSE),"")</f>
        <v/>
      </c>
      <c r="G663" s="17"/>
      <c r="H663" s="17"/>
      <c r="I663" s="17"/>
      <c r="J663" s="17" t="b">
        <v>0</v>
      </c>
    </row>
    <row r="664">
      <c r="A664" s="17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 t="str">
        <f>IFERROR(VLOOKUP(B664,'MASTER DATA'!$A$1:$E$212,4,FALSE),"")</f>
        <v/>
      </c>
      <c r="G664" s="17"/>
      <c r="H664" s="17"/>
      <c r="I664" s="17"/>
      <c r="J664" s="17" t="b">
        <v>0</v>
      </c>
    </row>
    <row r="665">
      <c r="A665" s="17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 t="str">
        <f>IFERROR(VLOOKUP(B665,'MASTER DATA'!$A$1:$E$212,4,FALSE),"")</f>
        <v/>
      </c>
      <c r="G665" s="17"/>
      <c r="H665" s="17"/>
      <c r="I665" s="17"/>
      <c r="J665" s="17" t="b">
        <v>0</v>
      </c>
    </row>
    <row r="666">
      <c r="A666" s="17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 t="str">
        <f>IFERROR(VLOOKUP(B666,'MASTER DATA'!$A$1:$E$212,4,FALSE),"")</f>
        <v/>
      </c>
      <c r="G666" s="17"/>
      <c r="H666" s="17"/>
      <c r="I666" s="17"/>
      <c r="J666" s="17" t="b">
        <v>0</v>
      </c>
    </row>
    <row r="667">
      <c r="A667" s="17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 t="str">
        <f>IFERROR(VLOOKUP(B667,'MASTER DATA'!$A$1:$E$212,4,FALSE),"")</f>
        <v/>
      </c>
      <c r="G667" s="17"/>
      <c r="H667" s="17"/>
      <c r="I667" s="17"/>
      <c r="J667" s="17" t="b">
        <v>0</v>
      </c>
    </row>
    <row r="668">
      <c r="A668" s="17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 t="str">
        <f>IFERROR(VLOOKUP(B668,'MASTER DATA'!$A$1:$E$212,4,FALSE),"")</f>
        <v/>
      </c>
      <c r="G668" s="17"/>
      <c r="H668" s="17"/>
      <c r="I668" s="17"/>
      <c r="J668" s="17" t="b">
        <v>0</v>
      </c>
    </row>
    <row r="669">
      <c r="A669" s="17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 t="str">
        <f>IFERROR(VLOOKUP(B669,'MASTER DATA'!$A$1:$E$212,4,FALSE),"")</f>
        <v/>
      </c>
      <c r="G669" s="17"/>
      <c r="H669" s="17"/>
      <c r="I669" s="17"/>
      <c r="J669" s="17" t="b">
        <v>0</v>
      </c>
    </row>
    <row r="670">
      <c r="A670" s="17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 t="str">
        <f>IFERROR(VLOOKUP(B670,'MASTER DATA'!$A$1:$E$212,4,FALSE),"")</f>
        <v/>
      </c>
      <c r="G670" s="17"/>
      <c r="H670" s="17"/>
      <c r="I670" s="17"/>
      <c r="J670" s="17" t="b">
        <v>0</v>
      </c>
    </row>
    <row r="671">
      <c r="A671" s="17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 t="str">
        <f>IFERROR(VLOOKUP(B671,'MASTER DATA'!$A$1:$E$212,4,FALSE),"")</f>
        <v/>
      </c>
      <c r="G671" s="17"/>
      <c r="H671" s="17"/>
      <c r="I671" s="17"/>
      <c r="J671" s="17" t="b">
        <v>0</v>
      </c>
    </row>
    <row r="672">
      <c r="A672" s="17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 t="str">
        <f>IFERROR(VLOOKUP(B672,'MASTER DATA'!$A$1:$E$212,4,FALSE),"")</f>
        <v/>
      </c>
      <c r="G672" s="17"/>
      <c r="H672" s="17"/>
      <c r="I672" s="17"/>
      <c r="J672" s="17" t="b">
        <v>0</v>
      </c>
    </row>
    <row r="673">
      <c r="A673" s="17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 t="str">
        <f>IFERROR(VLOOKUP(B673,'MASTER DATA'!$A$1:$E$212,4,FALSE),"")</f>
        <v/>
      </c>
      <c r="G673" s="17"/>
      <c r="H673" s="17"/>
      <c r="I673" s="17"/>
      <c r="J673" s="17" t="b">
        <v>0</v>
      </c>
    </row>
    <row r="674">
      <c r="A674" s="17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 t="str">
        <f>IFERROR(VLOOKUP(B674,'MASTER DATA'!$A$1:$E$212,4,FALSE),"")</f>
        <v/>
      </c>
      <c r="G674" s="17"/>
      <c r="H674" s="17"/>
      <c r="I674" s="17"/>
      <c r="J674" s="17" t="b">
        <v>0</v>
      </c>
    </row>
    <row r="675">
      <c r="A675" s="17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 t="str">
        <f>IFERROR(VLOOKUP(B675,'MASTER DATA'!$A$1:$E$212,4,FALSE),"")</f>
        <v/>
      </c>
      <c r="G675" s="17"/>
      <c r="H675" s="17"/>
      <c r="I675" s="17"/>
      <c r="J675" s="17" t="b">
        <v>0</v>
      </c>
    </row>
    <row r="676">
      <c r="A676" s="17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 t="str">
        <f>IFERROR(VLOOKUP(B676,'MASTER DATA'!$A$1:$E$212,4,FALSE),"")</f>
        <v/>
      </c>
      <c r="G676" s="17"/>
      <c r="H676" s="17"/>
      <c r="I676" s="17"/>
      <c r="J676" s="17" t="b">
        <v>0</v>
      </c>
    </row>
    <row r="677">
      <c r="A677" s="17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 t="str">
        <f>IFERROR(VLOOKUP(B677,'MASTER DATA'!$A$1:$E$212,4,FALSE),"")</f>
        <v/>
      </c>
      <c r="G677" s="17"/>
      <c r="H677" s="17"/>
      <c r="I677" s="17"/>
      <c r="J677" s="17" t="b">
        <v>0</v>
      </c>
    </row>
    <row r="678">
      <c r="A678" s="17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 t="str">
        <f>IFERROR(VLOOKUP(B678,'MASTER DATA'!$A$1:$E$212,4,FALSE),"")</f>
        <v/>
      </c>
      <c r="G678" s="17"/>
      <c r="H678" s="17"/>
      <c r="I678" s="17"/>
      <c r="J678" s="17" t="b">
        <v>0</v>
      </c>
    </row>
    <row r="679">
      <c r="A679" s="17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 t="str">
        <f>IFERROR(VLOOKUP(B679,'MASTER DATA'!$A$1:$E$212,4,FALSE),"")</f>
        <v/>
      </c>
      <c r="G679" s="17"/>
      <c r="H679" s="17"/>
      <c r="I679" s="17"/>
      <c r="J679" s="17" t="b">
        <v>0</v>
      </c>
    </row>
    <row r="680">
      <c r="A680" s="17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 t="str">
        <f>IFERROR(VLOOKUP(B680,'MASTER DATA'!$A$1:$E$212,4,FALSE),"")</f>
        <v/>
      </c>
      <c r="G680" s="17"/>
      <c r="H680" s="17"/>
      <c r="I680" s="17"/>
      <c r="J680" s="17" t="b">
        <v>0</v>
      </c>
    </row>
    <row r="681">
      <c r="A681" s="17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 t="str">
        <f>IFERROR(VLOOKUP(B681,'MASTER DATA'!$A$1:$E$212,4,FALSE),"")</f>
        <v/>
      </c>
      <c r="G681" s="17"/>
      <c r="H681" s="17"/>
      <c r="I681" s="17"/>
      <c r="J681" s="17" t="b">
        <v>0</v>
      </c>
    </row>
    <row r="682">
      <c r="A682" s="17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 t="str">
        <f>IFERROR(VLOOKUP(B682,'MASTER DATA'!$A$1:$E$212,4,FALSE),"")</f>
        <v/>
      </c>
      <c r="G682" s="17"/>
      <c r="H682" s="17"/>
      <c r="I682" s="17"/>
      <c r="J682" s="17" t="b">
        <v>0</v>
      </c>
    </row>
    <row r="683">
      <c r="A683" s="17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 t="str">
        <f>IFERROR(VLOOKUP(B683,'MASTER DATA'!$A$1:$E$212,4,FALSE),"")</f>
        <v/>
      </c>
      <c r="G683" s="17"/>
      <c r="H683" s="17"/>
      <c r="I683" s="17"/>
      <c r="J683" s="17" t="b">
        <v>0</v>
      </c>
    </row>
    <row r="684">
      <c r="A684" s="17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 t="str">
        <f>IFERROR(VLOOKUP(B684,'MASTER DATA'!$A$1:$E$212,4,FALSE),"")</f>
        <v/>
      </c>
      <c r="G684" s="17"/>
      <c r="H684" s="17"/>
      <c r="I684" s="17"/>
      <c r="J684" s="17" t="b">
        <v>0</v>
      </c>
    </row>
    <row r="685">
      <c r="A685" s="17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 t="str">
        <f>IFERROR(VLOOKUP(B685,'MASTER DATA'!$A$1:$E$212,4,FALSE),"")</f>
        <v/>
      </c>
      <c r="G685" s="17"/>
      <c r="H685" s="17"/>
      <c r="I685" s="17"/>
      <c r="J685" s="17" t="b">
        <v>0</v>
      </c>
    </row>
    <row r="686">
      <c r="A686" s="17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 t="str">
        <f>IFERROR(VLOOKUP(B686,'MASTER DATA'!$A$1:$E$212,4,FALSE),"")</f>
        <v/>
      </c>
      <c r="G686" s="17"/>
      <c r="H686" s="17"/>
      <c r="I686" s="17"/>
      <c r="J686" s="17" t="b">
        <v>0</v>
      </c>
    </row>
    <row r="687">
      <c r="A687" s="17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 t="str">
        <f>IFERROR(VLOOKUP(B687,'MASTER DATA'!$A$1:$E$212,4,FALSE),"")</f>
        <v/>
      </c>
      <c r="G687" s="17"/>
      <c r="H687" s="17"/>
      <c r="I687" s="17"/>
      <c r="J687" s="17" t="b">
        <v>0</v>
      </c>
    </row>
    <row r="688">
      <c r="A688" s="17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 t="str">
        <f>IFERROR(VLOOKUP(B688,'MASTER DATA'!$A$1:$E$212,4,FALSE),"")</f>
        <v/>
      </c>
      <c r="G688" s="17"/>
      <c r="H688" s="17"/>
      <c r="I688" s="17"/>
      <c r="J688" s="17" t="b">
        <v>0</v>
      </c>
    </row>
    <row r="689">
      <c r="A689" s="17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 t="str">
        <f>IFERROR(VLOOKUP(B689,'MASTER DATA'!$A$1:$E$212,4,FALSE),"")</f>
        <v/>
      </c>
      <c r="G689" s="17"/>
      <c r="H689" s="17"/>
      <c r="I689" s="17"/>
      <c r="J689" s="17" t="b">
        <v>0</v>
      </c>
    </row>
    <row r="690">
      <c r="A690" s="17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 t="str">
        <f>IFERROR(VLOOKUP(B690,'MASTER DATA'!$A$1:$E$212,4,FALSE),"")</f>
        <v/>
      </c>
      <c r="G690" s="17"/>
      <c r="H690" s="17"/>
      <c r="I690" s="17"/>
      <c r="J690" s="17" t="b">
        <v>0</v>
      </c>
    </row>
    <row r="691">
      <c r="A691" s="17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 t="str">
        <f>IFERROR(VLOOKUP(B691,'MASTER DATA'!$A$1:$E$212,4,FALSE),"")</f>
        <v/>
      </c>
      <c r="G691" s="17"/>
      <c r="H691" s="17"/>
      <c r="I691" s="17"/>
      <c r="J691" s="17" t="b">
        <v>0</v>
      </c>
    </row>
    <row r="692">
      <c r="A692" s="17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 t="str">
        <f>IFERROR(VLOOKUP(B692,'MASTER DATA'!$A$1:$E$212,4,FALSE),"")</f>
        <v/>
      </c>
      <c r="G692" s="17"/>
      <c r="H692" s="17"/>
      <c r="I692" s="17"/>
      <c r="J692" s="17" t="b">
        <v>0</v>
      </c>
    </row>
    <row r="693">
      <c r="A693" s="17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 t="str">
        <f>IFERROR(VLOOKUP(B693,'MASTER DATA'!$A$1:$E$212,4,FALSE),"")</f>
        <v/>
      </c>
      <c r="G693" s="17"/>
      <c r="H693" s="17"/>
      <c r="I693" s="17"/>
      <c r="J693" s="17" t="b">
        <v>0</v>
      </c>
    </row>
    <row r="694">
      <c r="A694" s="17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 t="str">
        <f>IFERROR(VLOOKUP(B694,'MASTER DATA'!$A$1:$E$212,4,FALSE),"")</f>
        <v/>
      </c>
      <c r="G694" s="17"/>
      <c r="H694" s="17"/>
      <c r="I694" s="17"/>
      <c r="J694" s="17" t="b">
        <v>0</v>
      </c>
    </row>
    <row r="695">
      <c r="A695" s="17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 t="str">
        <f>IFERROR(VLOOKUP(B695,'MASTER DATA'!$A$1:$E$212,4,FALSE),"")</f>
        <v/>
      </c>
      <c r="G695" s="17"/>
      <c r="H695" s="17"/>
      <c r="I695" s="17"/>
      <c r="J695" s="17" t="b">
        <v>0</v>
      </c>
    </row>
    <row r="696">
      <c r="A696" s="17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 t="str">
        <f>IFERROR(VLOOKUP(B696,'MASTER DATA'!$A$1:$E$212,4,FALSE),"")</f>
        <v/>
      </c>
      <c r="G696" s="17"/>
      <c r="H696" s="17"/>
      <c r="I696" s="17"/>
      <c r="J696" s="17" t="b">
        <v>0</v>
      </c>
    </row>
    <row r="697">
      <c r="A697" s="17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 t="str">
        <f>IFERROR(VLOOKUP(B697,'MASTER DATA'!$A$1:$E$212,4,FALSE),"")</f>
        <v/>
      </c>
      <c r="G697" s="17"/>
      <c r="H697" s="17"/>
      <c r="I697" s="17"/>
      <c r="J697" s="17" t="b">
        <v>0</v>
      </c>
    </row>
    <row r="698">
      <c r="A698" s="17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 t="str">
        <f>IFERROR(VLOOKUP(B698,'MASTER DATA'!$A$1:$E$212,4,FALSE),"")</f>
        <v/>
      </c>
      <c r="G698" s="17"/>
      <c r="H698" s="17"/>
      <c r="I698" s="17"/>
      <c r="J698" s="17" t="b">
        <v>0</v>
      </c>
    </row>
    <row r="699">
      <c r="A699" s="17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 t="str">
        <f>IFERROR(VLOOKUP(B699,'MASTER DATA'!$A$1:$E$212,4,FALSE),"")</f>
        <v/>
      </c>
      <c r="G699" s="17"/>
      <c r="H699" s="17"/>
      <c r="I699" s="17"/>
      <c r="J699" s="17" t="b">
        <v>0</v>
      </c>
    </row>
    <row r="700">
      <c r="A700" s="17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 t="str">
        <f>IFERROR(VLOOKUP(B700,'MASTER DATA'!$A$1:$E$212,4,FALSE),"")</f>
        <v/>
      </c>
      <c r="G700" s="17"/>
      <c r="H700" s="17"/>
      <c r="I700" s="17"/>
      <c r="J700" s="17" t="b">
        <v>0</v>
      </c>
    </row>
    <row r="701">
      <c r="A701" s="17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 t="str">
        <f>IFERROR(VLOOKUP(B701,'MASTER DATA'!$A$1:$E$212,4,FALSE),"")</f>
        <v/>
      </c>
      <c r="G701" s="17"/>
      <c r="H701" s="17"/>
      <c r="I701" s="17"/>
      <c r="J701" s="17" t="b">
        <v>0</v>
      </c>
    </row>
    <row r="702">
      <c r="A702" s="17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 t="str">
        <f>IFERROR(VLOOKUP(B702,'MASTER DATA'!$A$1:$E$212,4,FALSE),"")</f>
        <v/>
      </c>
      <c r="G702" s="17"/>
      <c r="H702" s="17"/>
      <c r="I702" s="17"/>
      <c r="J702" s="17" t="b">
        <v>0</v>
      </c>
    </row>
    <row r="703">
      <c r="A703" s="17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 t="str">
        <f>IFERROR(VLOOKUP(B703,'MASTER DATA'!$A$1:$E$212,4,FALSE),"")</f>
        <v/>
      </c>
      <c r="G703" s="17"/>
      <c r="H703" s="17"/>
      <c r="I703" s="17"/>
      <c r="J703" s="17" t="b">
        <v>0</v>
      </c>
    </row>
    <row r="704">
      <c r="A704" s="17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 t="str">
        <f>IFERROR(VLOOKUP(B704,'MASTER DATA'!$A$1:$E$212,4,FALSE),"")</f>
        <v/>
      </c>
      <c r="G704" s="17"/>
      <c r="H704" s="17"/>
      <c r="I704" s="17"/>
      <c r="J704" s="17" t="b">
        <v>0</v>
      </c>
    </row>
    <row r="705">
      <c r="A705" s="17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 t="str">
        <f>IFERROR(VLOOKUP(B705,'MASTER DATA'!$A$1:$E$212,4,FALSE),"")</f>
        <v/>
      </c>
      <c r="G705" s="17"/>
      <c r="H705" s="17"/>
      <c r="I705" s="17"/>
      <c r="J705" s="17" t="b">
        <v>0</v>
      </c>
    </row>
    <row r="706">
      <c r="A706" s="17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 t="str">
        <f>IFERROR(VLOOKUP(B706,'MASTER DATA'!$A$1:$E$212,4,FALSE),"")</f>
        <v/>
      </c>
      <c r="G706" s="17"/>
      <c r="H706" s="17"/>
      <c r="I706" s="17"/>
      <c r="J706" s="17" t="b">
        <v>0</v>
      </c>
    </row>
    <row r="707">
      <c r="A707" s="17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 t="str">
        <f>IFERROR(VLOOKUP(B707,'MASTER DATA'!$A$1:$E$212,4,FALSE),"")</f>
        <v/>
      </c>
      <c r="G707" s="17"/>
      <c r="H707" s="17"/>
      <c r="I707" s="17"/>
      <c r="J707" s="17" t="b">
        <v>0</v>
      </c>
    </row>
    <row r="708">
      <c r="A708" s="17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 t="str">
        <f>IFERROR(VLOOKUP(B708,'MASTER DATA'!$A$1:$E$212,4,FALSE),"")</f>
        <v/>
      </c>
      <c r="G708" s="17"/>
      <c r="H708" s="17"/>
      <c r="I708" s="17"/>
      <c r="J708" s="17" t="b">
        <v>0</v>
      </c>
    </row>
    <row r="709">
      <c r="A709" s="17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 t="str">
        <f>IFERROR(VLOOKUP(B709,'MASTER DATA'!$A$1:$E$212,4,FALSE),"")</f>
        <v/>
      </c>
      <c r="G709" s="17"/>
      <c r="H709" s="17"/>
      <c r="I709" s="17"/>
      <c r="J709" s="17" t="b">
        <v>0</v>
      </c>
    </row>
    <row r="710">
      <c r="A710" s="17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 t="str">
        <f>IFERROR(VLOOKUP(B710,'MASTER DATA'!$A$1:$E$212,4,FALSE),"")</f>
        <v/>
      </c>
      <c r="G710" s="17"/>
      <c r="H710" s="17"/>
      <c r="I710" s="17"/>
      <c r="J710" s="17" t="b">
        <v>0</v>
      </c>
    </row>
    <row r="711">
      <c r="A711" s="17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 t="str">
        <f>IFERROR(VLOOKUP(B711,'MASTER DATA'!$A$1:$E$212,4,FALSE),"")</f>
        <v/>
      </c>
      <c r="G711" s="17"/>
      <c r="H711" s="17"/>
      <c r="I711" s="17"/>
      <c r="J711" s="17" t="b">
        <v>0</v>
      </c>
    </row>
    <row r="712">
      <c r="A712" s="17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 t="str">
        <f>IFERROR(VLOOKUP(B712,'MASTER DATA'!$A$1:$E$212,4,FALSE),"")</f>
        <v/>
      </c>
      <c r="G712" s="17"/>
      <c r="H712" s="17"/>
      <c r="I712" s="17"/>
      <c r="J712" s="17" t="b">
        <v>0</v>
      </c>
    </row>
    <row r="713">
      <c r="A713" s="17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 t="str">
        <f>IFERROR(VLOOKUP(B713,'MASTER DATA'!$A$1:$E$212,4,FALSE),"")</f>
        <v/>
      </c>
      <c r="G713" s="17"/>
      <c r="H713" s="17"/>
      <c r="I713" s="17"/>
      <c r="J713" s="17" t="b">
        <v>0</v>
      </c>
    </row>
    <row r="714">
      <c r="A714" s="17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 t="str">
        <f>IFERROR(VLOOKUP(B714,'MASTER DATA'!$A$1:$E$212,4,FALSE),"")</f>
        <v/>
      </c>
      <c r="G714" s="17"/>
      <c r="H714" s="17"/>
      <c r="I714" s="17"/>
      <c r="J714" s="17" t="b">
        <v>0</v>
      </c>
    </row>
    <row r="715">
      <c r="A715" s="17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 t="str">
        <f>IFERROR(VLOOKUP(B715,'MASTER DATA'!$A$1:$E$212,4,FALSE),"")</f>
        <v/>
      </c>
      <c r="G715" s="17"/>
      <c r="H715" s="17"/>
      <c r="I715" s="17"/>
      <c r="J715" s="17" t="b">
        <v>0</v>
      </c>
    </row>
    <row r="716">
      <c r="A716" s="17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 t="str">
        <f>IFERROR(VLOOKUP(B716,'MASTER DATA'!$A$1:$E$212,4,FALSE),"")</f>
        <v/>
      </c>
      <c r="G716" s="17"/>
      <c r="H716" s="17"/>
      <c r="I716" s="17"/>
      <c r="J716" s="17" t="b">
        <v>0</v>
      </c>
    </row>
    <row r="717">
      <c r="A717" s="17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 t="str">
        <f>IFERROR(VLOOKUP(B717,'MASTER DATA'!$A$1:$E$212,4,FALSE),"")</f>
        <v/>
      </c>
      <c r="G717" s="17"/>
      <c r="H717" s="17"/>
      <c r="I717" s="17"/>
      <c r="J717" s="17" t="b">
        <v>0</v>
      </c>
    </row>
    <row r="718">
      <c r="A718" s="17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 t="str">
        <f>IFERROR(VLOOKUP(B718,'MASTER DATA'!$A$1:$E$212,4,FALSE),"")</f>
        <v/>
      </c>
      <c r="G718" s="17"/>
      <c r="H718" s="17"/>
      <c r="I718" s="17"/>
      <c r="J718" s="17" t="b">
        <v>0</v>
      </c>
    </row>
    <row r="719">
      <c r="A719" s="17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 t="str">
        <f>IFERROR(VLOOKUP(B719,'MASTER DATA'!$A$1:$E$212,4,FALSE),"")</f>
        <v/>
      </c>
      <c r="G719" s="17"/>
      <c r="H719" s="17"/>
      <c r="I719" s="17"/>
      <c r="J719" s="17" t="b">
        <v>0</v>
      </c>
    </row>
    <row r="720">
      <c r="A720" s="17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 t="str">
        <f>IFERROR(VLOOKUP(B720,'MASTER DATA'!$A$1:$E$212,4,FALSE),"")</f>
        <v/>
      </c>
      <c r="G720" s="17"/>
      <c r="H720" s="17"/>
      <c r="I720" s="17"/>
      <c r="J720" s="17" t="b">
        <v>0</v>
      </c>
    </row>
    <row r="721">
      <c r="A721" s="17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 t="str">
        <f>IFERROR(VLOOKUP(B721,'MASTER DATA'!$A$1:$E$212,4,FALSE),"")</f>
        <v/>
      </c>
      <c r="G721" s="17"/>
      <c r="H721" s="17"/>
      <c r="I721" s="17"/>
      <c r="J721" s="17" t="b">
        <v>0</v>
      </c>
    </row>
    <row r="722">
      <c r="A722" s="17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 t="str">
        <f>IFERROR(VLOOKUP(B722,'MASTER DATA'!$A$1:$E$212,4,FALSE),"")</f>
        <v/>
      </c>
      <c r="G722" s="17"/>
      <c r="H722" s="17"/>
      <c r="I722" s="17"/>
      <c r="J722" s="17" t="b">
        <v>0</v>
      </c>
    </row>
    <row r="723">
      <c r="A723" s="17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 t="str">
        <f>IFERROR(VLOOKUP(B723,'MASTER DATA'!$A$1:$E$212,4,FALSE),"")</f>
        <v/>
      </c>
      <c r="G723" s="17"/>
      <c r="H723" s="17"/>
      <c r="I723" s="17"/>
      <c r="J723" s="17" t="b">
        <v>0</v>
      </c>
    </row>
    <row r="724">
      <c r="A724" s="17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 t="str">
        <f>IFERROR(VLOOKUP(B724,'MASTER DATA'!$A$1:$E$212,4,FALSE),"")</f>
        <v/>
      </c>
      <c r="G724" s="17"/>
      <c r="H724" s="17"/>
      <c r="I724" s="17"/>
      <c r="J724" s="17" t="b">
        <v>0</v>
      </c>
    </row>
    <row r="725">
      <c r="A725" s="17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 t="str">
        <f>IFERROR(VLOOKUP(B725,'MASTER DATA'!$A$1:$E$212,4,FALSE),"")</f>
        <v/>
      </c>
      <c r="G725" s="17"/>
      <c r="H725" s="17"/>
      <c r="I725" s="17"/>
      <c r="J725" s="17" t="b">
        <v>0</v>
      </c>
    </row>
    <row r="726">
      <c r="A726" s="17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 t="str">
        <f>IFERROR(VLOOKUP(B726,'MASTER DATA'!$A$1:$E$212,4,FALSE),"")</f>
        <v/>
      </c>
      <c r="G726" s="17"/>
      <c r="H726" s="17"/>
      <c r="I726" s="17"/>
      <c r="J726" s="17" t="b">
        <v>0</v>
      </c>
    </row>
    <row r="727">
      <c r="A727" s="17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 t="str">
        <f>IFERROR(VLOOKUP(B727,'MASTER DATA'!$A$1:$E$212,4,FALSE),"")</f>
        <v/>
      </c>
      <c r="G727" s="17"/>
      <c r="H727" s="17"/>
      <c r="I727" s="17"/>
      <c r="J727" s="17" t="b">
        <v>0</v>
      </c>
    </row>
    <row r="728">
      <c r="A728" s="17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 t="str">
        <f>IFERROR(VLOOKUP(B728,'MASTER DATA'!$A$1:$E$212,4,FALSE),"")</f>
        <v/>
      </c>
      <c r="G728" s="17"/>
      <c r="H728" s="17"/>
      <c r="I728" s="17"/>
      <c r="J728" s="17" t="b">
        <v>0</v>
      </c>
    </row>
    <row r="729">
      <c r="A729" s="17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 t="str">
        <f>IFERROR(VLOOKUP(B729,'MASTER DATA'!$A$1:$E$212,4,FALSE),"")</f>
        <v/>
      </c>
      <c r="G729" s="17"/>
      <c r="H729" s="17"/>
      <c r="I729" s="17"/>
      <c r="J729" s="17" t="b">
        <v>0</v>
      </c>
    </row>
    <row r="730">
      <c r="A730" s="17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 t="str">
        <f>IFERROR(VLOOKUP(B730,'MASTER DATA'!$A$1:$E$212,4,FALSE),"")</f>
        <v/>
      </c>
      <c r="G730" s="17"/>
      <c r="H730" s="17"/>
      <c r="I730" s="17"/>
      <c r="J730" s="17" t="b">
        <v>0</v>
      </c>
    </row>
    <row r="731">
      <c r="A731" s="17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 t="str">
        <f>IFERROR(VLOOKUP(B731,'MASTER DATA'!$A$1:$E$212,4,FALSE),"")</f>
        <v/>
      </c>
      <c r="G731" s="17"/>
      <c r="H731" s="17"/>
      <c r="I731" s="17"/>
      <c r="J731" s="17" t="b">
        <v>0</v>
      </c>
    </row>
    <row r="732">
      <c r="A732" s="17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 t="str">
        <f>IFERROR(VLOOKUP(B732,'MASTER DATA'!$A$1:$E$212,4,FALSE),"")</f>
        <v/>
      </c>
      <c r="G732" s="17"/>
      <c r="H732" s="17"/>
      <c r="I732" s="17"/>
      <c r="J732" s="17" t="b">
        <v>0</v>
      </c>
    </row>
    <row r="733">
      <c r="A733" s="17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 t="str">
        <f>IFERROR(VLOOKUP(B733,'MASTER DATA'!$A$1:$E$212,4,FALSE),"")</f>
        <v/>
      </c>
      <c r="G733" s="17"/>
      <c r="H733" s="17"/>
      <c r="I733" s="17"/>
      <c r="J733" s="17" t="b">
        <v>0</v>
      </c>
    </row>
    <row r="734">
      <c r="A734" s="17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 t="str">
        <f>IFERROR(VLOOKUP(B734,'MASTER DATA'!$A$1:$E$212,4,FALSE),"")</f>
        <v/>
      </c>
      <c r="G734" s="17"/>
      <c r="H734" s="17"/>
      <c r="I734" s="17"/>
      <c r="J734" s="17" t="b">
        <v>0</v>
      </c>
    </row>
    <row r="735">
      <c r="A735" s="17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 t="str">
        <f>IFERROR(VLOOKUP(B735,'MASTER DATA'!$A$1:$E$212,4,FALSE),"")</f>
        <v/>
      </c>
      <c r="G735" s="17"/>
      <c r="H735" s="17"/>
      <c r="I735" s="17"/>
      <c r="J735" s="17" t="b">
        <v>0</v>
      </c>
    </row>
    <row r="736">
      <c r="A736" s="17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 t="str">
        <f>IFERROR(VLOOKUP(B736,'MASTER DATA'!$A$1:$E$212,4,FALSE),"")</f>
        <v/>
      </c>
      <c r="G736" s="17"/>
      <c r="H736" s="17"/>
      <c r="I736" s="17"/>
      <c r="J736" s="17" t="b">
        <v>0</v>
      </c>
    </row>
    <row r="737">
      <c r="A737" s="17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 t="str">
        <f>IFERROR(VLOOKUP(B737,'MASTER DATA'!$A$1:$E$212,4,FALSE),"")</f>
        <v/>
      </c>
      <c r="G737" s="17"/>
      <c r="H737" s="17"/>
      <c r="I737" s="17"/>
      <c r="J737" s="17" t="b">
        <v>0</v>
      </c>
    </row>
    <row r="738">
      <c r="A738" s="17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 t="str">
        <f>IFERROR(VLOOKUP(B738,'MASTER DATA'!$A$1:$E$212,4,FALSE),"")</f>
        <v/>
      </c>
      <c r="G738" s="17"/>
      <c r="H738" s="17"/>
      <c r="I738" s="17"/>
      <c r="J738" s="17" t="b">
        <v>0</v>
      </c>
    </row>
    <row r="739">
      <c r="A739" s="17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 t="str">
        <f>IFERROR(VLOOKUP(B739,'MASTER DATA'!$A$1:$E$212,4,FALSE),"")</f>
        <v/>
      </c>
      <c r="G739" s="17"/>
      <c r="H739" s="17"/>
      <c r="I739" s="17"/>
      <c r="J739" s="17" t="b">
        <v>0</v>
      </c>
    </row>
    <row r="740">
      <c r="A740" s="17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 t="str">
        <f>IFERROR(VLOOKUP(B740,'MASTER DATA'!$A$1:$E$212,4,FALSE),"")</f>
        <v/>
      </c>
      <c r="G740" s="17"/>
      <c r="H740" s="17"/>
      <c r="I740" s="17"/>
      <c r="J740" s="17" t="b">
        <v>0</v>
      </c>
    </row>
    <row r="741">
      <c r="A741" s="17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 t="str">
        <f>IFERROR(VLOOKUP(B741,'MASTER DATA'!$A$1:$E$212,4,FALSE),"")</f>
        <v/>
      </c>
      <c r="G741" s="17"/>
      <c r="H741" s="17"/>
      <c r="I741" s="17"/>
      <c r="J741" s="17" t="b">
        <v>0</v>
      </c>
    </row>
    <row r="742">
      <c r="A742" s="17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 t="str">
        <f>IFERROR(VLOOKUP(B742,'MASTER DATA'!$A$1:$E$212,4,FALSE),"")</f>
        <v/>
      </c>
      <c r="G742" s="17"/>
      <c r="H742" s="17"/>
      <c r="I742" s="17"/>
      <c r="J742" s="17" t="b">
        <v>0</v>
      </c>
    </row>
    <row r="743">
      <c r="A743" s="17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 t="str">
        <f>IFERROR(VLOOKUP(B743,'MASTER DATA'!$A$1:$E$212,4,FALSE),"")</f>
        <v/>
      </c>
      <c r="G743" s="17"/>
      <c r="H743" s="17"/>
      <c r="I743" s="17"/>
      <c r="J743" s="17" t="b">
        <v>0</v>
      </c>
    </row>
    <row r="744">
      <c r="A744" s="17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 t="str">
        <f>IFERROR(VLOOKUP(B744,'MASTER DATA'!$A$1:$E$212,4,FALSE),"")</f>
        <v/>
      </c>
      <c r="G744" s="17"/>
      <c r="H744" s="17"/>
      <c r="I744" s="17"/>
      <c r="J744" s="17" t="b">
        <v>0</v>
      </c>
    </row>
    <row r="745">
      <c r="A745" s="17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 t="str">
        <f>IFERROR(VLOOKUP(B745,'MASTER DATA'!$A$1:$E$212,4,FALSE),"")</f>
        <v/>
      </c>
      <c r="G745" s="17"/>
      <c r="H745" s="17"/>
      <c r="I745" s="17"/>
      <c r="J745" s="17" t="b">
        <v>0</v>
      </c>
    </row>
    <row r="746">
      <c r="A746" s="17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 t="str">
        <f>IFERROR(VLOOKUP(B746,'MASTER DATA'!$A$1:$E$212,4,FALSE),"")</f>
        <v/>
      </c>
      <c r="G746" s="17"/>
      <c r="H746" s="17"/>
      <c r="I746" s="17"/>
      <c r="J746" s="17" t="b">
        <v>0</v>
      </c>
    </row>
    <row r="747">
      <c r="A747" s="17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 t="str">
        <f>IFERROR(VLOOKUP(B747,'MASTER DATA'!$A$1:$E$212,4,FALSE),"")</f>
        <v/>
      </c>
      <c r="G747" s="17"/>
      <c r="H747" s="17"/>
      <c r="I747" s="17"/>
      <c r="J747" s="17" t="b">
        <v>0</v>
      </c>
    </row>
    <row r="748">
      <c r="A748" s="17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 t="str">
        <f>IFERROR(VLOOKUP(B748,'MASTER DATA'!$A$1:$E$212,4,FALSE),"")</f>
        <v/>
      </c>
      <c r="G748" s="17"/>
      <c r="H748" s="17"/>
      <c r="I748" s="17"/>
      <c r="J748" s="17" t="b">
        <v>0</v>
      </c>
    </row>
    <row r="749">
      <c r="A749" s="17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 t="str">
        <f>IFERROR(VLOOKUP(B749,'MASTER DATA'!$A$1:$E$212,4,FALSE),"")</f>
        <v/>
      </c>
      <c r="G749" s="17"/>
      <c r="H749" s="17"/>
      <c r="I749" s="17"/>
      <c r="J749" s="17" t="b">
        <v>0</v>
      </c>
    </row>
    <row r="750">
      <c r="A750" s="17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 t="str">
        <f>IFERROR(VLOOKUP(B750,'MASTER DATA'!$A$1:$E$212,4,FALSE),"")</f>
        <v/>
      </c>
      <c r="G750" s="17"/>
      <c r="H750" s="17"/>
      <c r="I750" s="17"/>
      <c r="J750" s="17" t="b">
        <v>0</v>
      </c>
    </row>
    <row r="751">
      <c r="A751" s="17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 t="str">
        <f>IFERROR(VLOOKUP(B751,'MASTER DATA'!$A$1:$E$212,4,FALSE),"")</f>
        <v/>
      </c>
      <c r="G751" s="17"/>
      <c r="H751" s="17"/>
      <c r="I751" s="17"/>
      <c r="J751" s="17" t="b">
        <v>0</v>
      </c>
    </row>
    <row r="752">
      <c r="A752" s="17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 t="str">
        <f>IFERROR(VLOOKUP(B752,'MASTER DATA'!$A$1:$E$212,4,FALSE),"")</f>
        <v/>
      </c>
      <c r="G752" s="17"/>
      <c r="H752" s="17"/>
      <c r="I752" s="17"/>
      <c r="J752" s="17" t="b">
        <v>0</v>
      </c>
    </row>
    <row r="753">
      <c r="A753" s="17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 t="str">
        <f>IFERROR(VLOOKUP(B753,'MASTER DATA'!$A$1:$E$212,4,FALSE),"")</f>
        <v/>
      </c>
      <c r="G753" s="17"/>
      <c r="H753" s="17"/>
      <c r="I753" s="17"/>
      <c r="J753" s="17" t="b">
        <v>0</v>
      </c>
    </row>
    <row r="754">
      <c r="A754" s="17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 t="str">
        <f>IFERROR(VLOOKUP(B754,'MASTER DATA'!$A$1:$E$212,4,FALSE),"")</f>
        <v/>
      </c>
      <c r="G754" s="17"/>
      <c r="H754" s="17"/>
      <c r="I754" s="17"/>
      <c r="J754" s="17" t="b">
        <v>0</v>
      </c>
    </row>
    <row r="755">
      <c r="A755" s="17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 t="str">
        <f>IFERROR(VLOOKUP(B755,'MASTER DATA'!$A$1:$E$212,4,FALSE),"")</f>
        <v/>
      </c>
      <c r="G755" s="17"/>
      <c r="H755" s="17"/>
      <c r="I755" s="17"/>
      <c r="J755" s="17" t="b">
        <v>0</v>
      </c>
    </row>
    <row r="756">
      <c r="A756" s="17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 t="str">
        <f>IFERROR(VLOOKUP(B756,'MASTER DATA'!$A$1:$E$212,4,FALSE),"")</f>
        <v/>
      </c>
      <c r="G756" s="17"/>
      <c r="H756" s="17"/>
      <c r="I756" s="17"/>
      <c r="J756" s="17" t="b">
        <v>0</v>
      </c>
    </row>
    <row r="757">
      <c r="A757" s="17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 t="str">
        <f>IFERROR(VLOOKUP(B757,'MASTER DATA'!$A$1:$E$212,4,FALSE),"")</f>
        <v/>
      </c>
      <c r="G757" s="17"/>
      <c r="H757" s="17"/>
      <c r="I757" s="17"/>
      <c r="J757" s="17" t="b">
        <v>0</v>
      </c>
    </row>
    <row r="758">
      <c r="A758" s="17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 t="str">
        <f>IFERROR(VLOOKUP(B758,'MASTER DATA'!$A$1:$E$212,4,FALSE),"")</f>
        <v/>
      </c>
      <c r="G758" s="17"/>
      <c r="H758" s="17"/>
      <c r="I758" s="17"/>
      <c r="J758" s="17" t="b">
        <v>0</v>
      </c>
    </row>
    <row r="759">
      <c r="A759" s="17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 t="str">
        <f>IFERROR(VLOOKUP(B759,'MASTER DATA'!$A$1:$E$212,4,FALSE),"")</f>
        <v/>
      </c>
      <c r="G759" s="17"/>
      <c r="H759" s="17"/>
      <c r="I759" s="17"/>
      <c r="J759" s="17" t="b">
        <v>0</v>
      </c>
    </row>
    <row r="760">
      <c r="A760" s="17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 t="str">
        <f>IFERROR(VLOOKUP(B760,'MASTER DATA'!$A$1:$E$212,4,FALSE),"")</f>
        <v/>
      </c>
      <c r="G760" s="17"/>
      <c r="H760" s="17"/>
      <c r="I760" s="17"/>
      <c r="J760" s="17" t="b">
        <v>0</v>
      </c>
    </row>
    <row r="761">
      <c r="A761" s="17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 t="str">
        <f>IFERROR(VLOOKUP(B761,'MASTER DATA'!$A$1:$E$212,4,FALSE),"")</f>
        <v/>
      </c>
      <c r="G761" s="17"/>
      <c r="H761" s="17"/>
      <c r="I761" s="17"/>
      <c r="J761" s="17" t="b">
        <v>0</v>
      </c>
    </row>
    <row r="762">
      <c r="A762" s="17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 t="str">
        <f>IFERROR(VLOOKUP(B762,'MASTER DATA'!$A$1:$E$212,4,FALSE),"")</f>
        <v/>
      </c>
      <c r="G762" s="17"/>
      <c r="H762" s="17"/>
      <c r="I762" s="17"/>
      <c r="J762" s="17" t="b">
        <v>0</v>
      </c>
    </row>
    <row r="763">
      <c r="A763" s="17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 t="str">
        <f>IFERROR(VLOOKUP(B763,'MASTER DATA'!$A$1:$E$212,4,FALSE),"")</f>
        <v/>
      </c>
      <c r="G763" s="17"/>
      <c r="H763" s="17"/>
      <c r="I763" s="17"/>
      <c r="J763" s="17" t="b">
        <v>0</v>
      </c>
    </row>
    <row r="764">
      <c r="A764" s="17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 t="str">
        <f>IFERROR(VLOOKUP(B764,'MASTER DATA'!$A$1:$E$212,4,FALSE),"")</f>
        <v/>
      </c>
      <c r="G764" s="17"/>
      <c r="H764" s="17"/>
      <c r="I764" s="17"/>
      <c r="J764" s="17" t="b">
        <v>0</v>
      </c>
    </row>
    <row r="765">
      <c r="A765" s="17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 t="str">
        <f>IFERROR(VLOOKUP(B765,'MASTER DATA'!$A$1:$E$212,4,FALSE),"")</f>
        <v/>
      </c>
      <c r="G765" s="17"/>
      <c r="H765" s="17"/>
      <c r="I765" s="17"/>
      <c r="J765" s="17" t="b">
        <v>0</v>
      </c>
    </row>
    <row r="766">
      <c r="A766" s="17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 t="str">
        <f>IFERROR(VLOOKUP(B766,'MASTER DATA'!$A$1:$E$212,4,FALSE),"")</f>
        <v/>
      </c>
      <c r="G766" s="17"/>
      <c r="H766" s="17"/>
      <c r="I766" s="17"/>
      <c r="J766" s="17" t="b">
        <v>0</v>
      </c>
    </row>
    <row r="767">
      <c r="A767" s="17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 t="str">
        <f>IFERROR(VLOOKUP(B767,'MASTER DATA'!$A$1:$E$212,4,FALSE),"")</f>
        <v/>
      </c>
      <c r="G767" s="17"/>
      <c r="H767" s="17"/>
      <c r="I767" s="17"/>
      <c r="J767" s="17" t="b">
        <v>0</v>
      </c>
    </row>
    <row r="768">
      <c r="A768" s="17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 t="str">
        <f>IFERROR(VLOOKUP(B768,'MASTER DATA'!$A$1:$E$212,4,FALSE),"")</f>
        <v/>
      </c>
      <c r="G768" s="17"/>
      <c r="H768" s="17"/>
      <c r="I768" s="17"/>
      <c r="J768" s="17" t="b">
        <v>0</v>
      </c>
    </row>
    <row r="769">
      <c r="A769" s="17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 t="str">
        <f>IFERROR(VLOOKUP(B769,'MASTER DATA'!$A$1:$E$212,4,FALSE),"")</f>
        <v/>
      </c>
      <c r="G769" s="17"/>
      <c r="H769" s="17"/>
      <c r="I769" s="17"/>
      <c r="J769" s="17" t="b">
        <v>0</v>
      </c>
    </row>
    <row r="770">
      <c r="A770" s="17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 t="str">
        <f>IFERROR(VLOOKUP(B770,'MASTER DATA'!$A$1:$E$212,4,FALSE),"")</f>
        <v/>
      </c>
      <c r="G770" s="17"/>
      <c r="H770" s="17"/>
      <c r="I770" s="17"/>
      <c r="J770" s="17" t="b">
        <v>0</v>
      </c>
    </row>
    <row r="771">
      <c r="A771" s="17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 t="str">
        <f>IFERROR(VLOOKUP(B771,'MASTER DATA'!$A$1:$E$212,4,FALSE),"")</f>
        <v/>
      </c>
      <c r="G771" s="17"/>
      <c r="H771" s="17"/>
      <c r="I771" s="17"/>
      <c r="J771" s="17" t="b">
        <v>0</v>
      </c>
    </row>
    <row r="772">
      <c r="A772" s="17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 t="str">
        <f>IFERROR(VLOOKUP(B772,'MASTER DATA'!$A$1:$E$212,4,FALSE),"")</f>
        <v/>
      </c>
      <c r="G772" s="17"/>
      <c r="H772" s="17"/>
      <c r="I772" s="17"/>
      <c r="J772" s="17" t="b">
        <v>0</v>
      </c>
    </row>
    <row r="773">
      <c r="A773" s="17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 t="str">
        <f>IFERROR(VLOOKUP(B773,'MASTER DATA'!$A$1:$E$212,4,FALSE),"")</f>
        <v/>
      </c>
      <c r="G773" s="17"/>
      <c r="H773" s="17"/>
      <c r="I773" s="17"/>
      <c r="J773" s="17" t="b">
        <v>0</v>
      </c>
    </row>
    <row r="774">
      <c r="A774" s="17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 t="str">
        <f>IFERROR(VLOOKUP(B774,'MASTER DATA'!$A$1:$E$212,4,FALSE),"")</f>
        <v/>
      </c>
      <c r="G774" s="17"/>
      <c r="H774" s="17"/>
      <c r="I774" s="17"/>
      <c r="J774" s="17" t="b">
        <v>0</v>
      </c>
    </row>
    <row r="775">
      <c r="A775" s="17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 t="str">
        <f>IFERROR(VLOOKUP(B775,'MASTER DATA'!$A$1:$E$212,4,FALSE),"")</f>
        <v/>
      </c>
      <c r="G775" s="17"/>
      <c r="H775" s="17"/>
      <c r="I775" s="17"/>
      <c r="J775" s="17" t="b">
        <v>0</v>
      </c>
    </row>
    <row r="776">
      <c r="A776" s="17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 t="str">
        <f>IFERROR(VLOOKUP(B776,'MASTER DATA'!$A$1:$E$212,4,FALSE),"")</f>
        <v/>
      </c>
      <c r="G776" s="17"/>
      <c r="H776" s="17"/>
      <c r="I776" s="17"/>
      <c r="J776" s="17" t="b">
        <v>0</v>
      </c>
    </row>
    <row r="777">
      <c r="A777" s="17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 t="str">
        <f>IFERROR(VLOOKUP(B777,'MASTER DATA'!$A$1:$E$212,4,FALSE),"")</f>
        <v/>
      </c>
      <c r="G777" s="17"/>
      <c r="H777" s="17"/>
      <c r="I777" s="17"/>
      <c r="J777" s="17" t="b">
        <v>0</v>
      </c>
    </row>
    <row r="778">
      <c r="A778" s="17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 t="str">
        <f>IFERROR(VLOOKUP(B778,'MASTER DATA'!$A$1:$E$212,4,FALSE),"")</f>
        <v/>
      </c>
      <c r="G778" s="17"/>
      <c r="H778" s="17"/>
      <c r="I778" s="17"/>
      <c r="J778" s="17" t="b">
        <v>0</v>
      </c>
    </row>
    <row r="779">
      <c r="A779" s="17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 t="str">
        <f>IFERROR(VLOOKUP(B779,'MASTER DATA'!$A$1:$E$212,4,FALSE),"")</f>
        <v/>
      </c>
      <c r="G779" s="17"/>
      <c r="H779" s="17"/>
      <c r="I779" s="17"/>
      <c r="J779" s="17" t="b">
        <v>0</v>
      </c>
    </row>
    <row r="780">
      <c r="A780" s="17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 t="str">
        <f>IFERROR(VLOOKUP(B780,'MASTER DATA'!$A$1:$E$212,4,FALSE),"")</f>
        <v/>
      </c>
      <c r="G780" s="17"/>
      <c r="H780" s="17"/>
      <c r="I780" s="17"/>
      <c r="J780" s="17" t="b">
        <v>0</v>
      </c>
    </row>
    <row r="781">
      <c r="A781" s="17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 t="str">
        <f>IFERROR(VLOOKUP(B781,'MASTER DATA'!$A$1:$E$212,4,FALSE),"")</f>
        <v/>
      </c>
      <c r="G781" s="17"/>
      <c r="H781" s="17"/>
      <c r="I781" s="17"/>
      <c r="J781" s="17" t="b">
        <v>0</v>
      </c>
    </row>
    <row r="782">
      <c r="A782" s="17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 t="str">
        <f>IFERROR(VLOOKUP(B782,'MASTER DATA'!$A$1:$E$212,4,FALSE),"")</f>
        <v/>
      </c>
      <c r="G782" s="17"/>
      <c r="H782" s="17"/>
      <c r="I782" s="17"/>
      <c r="J782" s="17" t="b">
        <v>0</v>
      </c>
    </row>
    <row r="783">
      <c r="A783" s="17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 t="str">
        <f>IFERROR(VLOOKUP(B783,'MASTER DATA'!$A$1:$E$212,4,FALSE),"")</f>
        <v/>
      </c>
      <c r="G783" s="17"/>
      <c r="H783" s="17"/>
      <c r="I783" s="17"/>
      <c r="J783" s="17" t="b">
        <v>0</v>
      </c>
    </row>
    <row r="784">
      <c r="A784" s="17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 t="str">
        <f>IFERROR(VLOOKUP(B784,'MASTER DATA'!$A$1:$E$212,4,FALSE),"")</f>
        <v/>
      </c>
      <c r="G784" s="17"/>
      <c r="H784" s="17"/>
      <c r="I784" s="17"/>
      <c r="J784" s="17" t="b">
        <v>0</v>
      </c>
    </row>
    <row r="785">
      <c r="A785" s="17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 t="str">
        <f>IFERROR(VLOOKUP(B785,'MASTER DATA'!$A$1:$E$212,4,FALSE),"")</f>
        <v/>
      </c>
      <c r="G785" s="17"/>
      <c r="H785" s="17"/>
      <c r="I785" s="17"/>
      <c r="J785" s="17" t="b">
        <v>0</v>
      </c>
    </row>
    <row r="786">
      <c r="A786" s="17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 t="str">
        <f>IFERROR(VLOOKUP(B786,'MASTER DATA'!$A$1:$E$212,4,FALSE),"")</f>
        <v/>
      </c>
      <c r="G786" s="17"/>
      <c r="H786" s="17"/>
      <c r="I786" s="17"/>
      <c r="J786" s="17" t="b">
        <v>0</v>
      </c>
    </row>
    <row r="787">
      <c r="A787" s="17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 t="str">
        <f>IFERROR(VLOOKUP(B787,'MASTER DATA'!$A$1:$E$212,4,FALSE),"")</f>
        <v/>
      </c>
      <c r="G787" s="17"/>
      <c r="H787" s="17"/>
      <c r="I787" s="17"/>
      <c r="J787" s="17" t="b">
        <v>0</v>
      </c>
    </row>
    <row r="788">
      <c r="A788" s="17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 t="str">
        <f>IFERROR(VLOOKUP(B788,'MASTER DATA'!$A$1:$E$212,4,FALSE),"")</f>
        <v/>
      </c>
      <c r="G788" s="17"/>
      <c r="H788" s="17"/>
      <c r="I788" s="17"/>
      <c r="J788" s="17" t="b">
        <v>0</v>
      </c>
    </row>
    <row r="789">
      <c r="A789" s="17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 t="str">
        <f>IFERROR(VLOOKUP(B789,'MASTER DATA'!$A$1:$E$212,4,FALSE),"")</f>
        <v/>
      </c>
      <c r="G789" s="17"/>
      <c r="H789" s="17"/>
      <c r="I789" s="17"/>
      <c r="J789" s="17" t="b">
        <v>0</v>
      </c>
    </row>
    <row r="790">
      <c r="A790" s="17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 t="str">
        <f>IFERROR(VLOOKUP(B790,'MASTER DATA'!$A$1:$E$212,4,FALSE),"")</f>
        <v/>
      </c>
      <c r="G790" s="17"/>
      <c r="H790" s="17"/>
      <c r="I790" s="17"/>
      <c r="J790" s="17" t="b">
        <v>0</v>
      </c>
    </row>
    <row r="791">
      <c r="A791" s="17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 t="str">
        <f>IFERROR(VLOOKUP(B791,'MASTER DATA'!$A$1:$E$212,4,FALSE),"")</f>
        <v/>
      </c>
      <c r="G791" s="17"/>
      <c r="H791" s="17"/>
      <c r="I791" s="17"/>
      <c r="J791" s="17" t="b">
        <v>0</v>
      </c>
    </row>
    <row r="792">
      <c r="A792" s="17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 t="str">
        <f>IFERROR(VLOOKUP(B792,'MASTER DATA'!$A$1:$E$212,4,FALSE),"")</f>
        <v/>
      </c>
      <c r="G792" s="17"/>
      <c r="H792" s="17"/>
      <c r="I792" s="17"/>
      <c r="J792" s="17" t="b">
        <v>0</v>
      </c>
    </row>
    <row r="793">
      <c r="A793" s="17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 t="str">
        <f>IFERROR(VLOOKUP(B793,'MASTER DATA'!$A$1:$E$212,4,FALSE),"")</f>
        <v/>
      </c>
      <c r="G793" s="17"/>
      <c r="H793" s="17"/>
      <c r="I793" s="17"/>
      <c r="J793" s="17" t="b">
        <v>0</v>
      </c>
    </row>
    <row r="794">
      <c r="A794" s="17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 t="str">
        <f>IFERROR(VLOOKUP(B794,'MASTER DATA'!$A$1:$E$212,4,FALSE),"")</f>
        <v/>
      </c>
      <c r="G794" s="17"/>
      <c r="H794" s="17"/>
      <c r="I794" s="17"/>
      <c r="J794" s="17" t="b">
        <v>0</v>
      </c>
    </row>
    <row r="795">
      <c r="A795" s="17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 t="str">
        <f>IFERROR(VLOOKUP(B795,'MASTER DATA'!$A$1:$E$212,4,FALSE),"")</f>
        <v/>
      </c>
      <c r="G795" s="17"/>
      <c r="H795" s="17"/>
      <c r="I795" s="17"/>
      <c r="J795" s="17" t="b">
        <v>0</v>
      </c>
    </row>
    <row r="796">
      <c r="A796" s="17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 t="str">
        <f>IFERROR(VLOOKUP(B796,'MASTER DATA'!$A$1:$E$212,4,FALSE),"")</f>
        <v/>
      </c>
      <c r="G796" s="17"/>
      <c r="H796" s="17"/>
      <c r="I796" s="17"/>
      <c r="J796" s="17" t="b">
        <v>0</v>
      </c>
    </row>
    <row r="797">
      <c r="A797" s="17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 t="str">
        <f>IFERROR(VLOOKUP(B797,'MASTER DATA'!$A$1:$E$212,4,FALSE),"")</f>
        <v/>
      </c>
      <c r="G797" s="17"/>
      <c r="H797" s="17"/>
      <c r="I797" s="17"/>
      <c r="J797" s="17" t="b">
        <v>0</v>
      </c>
    </row>
    <row r="798">
      <c r="A798" s="17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 t="str">
        <f>IFERROR(VLOOKUP(B798,'MASTER DATA'!$A$1:$E$212,4,FALSE),"")</f>
        <v/>
      </c>
      <c r="G798" s="17"/>
      <c r="H798" s="17"/>
      <c r="I798" s="17"/>
      <c r="J798" s="17" t="b">
        <v>0</v>
      </c>
    </row>
    <row r="799">
      <c r="A799" s="17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 t="str">
        <f>IFERROR(VLOOKUP(B799,'MASTER DATA'!$A$1:$E$212,4,FALSE),"")</f>
        <v/>
      </c>
      <c r="G799" s="17"/>
      <c r="H799" s="17"/>
      <c r="I799" s="17"/>
      <c r="J799" s="17" t="b">
        <v>0</v>
      </c>
    </row>
    <row r="800">
      <c r="A800" s="17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 t="str">
        <f>IFERROR(VLOOKUP(B800,'MASTER DATA'!$A$1:$E$212,4,FALSE),"")</f>
        <v/>
      </c>
      <c r="G800" s="17"/>
      <c r="H800" s="17"/>
      <c r="I800" s="17"/>
      <c r="J800" s="17" t="b">
        <v>0</v>
      </c>
    </row>
    <row r="801">
      <c r="A801" s="17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 t="str">
        <f>IFERROR(VLOOKUP(B801,'MASTER DATA'!$A$1:$E$212,4,FALSE),"")</f>
        <v/>
      </c>
      <c r="G801" s="17"/>
      <c r="H801" s="17"/>
      <c r="I801" s="17"/>
      <c r="J801" s="17" t="b">
        <v>0</v>
      </c>
    </row>
    <row r="802">
      <c r="A802" s="17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 t="str">
        <f>IFERROR(VLOOKUP(B802,'MASTER DATA'!$A$1:$E$212,4,FALSE),"")</f>
        <v/>
      </c>
      <c r="G802" s="17"/>
      <c r="H802" s="17"/>
      <c r="I802" s="17"/>
      <c r="J802" s="17" t="b">
        <v>0</v>
      </c>
    </row>
    <row r="803">
      <c r="A803" s="17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 t="str">
        <f>IFERROR(VLOOKUP(B803,'MASTER DATA'!$A$1:$E$212,4,FALSE),"")</f>
        <v/>
      </c>
      <c r="G803" s="17"/>
      <c r="H803" s="17"/>
      <c r="I803" s="17"/>
      <c r="J803" s="17" t="b">
        <v>0</v>
      </c>
    </row>
    <row r="804">
      <c r="A804" s="17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 t="str">
        <f>IFERROR(VLOOKUP(B804,'MASTER DATA'!$A$1:$E$212,4,FALSE),"")</f>
        <v/>
      </c>
      <c r="G804" s="17"/>
      <c r="H804" s="17"/>
      <c r="I804" s="17"/>
      <c r="J804" s="17" t="b">
        <v>0</v>
      </c>
    </row>
    <row r="805">
      <c r="A805" s="17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 t="str">
        <f>IFERROR(VLOOKUP(B805,'MASTER DATA'!$A$1:$E$212,4,FALSE),"")</f>
        <v/>
      </c>
      <c r="G805" s="17"/>
      <c r="H805" s="17"/>
      <c r="I805" s="17"/>
      <c r="J805" s="17" t="b">
        <v>0</v>
      </c>
    </row>
    <row r="806">
      <c r="A806" s="17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 t="str">
        <f>IFERROR(VLOOKUP(B806,'MASTER DATA'!$A$1:$E$212,4,FALSE),"")</f>
        <v/>
      </c>
      <c r="G806" s="17"/>
      <c r="H806" s="17"/>
      <c r="I806" s="17"/>
      <c r="J806" s="17" t="b">
        <v>0</v>
      </c>
    </row>
    <row r="807">
      <c r="A807" s="17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 t="str">
        <f>IFERROR(VLOOKUP(B807,'MASTER DATA'!$A$1:$E$212,4,FALSE),"")</f>
        <v/>
      </c>
      <c r="G807" s="17"/>
      <c r="H807" s="17"/>
      <c r="I807" s="17"/>
      <c r="J807" s="17" t="b">
        <v>0</v>
      </c>
    </row>
    <row r="808">
      <c r="A808" s="17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 t="str">
        <f>IFERROR(VLOOKUP(B808,'MASTER DATA'!$A$1:$E$212,4,FALSE),"")</f>
        <v/>
      </c>
      <c r="G808" s="17"/>
      <c r="H808" s="17"/>
      <c r="I808" s="17"/>
      <c r="J808" s="17" t="b">
        <v>0</v>
      </c>
    </row>
    <row r="809">
      <c r="A809" s="17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 t="str">
        <f>IFERROR(VLOOKUP(B809,'MASTER DATA'!$A$1:$E$212,4,FALSE),"")</f>
        <v/>
      </c>
      <c r="G809" s="17"/>
      <c r="H809" s="17"/>
      <c r="I809" s="17"/>
      <c r="J809" s="17" t="b">
        <v>0</v>
      </c>
    </row>
    <row r="810">
      <c r="A810" s="17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 t="str">
        <f>IFERROR(VLOOKUP(B810,'MASTER DATA'!$A$1:$E$212,4,FALSE),"")</f>
        <v/>
      </c>
      <c r="G810" s="17"/>
      <c r="H810" s="17"/>
      <c r="I810" s="17"/>
      <c r="J810" s="17" t="b">
        <v>0</v>
      </c>
    </row>
    <row r="811">
      <c r="A811" s="17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 t="str">
        <f>IFERROR(VLOOKUP(B811,'MASTER DATA'!$A$1:$E$212,4,FALSE),"")</f>
        <v/>
      </c>
      <c r="G811" s="17"/>
      <c r="H811" s="17"/>
      <c r="I811" s="17"/>
      <c r="J811" s="17" t="b">
        <v>0</v>
      </c>
    </row>
    <row r="812">
      <c r="A812" s="17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 t="str">
        <f>IFERROR(VLOOKUP(B812,'MASTER DATA'!$A$1:$E$212,4,FALSE),"")</f>
        <v/>
      </c>
      <c r="G812" s="17"/>
      <c r="H812" s="17"/>
      <c r="I812" s="17"/>
      <c r="J812" s="17" t="b">
        <v>0</v>
      </c>
    </row>
    <row r="813">
      <c r="A813" s="17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 t="str">
        <f>IFERROR(VLOOKUP(B813,'MASTER DATA'!$A$1:$E$212,4,FALSE),"")</f>
        <v/>
      </c>
      <c r="G813" s="17"/>
      <c r="H813" s="17"/>
      <c r="I813" s="17"/>
      <c r="J813" s="17" t="b">
        <v>0</v>
      </c>
    </row>
    <row r="814">
      <c r="A814" s="17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 t="str">
        <f>IFERROR(VLOOKUP(B814,'MASTER DATA'!$A$1:$E$212,4,FALSE),"")</f>
        <v/>
      </c>
      <c r="G814" s="17"/>
      <c r="H814" s="17"/>
      <c r="I814" s="17"/>
      <c r="J814" s="17" t="b">
        <v>0</v>
      </c>
    </row>
    <row r="815">
      <c r="A815" s="17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 t="str">
        <f>IFERROR(VLOOKUP(B815,'MASTER DATA'!$A$1:$E$212,4,FALSE),"")</f>
        <v/>
      </c>
      <c r="G815" s="17"/>
      <c r="H815" s="17"/>
      <c r="I815" s="17"/>
      <c r="J815" s="17" t="b">
        <v>0</v>
      </c>
    </row>
    <row r="816">
      <c r="A816" s="17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 t="str">
        <f>IFERROR(VLOOKUP(B816,'MASTER DATA'!$A$1:$E$212,4,FALSE),"")</f>
        <v/>
      </c>
      <c r="G816" s="17"/>
      <c r="H816" s="17"/>
      <c r="I816" s="17"/>
      <c r="J816" s="17" t="b">
        <v>0</v>
      </c>
    </row>
    <row r="817">
      <c r="A817" s="17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 t="str">
        <f>IFERROR(VLOOKUP(B817,'MASTER DATA'!$A$1:$E$212,4,FALSE),"")</f>
        <v/>
      </c>
      <c r="G817" s="17"/>
      <c r="H817" s="17"/>
      <c r="I817" s="17"/>
      <c r="J817" s="17" t="b">
        <v>0</v>
      </c>
    </row>
    <row r="818">
      <c r="A818" s="17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 t="str">
        <f>IFERROR(VLOOKUP(B818,'MASTER DATA'!$A$1:$E$212,4,FALSE),"")</f>
        <v/>
      </c>
      <c r="G818" s="17"/>
      <c r="H818" s="17"/>
      <c r="I818" s="17"/>
      <c r="J818" s="17" t="b">
        <v>0</v>
      </c>
    </row>
    <row r="819">
      <c r="A819" s="17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 t="str">
        <f>IFERROR(VLOOKUP(B819,'MASTER DATA'!$A$1:$E$212,4,FALSE),"")</f>
        <v/>
      </c>
      <c r="G819" s="17"/>
      <c r="H819" s="17"/>
      <c r="I819" s="17"/>
      <c r="J819" s="17" t="b">
        <v>0</v>
      </c>
    </row>
    <row r="820">
      <c r="A820" s="17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 t="str">
        <f>IFERROR(VLOOKUP(B820,'MASTER DATA'!$A$1:$E$212,4,FALSE),"")</f>
        <v/>
      </c>
      <c r="G820" s="17"/>
      <c r="H820" s="17"/>
      <c r="I820" s="17"/>
      <c r="J820" s="17" t="b">
        <v>0</v>
      </c>
    </row>
    <row r="821">
      <c r="A821" s="17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 t="str">
        <f>IFERROR(VLOOKUP(B821,'MASTER DATA'!$A$1:$E$212,4,FALSE),"")</f>
        <v/>
      </c>
      <c r="G821" s="17"/>
      <c r="H821" s="17"/>
      <c r="I821" s="17"/>
      <c r="J821" s="17" t="b">
        <v>0</v>
      </c>
    </row>
    <row r="822">
      <c r="A822" s="17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 t="str">
        <f>IFERROR(VLOOKUP(B822,'MASTER DATA'!$A$1:$E$212,4,FALSE),"")</f>
        <v/>
      </c>
      <c r="G822" s="17"/>
      <c r="H822" s="17"/>
      <c r="I822" s="17"/>
      <c r="J822" s="17" t="b">
        <v>0</v>
      </c>
    </row>
    <row r="823">
      <c r="A823" s="17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 t="str">
        <f>IFERROR(VLOOKUP(B823,'MASTER DATA'!$A$1:$E$212,4,FALSE),"")</f>
        <v/>
      </c>
      <c r="G823" s="17"/>
      <c r="H823" s="17"/>
      <c r="I823" s="17"/>
      <c r="J823" s="17" t="b">
        <v>0</v>
      </c>
    </row>
    <row r="824">
      <c r="A824" s="17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 t="str">
        <f>IFERROR(VLOOKUP(B824,'MASTER DATA'!$A$1:$E$212,4,FALSE),"")</f>
        <v/>
      </c>
      <c r="G824" s="17"/>
      <c r="H824" s="17"/>
      <c r="I824" s="17"/>
      <c r="J824" s="17" t="b">
        <v>0</v>
      </c>
    </row>
    <row r="825">
      <c r="A825" s="17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 t="str">
        <f>IFERROR(VLOOKUP(B825,'MASTER DATA'!$A$1:$E$212,4,FALSE),"")</f>
        <v/>
      </c>
      <c r="G825" s="17"/>
      <c r="H825" s="17"/>
      <c r="I825" s="17"/>
      <c r="J825" s="17" t="b">
        <v>0</v>
      </c>
    </row>
    <row r="826">
      <c r="A826" s="17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 t="str">
        <f>IFERROR(VLOOKUP(B826,'MASTER DATA'!$A$1:$E$212,4,FALSE),"")</f>
        <v/>
      </c>
      <c r="G826" s="17"/>
      <c r="H826" s="17"/>
      <c r="I826" s="17"/>
      <c r="J826" s="17" t="b">
        <v>0</v>
      </c>
    </row>
    <row r="827">
      <c r="A827" s="17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 t="str">
        <f>IFERROR(VLOOKUP(B827,'MASTER DATA'!$A$1:$E$212,4,FALSE),"")</f>
        <v/>
      </c>
      <c r="G827" s="17"/>
      <c r="H827" s="17"/>
      <c r="I827" s="17"/>
      <c r="J827" s="17" t="b">
        <v>0</v>
      </c>
    </row>
    <row r="828">
      <c r="A828" s="17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 t="str">
        <f>IFERROR(VLOOKUP(B828,'MASTER DATA'!$A$1:$E$212,4,FALSE),"")</f>
        <v/>
      </c>
      <c r="G828" s="17"/>
      <c r="H828" s="17"/>
      <c r="I828" s="17"/>
      <c r="J828" s="17" t="b">
        <v>0</v>
      </c>
    </row>
    <row r="829">
      <c r="A829" s="17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 t="str">
        <f>IFERROR(VLOOKUP(B829,'MASTER DATA'!$A$1:$E$212,4,FALSE),"")</f>
        <v/>
      </c>
      <c r="G829" s="17"/>
      <c r="H829" s="17"/>
      <c r="I829" s="17"/>
      <c r="J829" s="17" t="b">
        <v>0</v>
      </c>
    </row>
    <row r="830">
      <c r="A830" s="17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 t="str">
        <f>IFERROR(VLOOKUP(B830,'MASTER DATA'!$A$1:$E$212,4,FALSE),"")</f>
        <v/>
      </c>
      <c r="G830" s="17"/>
      <c r="H830" s="17"/>
      <c r="I830" s="17"/>
      <c r="J830" s="17" t="b">
        <v>0</v>
      </c>
    </row>
    <row r="831">
      <c r="A831" s="17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 t="str">
        <f>IFERROR(VLOOKUP(B831,'MASTER DATA'!$A$1:$E$212,4,FALSE),"")</f>
        <v/>
      </c>
      <c r="G831" s="17"/>
      <c r="H831" s="17"/>
      <c r="I831" s="17"/>
      <c r="J831" s="17" t="b">
        <v>0</v>
      </c>
    </row>
    <row r="832">
      <c r="A832" s="17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 t="str">
        <f>IFERROR(VLOOKUP(B832,'MASTER DATA'!$A$1:$E$212,4,FALSE),"")</f>
        <v/>
      </c>
      <c r="G832" s="17"/>
      <c r="H832" s="17"/>
      <c r="I832" s="17"/>
      <c r="J832" s="17" t="b">
        <v>0</v>
      </c>
    </row>
    <row r="833">
      <c r="A833" s="17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 t="str">
        <f>IFERROR(VLOOKUP(B833,'MASTER DATA'!$A$1:$E$212,4,FALSE),"")</f>
        <v/>
      </c>
      <c r="G833" s="17"/>
      <c r="H833" s="17"/>
      <c r="I833" s="17"/>
      <c r="J833" s="17" t="b">
        <v>0</v>
      </c>
    </row>
    <row r="834">
      <c r="A834" s="17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 t="str">
        <f>IFERROR(VLOOKUP(B834,'MASTER DATA'!$A$1:$E$212,4,FALSE),"")</f>
        <v/>
      </c>
      <c r="G834" s="17"/>
      <c r="H834" s="17"/>
      <c r="I834" s="17"/>
      <c r="J834" s="17" t="b">
        <v>0</v>
      </c>
    </row>
    <row r="835">
      <c r="A835" s="17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 t="str">
        <f>IFERROR(VLOOKUP(B835,'MASTER DATA'!$A$1:$E$212,4,FALSE),"")</f>
        <v/>
      </c>
      <c r="G835" s="17"/>
      <c r="H835" s="17"/>
      <c r="I835" s="17"/>
      <c r="J835" s="17" t="b">
        <v>0</v>
      </c>
    </row>
    <row r="836">
      <c r="A836" s="17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 t="str">
        <f>IFERROR(VLOOKUP(B836,'MASTER DATA'!$A$1:$E$212,4,FALSE),"")</f>
        <v/>
      </c>
      <c r="G836" s="17"/>
      <c r="H836" s="17"/>
      <c r="I836" s="17"/>
      <c r="J836" s="17" t="b">
        <v>0</v>
      </c>
    </row>
    <row r="837">
      <c r="A837" s="17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 t="str">
        <f>IFERROR(VLOOKUP(B837,'MASTER DATA'!$A$1:$E$212,4,FALSE),"")</f>
        <v/>
      </c>
      <c r="G837" s="17"/>
      <c r="H837" s="17"/>
      <c r="I837" s="17"/>
      <c r="J837" s="17" t="b">
        <v>0</v>
      </c>
    </row>
    <row r="838">
      <c r="A838" s="17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 t="str">
        <f>IFERROR(VLOOKUP(B838,'MASTER DATA'!$A$1:$E$212,4,FALSE),"")</f>
        <v/>
      </c>
      <c r="G838" s="17"/>
      <c r="H838" s="17"/>
      <c r="I838" s="17"/>
      <c r="J838" s="17" t="b">
        <v>0</v>
      </c>
    </row>
    <row r="839">
      <c r="A839" s="17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 t="str">
        <f>IFERROR(VLOOKUP(B839,'MASTER DATA'!$A$1:$E$212,4,FALSE),"")</f>
        <v/>
      </c>
      <c r="G839" s="17"/>
      <c r="H839" s="17"/>
      <c r="I839" s="17"/>
      <c r="J839" s="17" t="b">
        <v>0</v>
      </c>
    </row>
    <row r="840">
      <c r="A840" s="17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 t="str">
        <f>IFERROR(VLOOKUP(B840,'MASTER DATA'!$A$1:$E$212,4,FALSE),"")</f>
        <v/>
      </c>
      <c r="G840" s="17"/>
      <c r="H840" s="17"/>
      <c r="I840" s="17"/>
      <c r="J840" s="17" t="b">
        <v>0</v>
      </c>
    </row>
    <row r="841">
      <c r="A841" s="17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 t="str">
        <f>IFERROR(VLOOKUP(B841,'MASTER DATA'!$A$1:$E$212,4,FALSE),"")</f>
        <v/>
      </c>
      <c r="G841" s="17"/>
      <c r="H841" s="17"/>
      <c r="I841" s="17"/>
      <c r="J841" s="17" t="b">
        <v>0</v>
      </c>
    </row>
    <row r="842">
      <c r="A842" s="17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 t="str">
        <f>IFERROR(VLOOKUP(B842,'MASTER DATA'!$A$1:$E$212,4,FALSE),"")</f>
        <v/>
      </c>
      <c r="G842" s="17"/>
      <c r="H842" s="17"/>
      <c r="I842" s="17"/>
      <c r="J842" s="17" t="b">
        <v>0</v>
      </c>
    </row>
    <row r="843">
      <c r="A843" s="17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 t="str">
        <f>IFERROR(VLOOKUP(B843,'MASTER DATA'!$A$1:$E$212,4,FALSE),"")</f>
        <v/>
      </c>
      <c r="G843" s="17"/>
      <c r="H843" s="17"/>
      <c r="I843" s="17"/>
      <c r="J843" s="17" t="b">
        <v>0</v>
      </c>
    </row>
    <row r="844">
      <c r="A844" s="17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 t="str">
        <f>IFERROR(VLOOKUP(B844,'MASTER DATA'!$A$1:$E$212,4,FALSE),"")</f>
        <v/>
      </c>
      <c r="G844" s="17"/>
      <c r="H844" s="17"/>
      <c r="I844" s="17"/>
      <c r="J844" s="17" t="b">
        <v>0</v>
      </c>
    </row>
    <row r="845">
      <c r="A845" s="17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 t="str">
        <f>IFERROR(VLOOKUP(B845,'MASTER DATA'!$A$1:$E$212,4,FALSE),"")</f>
        <v/>
      </c>
      <c r="G845" s="17"/>
      <c r="H845" s="17"/>
      <c r="I845" s="17"/>
      <c r="J845" s="17" t="b">
        <v>0</v>
      </c>
    </row>
    <row r="846">
      <c r="A846" s="17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 t="str">
        <f>IFERROR(VLOOKUP(B846,'MASTER DATA'!$A$1:$E$212,4,FALSE),"")</f>
        <v/>
      </c>
      <c r="G846" s="17"/>
      <c r="H846" s="17"/>
      <c r="I846" s="17"/>
      <c r="J846" s="17" t="b">
        <v>0</v>
      </c>
    </row>
    <row r="847">
      <c r="A847" s="17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 t="str">
        <f>IFERROR(VLOOKUP(B847,'MASTER DATA'!$A$1:$E$212,4,FALSE),"")</f>
        <v/>
      </c>
      <c r="G847" s="17"/>
      <c r="H847" s="17"/>
      <c r="I847" s="17"/>
      <c r="J847" s="17" t="b">
        <v>0</v>
      </c>
    </row>
    <row r="848">
      <c r="A848" s="17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 t="str">
        <f>IFERROR(VLOOKUP(B848,'MASTER DATA'!$A$1:$E$212,4,FALSE),"")</f>
        <v/>
      </c>
      <c r="G848" s="17"/>
      <c r="H848" s="17"/>
      <c r="I848" s="17"/>
      <c r="J848" s="17" t="b">
        <v>0</v>
      </c>
    </row>
    <row r="849">
      <c r="A849" s="17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 t="str">
        <f>IFERROR(VLOOKUP(B849,'MASTER DATA'!$A$1:$E$212,4,FALSE),"")</f>
        <v/>
      </c>
      <c r="G849" s="17"/>
      <c r="H849" s="17"/>
      <c r="I849" s="17"/>
      <c r="J849" s="17" t="b">
        <v>0</v>
      </c>
    </row>
    <row r="850">
      <c r="A850" s="17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 t="str">
        <f>IFERROR(VLOOKUP(B850,'MASTER DATA'!$A$1:$E$212,4,FALSE),"")</f>
        <v/>
      </c>
      <c r="G850" s="17"/>
      <c r="H850" s="17"/>
      <c r="I850" s="17"/>
      <c r="J850" s="17" t="b">
        <v>0</v>
      </c>
    </row>
    <row r="851">
      <c r="A851" s="17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 t="str">
        <f>IFERROR(VLOOKUP(B851,'MASTER DATA'!$A$1:$E$212,4,FALSE),"")</f>
        <v/>
      </c>
      <c r="G851" s="17"/>
      <c r="H851" s="17"/>
      <c r="I851" s="17"/>
      <c r="J851" s="17" t="b">
        <v>0</v>
      </c>
    </row>
    <row r="852">
      <c r="A852" s="17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 t="str">
        <f>IFERROR(VLOOKUP(B852,'MASTER DATA'!$A$1:$E$212,4,FALSE),"")</f>
        <v/>
      </c>
      <c r="G852" s="17"/>
      <c r="H852" s="17"/>
      <c r="I852" s="17"/>
      <c r="J852" s="17" t="b">
        <v>0</v>
      </c>
    </row>
    <row r="853">
      <c r="A853" s="17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 t="str">
        <f>IFERROR(VLOOKUP(B853,'MASTER DATA'!$A$1:$E$212,4,FALSE),"")</f>
        <v/>
      </c>
      <c r="G853" s="17"/>
      <c r="H853" s="17"/>
      <c r="I853" s="17"/>
      <c r="J853" s="17" t="b">
        <v>0</v>
      </c>
    </row>
    <row r="854">
      <c r="A854" s="17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 t="str">
        <f>IFERROR(VLOOKUP(B854,'MASTER DATA'!$A$1:$E$212,4,FALSE),"")</f>
        <v/>
      </c>
      <c r="G854" s="17"/>
      <c r="H854" s="17"/>
      <c r="I854" s="17"/>
      <c r="J854" s="17" t="b">
        <v>0</v>
      </c>
    </row>
    <row r="855">
      <c r="A855" s="17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 t="str">
        <f>IFERROR(VLOOKUP(B855,'MASTER DATA'!$A$1:$E$212,4,FALSE),"")</f>
        <v/>
      </c>
      <c r="G855" s="17"/>
      <c r="H855" s="17"/>
      <c r="I855" s="17"/>
      <c r="J855" s="17" t="b">
        <v>0</v>
      </c>
    </row>
    <row r="856">
      <c r="A856" s="17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 t="str">
        <f>IFERROR(VLOOKUP(B856,'MASTER DATA'!$A$1:$E$212,4,FALSE),"")</f>
        <v/>
      </c>
      <c r="G856" s="17"/>
      <c r="H856" s="17"/>
      <c r="I856" s="17"/>
      <c r="J856" s="17" t="b">
        <v>0</v>
      </c>
    </row>
    <row r="857">
      <c r="A857" s="17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 t="str">
        <f>IFERROR(VLOOKUP(B857,'MASTER DATA'!$A$1:$E$212,4,FALSE),"")</f>
        <v/>
      </c>
      <c r="G857" s="17"/>
      <c r="H857" s="17"/>
      <c r="I857" s="17"/>
      <c r="J857" s="17" t="b">
        <v>0</v>
      </c>
    </row>
    <row r="858">
      <c r="A858" s="17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 t="str">
        <f>IFERROR(VLOOKUP(B858,'MASTER DATA'!$A$1:$E$212,4,FALSE),"")</f>
        <v/>
      </c>
      <c r="G858" s="17"/>
      <c r="H858" s="17"/>
      <c r="I858" s="17"/>
      <c r="J858" s="17" t="b">
        <v>0</v>
      </c>
    </row>
    <row r="859">
      <c r="A859" s="17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 t="str">
        <f>IFERROR(VLOOKUP(B859,'MASTER DATA'!$A$1:$E$212,4,FALSE),"")</f>
        <v/>
      </c>
      <c r="G859" s="17"/>
      <c r="H859" s="17"/>
      <c r="I859" s="17"/>
      <c r="J859" s="17" t="b">
        <v>0</v>
      </c>
    </row>
    <row r="860">
      <c r="A860" s="17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 t="str">
        <f>IFERROR(VLOOKUP(B860,'MASTER DATA'!$A$1:$E$212,4,FALSE),"")</f>
        <v/>
      </c>
      <c r="G860" s="17"/>
      <c r="H860" s="17"/>
      <c r="I860" s="17"/>
      <c r="J860" s="17" t="b">
        <v>0</v>
      </c>
    </row>
    <row r="861">
      <c r="A861" s="17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 t="str">
        <f>IFERROR(VLOOKUP(B861,'MASTER DATA'!$A$1:$E$212,4,FALSE),"")</f>
        <v/>
      </c>
      <c r="G861" s="17"/>
      <c r="H861" s="17"/>
      <c r="I861" s="17"/>
      <c r="J861" s="17" t="b">
        <v>0</v>
      </c>
    </row>
    <row r="862">
      <c r="A862" s="17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 t="str">
        <f>IFERROR(VLOOKUP(B862,'MASTER DATA'!$A$1:$E$212,4,FALSE),"")</f>
        <v/>
      </c>
      <c r="G862" s="17"/>
      <c r="H862" s="17"/>
      <c r="I862" s="17"/>
      <c r="J862" s="17" t="b">
        <v>0</v>
      </c>
    </row>
    <row r="863">
      <c r="A863" s="17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 t="str">
        <f>IFERROR(VLOOKUP(B863,'MASTER DATA'!$A$1:$E$212,4,FALSE),"")</f>
        <v/>
      </c>
      <c r="G863" s="17"/>
      <c r="H863" s="17"/>
      <c r="I863" s="17"/>
      <c r="J863" s="17" t="b">
        <v>0</v>
      </c>
    </row>
    <row r="864">
      <c r="A864" s="17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 t="str">
        <f>IFERROR(VLOOKUP(B864,'MASTER DATA'!$A$1:$E$212,4,FALSE),"")</f>
        <v/>
      </c>
      <c r="G864" s="17"/>
      <c r="H864" s="17"/>
      <c r="I864" s="17"/>
      <c r="J864" s="17" t="b">
        <v>0</v>
      </c>
    </row>
    <row r="865">
      <c r="A865" s="17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 t="str">
        <f>IFERROR(VLOOKUP(B865,'MASTER DATA'!$A$1:$E$212,4,FALSE),"")</f>
        <v/>
      </c>
      <c r="G865" s="17"/>
      <c r="H865" s="17"/>
      <c r="I865" s="17"/>
      <c r="J865" s="17" t="b">
        <v>0</v>
      </c>
    </row>
    <row r="866">
      <c r="A866" s="17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 t="str">
        <f>IFERROR(VLOOKUP(B866,'MASTER DATA'!$A$1:$E$212,4,FALSE),"")</f>
        <v/>
      </c>
      <c r="G866" s="17"/>
      <c r="H866" s="17"/>
      <c r="I866" s="17"/>
      <c r="J866" s="17" t="b">
        <v>0</v>
      </c>
    </row>
    <row r="867">
      <c r="A867" s="17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 t="str">
        <f>IFERROR(VLOOKUP(B867,'MASTER DATA'!$A$1:$E$212,4,FALSE),"")</f>
        <v/>
      </c>
      <c r="G867" s="17"/>
      <c r="H867" s="17"/>
      <c r="I867" s="17"/>
      <c r="J867" s="17" t="b">
        <v>0</v>
      </c>
    </row>
    <row r="868">
      <c r="A868" s="17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 t="str">
        <f>IFERROR(VLOOKUP(B868,'MASTER DATA'!$A$1:$E$212,4,FALSE),"")</f>
        <v/>
      </c>
      <c r="G868" s="17"/>
      <c r="H868" s="17"/>
      <c r="I868" s="17"/>
      <c r="J868" s="17" t="b">
        <v>0</v>
      </c>
    </row>
    <row r="869">
      <c r="A869" s="17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 t="str">
        <f>IFERROR(VLOOKUP(B869,'MASTER DATA'!$A$1:$E$212,4,FALSE),"")</f>
        <v/>
      </c>
      <c r="G869" s="17"/>
      <c r="H869" s="17"/>
      <c r="I869" s="17"/>
      <c r="J869" s="17" t="b">
        <v>0</v>
      </c>
    </row>
    <row r="870">
      <c r="A870" s="17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 t="str">
        <f>IFERROR(VLOOKUP(B870,'MASTER DATA'!$A$1:$E$212,4,FALSE),"")</f>
        <v/>
      </c>
      <c r="G870" s="17"/>
      <c r="H870" s="17"/>
      <c r="I870" s="17"/>
      <c r="J870" s="17" t="b">
        <v>0</v>
      </c>
    </row>
    <row r="871">
      <c r="A871" s="17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 t="str">
        <f>IFERROR(VLOOKUP(B871,'MASTER DATA'!$A$1:$E$212,4,FALSE),"")</f>
        <v/>
      </c>
      <c r="G871" s="17"/>
      <c r="H871" s="17"/>
      <c r="I871" s="17"/>
      <c r="J871" s="17" t="b">
        <v>0</v>
      </c>
    </row>
    <row r="872">
      <c r="A872" s="17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 t="str">
        <f>IFERROR(VLOOKUP(B872,'MASTER DATA'!$A$1:$E$212,4,FALSE),"")</f>
        <v/>
      </c>
      <c r="G872" s="17"/>
      <c r="H872" s="17"/>
      <c r="I872" s="17"/>
      <c r="J872" s="17" t="b">
        <v>0</v>
      </c>
    </row>
    <row r="873">
      <c r="A873" s="17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 t="str">
        <f>IFERROR(VLOOKUP(B873,'MASTER DATA'!$A$1:$E$212,4,FALSE),"")</f>
        <v/>
      </c>
      <c r="G873" s="17"/>
      <c r="H873" s="17"/>
      <c r="I873" s="17"/>
      <c r="J873" s="17" t="b">
        <v>0</v>
      </c>
    </row>
    <row r="874">
      <c r="A874" s="17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 t="str">
        <f>IFERROR(VLOOKUP(B874,'MASTER DATA'!$A$1:$E$212,4,FALSE),"")</f>
        <v/>
      </c>
      <c r="G874" s="17"/>
      <c r="H874" s="17"/>
      <c r="I874" s="17"/>
      <c r="J874" s="17" t="b">
        <v>0</v>
      </c>
    </row>
    <row r="875">
      <c r="A875" s="17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 t="str">
        <f>IFERROR(VLOOKUP(B875,'MASTER DATA'!$A$1:$E$212,4,FALSE),"")</f>
        <v/>
      </c>
      <c r="G875" s="17"/>
      <c r="H875" s="17"/>
      <c r="I875" s="17"/>
      <c r="J875" s="17" t="b">
        <v>0</v>
      </c>
    </row>
    <row r="876">
      <c r="A876" s="17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 t="str">
        <f>IFERROR(VLOOKUP(B876,'MASTER DATA'!$A$1:$E$212,4,FALSE),"")</f>
        <v/>
      </c>
      <c r="G876" s="17"/>
      <c r="H876" s="17"/>
      <c r="I876" s="17"/>
      <c r="J876" s="17" t="b">
        <v>0</v>
      </c>
    </row>
    <row r="877">
      <c r="A877" s="17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 t="str">
        <f>IFERROR(VLOOKUP(B877,'MASTER DATA'!$A$1:$E$212,4,FALSE),"")</f>
        <v/>
      </c>
      <c r="G877" s="17"/>
      <c r="H877" s="17"/>
      <c r="I877" s="17"/>
      <c r="J877" s="17" t="b">
        <v>0</v>
      </c>
    </row>
    <row r="878">
      <c r="A878" s="17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 t="str">
        <f>IFERROR(VLOOKUP(B878,'MASTER DATA'!$A$1:$E$212,4,FALSE),"")</f>
        <v/>
      </c>
      <c r="G878" s="17"/>
      <c r="H878" s="17"/>
      <c r="I878" s="17"/>
      <c r="J878" s="17" t="b">
        <v>0</v>
      </c>
    </row>
    <row r="879">
      <c r="A879" s="17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 t="str">
        <f>IFERROR(VLOOKUP(B879,'MASTER DATA'!$A$1:$E$212,4,FALSE),"")</f>
        <v/>
      </c>
      <c r="G879" s="17"/>
      <c r="H879" s="17"/>
      <c r="I879" s="17"/>
      <c r="J879" s="17" t="b">
        <v>0</v>
      </c>
    </row>
    <row r="880">
      <c r="A880" s="17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 t="str">
        <f>IFERROR(VLOOKUP(B880,'MASTER DATA'!$A$1:$E$212,4,FALSE),"")</f>
        <v/>
      </c>
      <c r="G880" s="17"/>
      <c r="H880" s="17"/>
      <c r="I880" s="17"/>
      <c r="J880" s="17" t="b">
        <v>0</v>
      </c>
    </row>
    <row r="881">
      <c r="A881" s="17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 t="str">
        <f>IFERROR(VLOOKUP(B881,'MASTER DATA'!$A$1:$E$212,4,FALSE),"")</f>
        <v/>
      </c>
      <c r="G881" s="17"/>
      <c r="H881" s="17"/>
      <c r="I881" s="17"/>
      <c r="J881" s="17" t="b">
        <v>0</v>
      </c>
    </row>
    <row r="882">
      <c r="A882" s="17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 t="str">
        <f>IFERROR(VLOOKUP(B882,'MASTER DATA'!$A$1:$E$212,4,FALSE),"")</f>
        <v/>
      </c>
      <c r="G882" s="17"/>
      <c r="H882" s="17"/>
      <c r="I882" s="17"/>
      <c r="J882" s="17" t="b">
        <v>0</v>
      </c>
    </row>
    <row r="883">
      <c r="A883" s="17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 t="str">
        <f>IFERROR(VLOOKUP(B883,'MASTER DATA'!$A$1:$E$212,4,FALSE),"")</f>
        <v/>
      </c>
      <c r="G883" s="17"/>
      <c r="H883" s="17"/>
      <c r="I883" s="17"/>
      <c r="J883" s="17" t="b">
        <v>0</v>
      </c>
    </row>
    <row r="884">
      <c r="A884" s="17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 t="str">
        <f>IFERROR(VLOOKUP(B884,'MASTER DATA'!$A$1:$E$212,4,FALSE),"")</f>
        <v/>
      </c>
      <c r="G884" s="17"/>
      <c r="H884" s="17"/>
      <c r="I884" s="17"/>
      <c r="J884" s="17" t="b">
        <v>0</v>
      </c>
    </row>
    <row r="885">
      <c r="A885" s="17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 t="str">
        <f>IFERROR(VLOOKUP(B885,'MASTER DATA'!$A$1:$E$212,4,FALSE),"")</f>
        <v/>
      </c>
      <c r="G885" s="17"/>
      <c r="H885" s="17"/>
      <c r="I885" s="17"/>
      <c r="J885" s="17" t="b">
        <v>0</v>
      </c>
    </row>
    <row r="886">
      <c r="A886" s="17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 t="str">
        <f>IFERROR(VLOOKUP(B886,'MASTER DATA'!$A$1:$E$212,4,FALSE),"")</f>
        <v/>
      </c>
      <c r="G886" s="17"/>
      <c r="H886" s="17"/>
      <c r="I886" s="17"/>
      <c r="J886" s="17" t="b">
        <v>0</v>
      </c>
    </row>
    <row r="887">
      <c r="A887" s="17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 t="str">
        <f>IFERROR(VLOOKUP(B887,'MASTER DATA'!$A$1:$E$212,4,FALSE),"")</f>
        <v/>
      </c>
      <c r="G887" s="17"/>
      <c r="H887" s="17"/>
      <c r="I887" s="17"/>
      <c r="J887" s="17" t="b">
        <v>0</v>
      </c>
    </row>
    <row r="888">
      <c r="A888" s="17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 t="str">
        <f>IFERROR(VLOOKUP(B888,'MASTER DATA'!$A$1:$E$212,4,FALSE),"")</f>
        <v/>
      </c>
      <c r="G888" s="17"/>
      <c r="H888" s="17"/>
      <c r="I888" s="17"/>
      <c r="J888" s="17" t="b">
        <v>0</v>
      </c>
    </row>
    <row r="889">
      <c r="A889" s="17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 t="str">
        <f>IFERROR(VLOOKUP(B889,'MASTER DATA'!$A$1:$E$212,4,FALSE),"")</f>
        <v/>
      </c>
      <c r="G889" s="17"/>
      <c r="H889" s="17"/>
      <c r="I889" s="17"/>
      <c r="J889" s="17" t="b">
        <v>0</v>
      </c>
    </row>
    <row r="890">
      <c r="A890" s="17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 t="str">
        <f>IFERROR(VLOOKUP(B890,'MASTER DATA'!$A$1:$E$212,4,FALSE),"")</f>
        <v/>
      </c>
      <c r="G890" s="17"/>
      <c r="H890" s="17"/>
      <c r="I890" s="17"/>
      <c r="J890" s="17" t="b">
        <v>0</v>
      </c>
    </row>
    <row r="891">
      <c r="A891" s="17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 t="str">
        <f>IFERROR(VLOOKUP(B891,'MASTER DATA'!$A$1:$E$212,4,FALSE),"")</f>
        <v/>
      </c>
      <c r="G891" s="17"/>
      <c r="H891" s="17"/>
      <c r="I891" s="17"/>
      <c r="J891" s="17" t="b">
        <v>0</v>
      </c>
    </row>
    <row r="892">
      <c r="A892" s="17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 t="str">
        <f>IFERROR(VLOOKUP(B892,'MASTER DATA'!$A$1:$E$212,4,FALSE),"")</f>
        <v/>
      </c>
      <c r="G892" s="17"/>
      <c r="H892" s="17"/>
      <c r="I892" s="17"/>
      <c r="J892" s="17" t="b">
        <v>0</v>
      </c>
    </row>
    <row r="893">
      <c r="A893" s="17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 t="str">
        <f>IFERROR(VLOOKUP(B893,'MASTER DATA'!$A$1:$E$212,4,FALSE),"")</f>
        <v/>
      </c>
      <c r="G893" s="17"/>
      <c r="H893" s="17"/>
      <c r="I893" s="17"/>
      <c r="J893" s="17" t="b">
        <v>0</v>
      </c>
    </row>
    <row r="894">
      <c r="A894" s="17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 t="str">
        <f>IFERROR(VLOOKUP(B894,'MASTER DATA'!$A$1:$E$212,4,FALSE),"")</f>
        <v/>
      </c>
      <c r="G894" s="17"/>
      <c r="H894" s="17"/>
      <c r="I894" s="17"/>
      <c r="J894" s="17" t="b">
        <v>0</v>
      </c>
    </row>
    <row r="895">
      <c r="A895" s="17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 t="str">
        <f>IFERROR(VLOOKUP(B895,'MASTER DATA'!$A$1:$E$212,4,FALSE),"")</f>
        <v/>
      </c>
      <c r="G895" s="17"/>
      <c r="H895" s="17"/>
      <c r="I895" s="17"/>
      <c r="J895" s="17" t="b">
        <v>0</v>
      </c>
    </row>
    <row r="896">
      <c r="A896" s="17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 t="str">
        <f>IFERROR(VLOOKUP(B896,'MASTER DATA'!$A$1:$E$212,4,FALSE),"")</f>
        <v/>
      </c>
      <c r="G896" s="17"/>
      <c r="H896" s="17"/>
      <c r="I896" s="17"/>
      <c r="J896" s="17" t="b">
        <v>0</v>
      </c>
    </row>
    <row r="897">
      <c r="A897" s="17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 t="str">
        <f>IFERROR(VLOOKUP(B897,'MASTER DATA'!$A$1:$E$212,4,FALSE),"")</f>
        <v/>
      </c>
      <c r="G897" s="17"/>
      <c r="H897" s="17"/>
      <c r="I897" s="17"/>
      <c r="J897" s="17" t="b">
        <v>0</v>
      </c>
    </row>
    <row r="898">
      <c r="A898" s="17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 t="str">
        <f>IFERROR(VLOOKUP(B898,'MASTER DATA'!$A$1:$E$212,4,FALSE),"")</f>
        <v/>
      </c>
      <c r="G898" s="17"/>
      <c r="H898" s="17"/>
      <c r="I898" s="17"/>
      <c r="J898" s="17" t="b">
        <v>0</v>
      </c>
    </row>
    <row r="899">
      <c r="A899" s="17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 t="str">
        <f>IFERROR(VLOOKUP(B899,'MASTER DATA'!$A$1:$E$212,4,FALSE),"")</f>
        <v/>
      </c>
      <c r="G899" s="17"/>
      <c r="H899" s="17"/>
      <c r="I899" s="17"/>
      <c r="J899" s="17" t="b">
        <v>0</v>
      </c>
    </row>
    <row r="900">
      <c r="A900" s="17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 t="str">
        <f>IFERROR(VLOOKUP(B900,'MASTER DATA'!$A$1:$E$212,4,FALSE),"")</f>
        <v/>
      </c>
      <c r="G900" s="17"/>
      <c r="H900" s="17"/>
      <c r="I900" s="17"/>
      <c r="J900" s="17" t="b">
        <v>0</v>
      </c>
    </row>
    <row r="901">
      <c r="A901" s="17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 t="str">
        <f>IFERROR(VLOOKUP(B901,'MASTER DATA'!$A$1:$E$212,4,FALSE),"")</f>
        <v/>
      </c>
      <c r="G901" s="17"/>
      <c r="H901" s="17"/>
      <c r="I901" s="17"/>
      <c r="J901" s="17" t="b">
        <v>0</v>
      </c>
    </row>
    <row r="902">
      <c r="A902" s="17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 t="str">
        <f>IFERROR(VLOOKUP(B902,'MASTER DATA'!$A$1:$E$212,4,FALSE),"")</f>
        <v/>
      </c>
      <c r="G902" s="17"/>
      <c r="H902" s="17"/>
      <c r="I902" s="17"/>
      <c r="J902" s="17" t="b">
        <v>0</v>
      </c>
    </row>
    <row r="903">
      <c r="A903" s="17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 t="str">
        <f>IFERROR(VLOOKUP(B903,'MASTER DATA'!$A$1:$E$212,4,FALSE),"")</f>
        <v/>
      </c>
      <c r="G903" s="17"/>
      <c r="H903" s="17"/>
      <c r="I903" s="17"/>
      <c r="J903" s="17" t="b">
        <v>0</v>
      </c>
    </row>
    <row r="904">
      <c r="A904" s="17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 t="str">
        <f>IFERROR(VLOOKUP(B904,'MASTER DATA'!$A$1:$E$212,4,FALSE),"")</f>
        <v/>
      </c>
      <c r="G904" s="17"/>
      <c r="H904" s="17"/>
      <c r="I904" s="17"/>
      <c r="J904" s="17" t="b">
        <v>0</v>
      </c>
    </row>
    <row r="905">
      <c r="A905" s="17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 t="str">
        <f>IFERROR(VLOOKUP(B905,'MASTER DATA'!$A$1:$E$212,4,FALSE),"")</f>
        <v/>
      </c>
      <c r="G905" s="17"/>
      <c r="H905" s="17"/>
      <c r="I905" s="17"/>
      <c r="J905" s="17" t="b">
        <v>0</v>
      </c>
    </row>
    <row r="906">
      <c r="A906" s="17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 t="str">
        <f>IFERROR(VLOOKUP(B906,'MASTER DATA'!$A$1:$E$212,4,FALSE),"")</f>
        <v/>
      </c>
      <c r="G906" s="17"/>
      <c r="H906" s="17"/>
      <c r="I906" s="17"/>
      <c r="J906" s="17" t="b">
        <v>0</v>
      </c>
    </row>
    <row r="907">
      <c r="A907" s="17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 t="str">
        <f>IFERROR(VLOOKUP(B907,'MASTER DATA'!$A$1:$E$212,4,FALSE),"")</f>
        <v/>
      </c>
      <c r="G907" s="17"/>
      <c r="H907" s="17"/>
      <c r="I907" s="17"/>
      <c r="J907" s="17" t="b">
        <v>0</v>
      </c>
    </row>
    <row r="908">
      <c r="A908" s="17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 t="str">
        <f>IFERROR(VLOOKUP(B908,'MASTER DATA'!$A$1:$E$212,4,FALSE),"")</f>
        <v/>
      </c>
      <c r="G908" s="17"/>
      <c r="H908" s="17"/>
      <c r="I908" s="17"/>
      <c r="J908" s="17" t="b">
        <v>0</v>
      </c>
    </row>
    <row r="909">
      <c r="A909" s="17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 t="str">
        <f>IFERROR(VLOOKUP(B909,'MASTER DATA'!$A$1:$E$212,4,FALSE),"")</f>
        <v/>
      </c>
      <c r="G909" s="17"/>
      <c r="H909" s="17"/>
      <c r="I909" s="17"/>
      <c r="J909" s="17" t="b">
        <v>0</v>
      </c>
    </row>
    <row r="910">
      <c r="A910" s="17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 t="str">
        <f>IFERROR(VLOOKUP(B910,'MASTER DATA'!$A$1:$E$212,4,FALSE),"")</f>
        <v/>
      </c>
      <c r="G910" s="17"/>
      <c r="H910" s="17"/>
      <c r="I910" s="17"/>
      <c r="J910" s="17" t="b">
        <v>0</v>
      </c>
    </row>
    <row r="911">
      <c r="A911" s="17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 t="str">
        <f>IFERROR(VLOOKUP(B911,'MASTER DATA'!$A$1:$E$212,4,FALSE),"")</f>
        <v/>
      </c>
      <c r="G911" s="17"/>
      <c r="H911" s="17"/>
      <c r="I911" s="17"/>
      <c r="J911" s="17" t="b">
        <v>0</v>
      </c>
    </row>
    <row r="912">
      <c r="A912" s="17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 t="str">
        <f>IFERROR(VLOOKUP(B912,'MASTER DATA'!$A$1:$E$212,4,FALSE),"")</f>
        <v/>
      </c>
      <c r="G912" s="17"/>
      <c r="H912" s="17"/>
      <c r="I912" s="17"/>
      <c r="J912" s="17" t="b">
        <v>0</v>
      </c>
    </row>
    <row r="913">
      <c r="A913" s="17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 t="str">
        <f>IFERROR(VLOOKUP(B913,'MASTER DATA'!$A$1:$E$212,4,FALSE),"")</f>
        <v/>
      </c>
      <c r="G913" s="17"/>
      <c r="H913" s="17"/>
      <c r="I913" s="17"/>
      <c r="J913" s="17" t="b">
        <v>0</v>
      </c>
    </row>
    <row r="914">
      <c r="A914" s="17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 t="str">
        <f>IFERROR(VLOOKUP(B914,'MASTER DATA'!$A$1:$E$212,4,FALSE),"")</f>
        <v/>
      </c>
      <c r="G914" s="17"/>
      <c r="H914" s="17"/>
      <c r="I914" s="17"/>
      <c r="J914" s="17" t="b">
        <v>0</v>
      </c>
    </row>
    <row r="915">
      <c r="A915" s="17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 t="str">
        <f>IFERROR(VLOOKUP(B915,'MASTER DATA'!$A$1:$E$212,4,FALSE),"")</f>
        <v/>
      </c>
      <c r="G915" s="17"/>
      <c r="H915" s="17"/>
      <c r="I915" s="17"/>
      <c r="J915" s="17" t="b">
        <v>0</v>
      </c>
    </row>
    <row r="916">
      <c r="A916" s="17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 t="str">
        <f>IFERROR(VLOOKUP(B916,'MASTER DATA'!$A$1:$E$212,4,FALSE),"")</f>
        <v/>
      </c>
      <c r="G916" s="17"/>
      <c r="H916" s="17"/>
      <c r="I916" s="17"/>
      <c r="J916" s="17" t="b">
        <v>0</v>
      </c>
    </row>
    <row r="917">
      <c r="A917" s="17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 t="str">
        <f>IFERROR(VLOOKUP(B917,'MASTER DATA'!$A$1:$E$212,4,FALSE),"")</f>
        <v/>
      </c>
      <c r="G917" s="17"/>
      <c r="H917" s="17"/>
      <c r="I917" s="17"/>
      <c r="J917" s="17" t="b">
        <v>0</v>
      </c>
    </row>
    <row r="918">
      <c r="A918" s="17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 t="str">
        <f>IFERROR(VLOOKUP(B918,'MASTER DATA'!$A$1:$E$212,4,FALSE),"")</f>
        <v/>
      </c>
      <c r="G918" s="17"/>
      <c r="H918" s="17"/>
      <c r="I918" s="17"/>
      <c r="J918" s="17" t="b">
        <v>0</v>
      </c>
    </row>
    <row r="919">
      <c r="A919" s="17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 t="str">
        <f>IFERROR(VLOOKUP(B919,'MASTER DATA'!$A$1:$E$212,4,FALSE),"")</f>
        <v/>
      </c>
      <c r="G919" s="17"/>
      <c r="H919" s="17"/>
      <c r="I919" s="17"/>
      <c r="J919" s="17" t="b">
        <v>0</v>
      </c>
    </row>
    <row r="920">
      <c r="A920" s="17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 t="str">
        <f>IFERROR(VLOOKUP(B920,'MASTER DATA'!$A$1:$E$212,4,FALSE),"")</f>
        <v/>
      </c>
      <c r="G920" s="17"/>
      <c r="H920" s="17"/>
      <c r="I920" s="17"/>
      <c r="J920" s="17" t="b">
        <v>0</v>
      </c>
    </row>
    <row r="921">
      <c r="A921" s="17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 t="str">
        <f>IFERROR(VLOOKUP(B921,'MASTER DATA'!$A$1:$E$212,4,FALSE),"")</f>
        <v/>
      </c>
      <c r="G921" s="17"/>
      <c r="H921" s="17"/>
      <c r="I921" s="17"/>
      <c r="J921" s="17" t="b">
        <v>0</v>
      </c>
    </row>
    <row r="922">
      <c r="A922" s="17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 t="str">
        <f>IFERROR(VLOOKUP(B922,'MASTER DATA'!$A$1:$E$212,4,FALSE),"")</f>
        <v/>
      </c>
      <c r="G922" s="17"/>
      <c r="H922" s="17"/>
      <c r="I922" s="17"/>
      <c r="J922" s="17" t="b">
        <v>0</v>
      </c>
    </row>
    <row r="923">
      <c r="A923" s="17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 t="str">
        <f>IFERROR(VLOOKUP(B923,'MASTER DATA'!$A$1:$E$212,4,FALSE),"")</f>
        <v/>
      </c>
      <c r="G923" s="17"/>
      <c r="H923" s="17"/>
      <c r="I923" s="17"/>
      <c r="J923" s="17" t="b">
        <v>0</v>
      </c>
    </row>
    <row r="924">
      <c r="A924" s="17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 t="str">
        <f>IFERROR(VLOOKUP(B924,'MASTER DATA'!$A$1:$E$212,4,FALSE),"")</f>
        <v/>
      </c>
      <c r="G924" s="17"/>
      <c r="H924" s="17"/>
      <c r="I924" s="17"/>
      <c r="J924" s="17" t="b">
        <v>0</v>
      </c>
    </row>
    <row r="925">
      <c r="A925" s="17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 t="str">
        <f>IFERROR(VLOOKUP(B925,'MASTER DATA'!$A$1:$E$212,4,FALSE),"")</f>
        <v/>
      </c>
      <c r="G925" s="17"/>
      <c r="H925" s="17"/>
      <c r="I925" s="17"/>
      <c r="J925" s="17" t="b">
        <v>0</v>
      </c>
    </row>
    <row r="926">
      <c r="A926" s="17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 t="str">
        <f>IFERROR(VLOOKUP(B926,'MASTER DATA'!$A$1:$E$212,4,FALSE),"")</f>
        <v/>
      </c>
      <c r="G926" s="17"/>
      <c r="H926" s="17"/>
      <c r="I926" s="17"/>
      <c r="J926" s="17" t="b">
        <v>0</v>
      </c>
    </row>
    <row r="927">
      <c r="A927" s="17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 t="str">
        <f>IFERROR(VLOOKUP(B927,'MASTER DATA'!$A$1:$E$212,4,FALSE),"")</f>
        <v/>
      </c>
      <c r="G927" s="17"/>
      <c r="H927" s="17"/>
      <c r="I927" s="17"/>
      <c r="J927" s="17" t="b">
        <v>0</v>
      </c>
    </row>
    <row r="928">
      <c r="A928" s="17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 t="str">
        <f>IFERROR(VLOOKUP(B928,'MASTER DATA'!$A$1:$E$212,4,FALSE),"")</f>
        <v/>
      </c>
      <c r="G928" s="17"/>
      <c r="H928" s="17"/>
      <c r="I928" s="17"/>
      <c r="J928" s="17" t="b">
        <v>0</v>
      </c>
    </row>
    <row r="929">
      <c r="A929" s="17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 t="str">
        <f>IFERROR(VLOOKUP(B929,'MASTER DATA'!$A$1:$E$212,4,FALSE),"")</f>
        <v/>
      </c>
      <c r="G929" s="17"/>
      <c r="H929" s="17"/>
      <c r="I929" s="17"/>
      <c r="J929" s="17" t="b">
        <v>0</v>
      </c>
    </row>
    <row r="930">
      <c r="A930" s="17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 t="str">
        <f>IFERROR(VLOOKUP(B930,'MASTER DATA'!$A$1:$E$212,4,FALSE),"")</f>
        <v/>
      </c>
      <c r="G930" s="17"/>
      <c r="H930" s="17"/>
      <c r="I930" s="17"/>
      <c r="J930" s="17" t="b">
        <v>0</v>
      </c>
    </row>
    <row r="931">
      <c r="A931" s="17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 t="str">
        <f>IFERROR(VLOOKUP(B931,'MASTER DATA'!$A$1:$E$212,4,FALSE),"")</f>
        <v/>
      </c>
      <c r="G931" s="17"/>
      <c r="H931" s="17"/>
      <c r="I931" s="17"/>
      <c r="J931" s="17" t="b">
        <v>0</v>
      </c>
    </row>
    <row r="932">
      <c r="A932" s="17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 t="str">
        <f>IFERROR(VLOOKUP(B932,'MASTER DATA'!$A$1:$E$212,4,FALSE),"")</f>
        <v/>
      </c>
      <c r="G932" s="17"/>
      <c r="H932" s="17"/>
      <c r="I932" s="17"/>
      <c r="J932" s="17" t="b">
        <v>0</v>
      </c>
    </row>
    <row r="933">
      <c r="A933" s="17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 t="str">
        <f>IFERROR(VLOOKUP(B933,'MASTER DATA'!$A$1:$E$212,4,FALSE),"")</f>
        <v/>
      </c>
      <c r="G933" s="17"/>
      <c r="H933" s="17"/>
      <c r="I933" s="17"/>
      <c r="J933" s="17" t="b">
        <v>0</v>
      </c>
    </row>
    <row r="934">
      <c r="A934" s="17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 t="str">
        <f>IFERROR(VLOOKUP(B934,'MASTER DATA'!$A$1:$E$212,4,FALSE),"")</f>
        <v/>
      </c>
      <c r="G934" s="17"/>
      <c r="H934" s="17"/>
      <c r="I934" s="17"/>
      <c r="J934" s="17" t="b">
        <v>0</v>
      </c>
    </row>
    <row r="935">
      <c r="A935" s="17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 t="str">
        <f>IFERROR(VLOOKUP(B935,'MASTER DATA'!$A$1:$E$212,4,FALSE),"")</f>
        <v/>
      </c>
      <c r="G935" s="17"/>
      <c r="H935" s="17"/>
      <c r="I935" s="17"/>
      <c r="J935" s="17" t="b">
        <v>0</v>
      </c>
    </row>
    <row r="936">
      <c r="A936" s="17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 t="str">
        <f>IFERROR(VLOOKUP(B936,'MASTER DATA'!$A$1:$E$212,4,FALSE),"")</f>
        <v/>
      </c>
      <c r="G936" s="17"/>
      <c r="H936" s="17"/>
      <c r="I936" s="17"/>
      <c r="J936" s="17" t="b">
        <v>0</v>
      </c>
    </row>
    <row r="937">
      <c r="A937" s="17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 t="str">
        <f>IFERROR(VLOOKUP(B937,'MASTER DATA'!$A$1:$E$212,4,FALSE),"")</f>
        <v/>
      </c>
      <c r="G937" s="17"/>
      <c r="H937" s="17"/>
      <c r="I937" s="17"/>
      <c r="J937" s="17" t="b">
        <v>0</v>
      </c>
    </row>
    <row r="938">
      <c r="A938" s="17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 t="str">
        <f>IFERROR(VLOOKUP(B938,'MASTER DATA'!$A$1:$E$212,4,FALSE),"")</f>
        <v/>
      </c>
      <c r="G938" s="17"/>
      <c r="H938" s="17"/>
      <c r="I938" s="17"/>
      <c r="J938" s="17" t="b">
        <v>0</v>
      </c>
    </row>
    <row r="939">
      <c r="A939" s="17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 t="str">
        <f>IFERROR(VLOOKUP(B939,'MASTER DATA'!$A$1:$E$212,4,FALSE),"")</f>
        <v/>
      </c>
      <c r="G939" s="17"/>
      <c r="H939" s="17"/>
      <c r="I939" s="17"/>
      <c r="J939" s="17" t="b">
        <v>0</v>
      </c>
    </row>
    <row r="940">
      <c r="A940" s="17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 t="str">
        <f>IFERROR(VLOOKUP(B940,'MASTER DATA'!$A$1:$E$212,4,FALSE),"")</f>
        <v/>
      </c>
      <c r="G940" s="17"/>
      <c r="H940" s="17"/>
      <c r="I940" s="17"/>
      <c r="J940" s="17" t="b">
        <v>0</v>
      </c>
    </row>
    <row r="941">
      <c r="A941" s="17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 t="str">
        <f>IFERROR(VLOOKUP(B941,'MASTER DATA'!$A$1:$E$212,4,FALSE),"")</f>
        <v/>
      </c>
      <c r="G941" s="17"/>
      <c r="H941" s="17"/>
      <c r="I941" s="17"/>
      <c r="J941" s="17" t="b">
        <v>0</v>
      </c>
    </row>
    <row r="942">
      <c r="A942" s="17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 t="str">
        <f>IFERROR(VLOOKUP(B942,'MASTER DATA'!$A$1:$E$212,4,FALSE),"")</f>
        <v/>
      </c>
      <c r="G942" s="17"/>
      <c r="H942" s="17"/>
      <c r="I942" s="17"/>
      <c r="J942" s="17" t="b">
        <v>0</v>
      </c>
    </row>
    <row r="943">
      <c r="A943" s="17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 t="str">
        <f>IFERROR(VLOOKUP(B943,'MASTER DATA'!$A$1:$E$212,4,FALSE),"")</f>
        <v/>
      </c>
      <c r="G943" s="17"/>
      <c r="H943" s="17"/>
      <c r="I943" s="17"/>
      <c r="J943" s="17" t="b">
        <v>0</v>
      </c>
    </row>
    <row r="944">
      <c r="A944" s="17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 t="str">
        <f>IFERROR(VLOOKUP(B944,'MASTER DATA'!$A$1:$E$212,4,FALSE),"")</f>
        <v/>
      </c>
      <c r="G944" s="17"/>
      <c r="H944" s="17"/>
      <c r="I944" s="17"/>
      <c r="J944" s="17" t="b">
        <v>0</v>
      </c>
    </row>
    <row r="945">
      <c r="A945" s="17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 t="str">
        <f>IFERROR(VLOOKUP(B945,'MASTER DATA'!$A$1:$E$212,4,FALSE),"")</f>
        <v/>
      </c>
      <c r="G945" s="17"/>
      <c r="H945" s="17"/>
      <c r="I945" s="17"/>
      <c r="J945" s="17" t="b">
        <v>0</v>
      </c>
    </row>
    <row r="946">
      <c r="A946" s="17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 t="str">
        <f>IFERROR(VLOOKUP(B946,'MASTER DATA'!$A$1:$E$212,4,FALSE),"")</f>
        <v/>
      </c>
      <c r="G946" s="17"/>
      <c r="H946" s="17"/>
      <c r="I946" s="17"/>
      <c r="J946" s="17" t="b">
        <v>0</v>
      </c>
    </row>
    <row r="947">
      <c r="A947" s="17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 t="str">
        <f>IFERROR(VLOOKUP(B947,'MASTER DATA'!$A$1:$E$212,4,FALSE),"")</f>
        <v/>
      </c>
      <c r="G947" s="17"/>
      <c r="H947" s="17"/>
      <c r="I947" s="17"/>
      <c r="J947" s="17" t="b">
        <v>0</v>
      </c>
    </row>
    <row r="948">
      <c r="A948" s="17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 t="str">
        <f>IFERROR(VLOOKUP(B948,'MASTER DATA'!$A$1:$E$212,4,FALSE),"")</f>
        <v/>
      </c>
      <c r="G948" s="17"/>
      <c r="H948" s="17"/>
      <c r="I948" s="17"/>
      <c r="J948" s="17" t="b">
        <v>0</v>
      </c>
    </row>
    <row r="949">
      <c r="A949" s="17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 t="str">
        <f>IFERROR(VLOOKUP(B949,'MASTER DATA'!$A$1:$E$212,4,FALSE),"")</f>
        <v/>
      </c>
      <c r="G949" s="17"/>
      <c r="H949" s="17"/>
      <c r="I949" s="17"/>
      <c r="J949" s="17" t="b">
        <v>0</v>
      </c>
    </row>
    <row r="950">
      <c r="A950" s="17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 t="str">
        <f>IFERROR(VLOOKUP(B950,'MASTER DATA'!$A$1:$E$212,4,FALSE),"")</f>
        <v/>
      </c>
      <c r="G950" s="17"/>
      <c r="H950" s="17"/>
      <c r="I950" s="17"/>
      <c r="J950" s="17" t="b">
        <v>0</v>
      </c>
    </row>
    <row r="951">
      <c r="A951" s="17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 t="str">
        <f>IFERROR(VLOOKUP(B951,'MASTER DATA'!$A$1:$E$212,4,FALSE),"")</f>
        <v/>
      </c>
      <c r="G951" s="17"/>
      <c r="H951" s="17"/>
      <c r="I951" s="17"/>
      <c r="J951" s="17" t="b">
        <v>0</v>
      </c>
    </row>
    <row r="952">
      <c r="A952" s="17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 t="str">
        <f>IFERROR(VLOOKUP(B952,'MASTER DATA'!$A$1:$E$212,4,FALSE),"")</f>
        <v/>
      </c>
      <c r="G952" s="17"/>
      <c r="H952" s="17"/>
      <c r="I952" s="17"/>
      <c r="J952" s="17" t="b">
        <v>0</v>
      </c>
    </row>
    <row r="953">
      <c r="A953" s="17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 t="str">
        <f>IFERROR(VLOOKUP(B953,'MASTER DATA'!$A$1:$E$212,4,FALSE),"")</f>
        <v/>
      </c>
      <c r="G953" s="17"/>
      <c r="H953" s="17"/>
      <c r="I953" s="17"/>
      <c r="J953" s="17" t="b">
        <v>0</v>
      </c>
    </row>
    <row r="954">
      <c r="A954" s="17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 t="str">
        <f>IFERROR(VLOOKUP(B954,'MASTER DATA'!$A$1:$E$212,4,FALSE),"")</f>
        <v/>
      </c>
      <c r="G954" s="17"/>
      <c r="H954" s="17"/>
      <c r="I954" s="17"/>
      <c r="J954" s="17" t="b">
        <v>0</v>
      </c>
    </row>
    <row r="955">
      <c r="A955" s="17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 t="str">
        <f>IFERROR(VLOOKUP(B955,'MASTER DATA'!$A$1:$E$212,4,FALSE),"")</f>
        <v/>
      </c>
      <c r="G955" s="17"/>
      <c r="H955" s="17"/>
      <c r="I955" s="17"/>
      <c r="J955" s="17" t="b">
        <v>0</v>
      </c>
    </row>
    <row r="956">
      <c r="A956" s="17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 t="str">
        <f>IFERROR(VLOOKUP(B956,'MASTER DATA'!$A$1:$E$212,4,FALSE),"")</f>
        <v/>
      </c>
      <c r="G956" s="17"/>
      <c r="H956" s="17"/>
      <c r="I956" s="17"/>
      <c r="J956" s="17" t="b">
        <v>0</v>
      </c>
    </row>
    <row r="957">
      <c r="A957" s="17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 t="str">
        <f>IFERROR(VLOOKUP(B957,'MASTER DATA'!$A$1:$E$212,4,FALSE),"")</f>
        <v/>
      </c>
      <c r="G957" s="17"/>
      <c r="H957" s="17"/>
      <c r="I957" s="17"/>
      <c r="J957" s="17" t="b">
        <v>0</v>
      </c>
    </row>
    <row r="958">
      <c r="A958" s="17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 t="str">
        <f>IFERROR(VLOOKUP(B958,'MASTER DATA'!$A$1:$E$212,4,FALSE),"")</f>
        <v/>
      </c>
      <c r="G958" s="17"/>
      <c r="H958" s="17"/>
      <c r="I958" s="17"/>
      <c r="J958" s="17" t="b">
        <v>0</v>
      </c>
    </row>
    <row r="959">
      <c r="A959" s="17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 t="str">
        <f>IFERROR(VLOOKUP(B959,'MASTER DATA'!$A$1:$E$212,4,FALSE),"")</f>
        <v/>
      </c>
      <c r="G959" s="17"/>
      <c r="H959" s="17"/>
      <c r="I959" s="17"/>
      <c r="J959" s="17" t="b">
        <v>0</v>
      </c>
    </row>
    <row r="960">
      <c r="A960" s="17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 t="str">
        <f>IFERROR(VLOOKUP(B960,'MASTER DATA'!$A$1:$E$212,4,FALSE),"")</f>
        <v/>
      </c>
      <c r="G960" s="17"/>
      <c r="H960" s="17"/>
      <c r="I960" s="17"/>
      <c r="J960" s="17" t="b">
        <v>0</v>
      </c>
    </row>
    <row r="961">
      <c r="A961" s="17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 t="str">
        <f>IFERROR(VLOOKUP(B961,'MASTER DATA'!$A$1:$E$212,4,FALSE),"")</f>
        <v/>
      </c>
      <c r="G961" s="17"/>
      <c r="H961" s="17"/>
      <c r="I961" s="17"/>
      <c r="J961" s="17" t="b">
        <v>0</v>
      </c>
    </row>
    <row r="962">
      <c r="A962" s="17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 t="str">
        <f>IFERROR(VLOOKUP(B962,'MASTER DATA'!$A$1:$E$212,4,FALSE),"")</f>
        <v/>
      </c>
      <c r="G962" s="17"/>
      <c r="H962" s="17"/>
      <c r="I962" s="17"/>
      <c r="J962" s="17" t="b">
        <v>0</v>
      </c>
    </row>
    <row r="963">
      <c r="A963" s="17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 t="str">
        <f>IFERROR(VLOOKUP(B963,'MASTER DATA'!$A$1:$E$212,4,FALSE),"")</f>
        <v/>
      </c>
      <c r="G963" s="17"/>
      <c r="H963" s="17"/>
      <c r="I963" s="17"/>
      <c r="J963" s="17" t="b">
        <v>0</v>
      </c>
    </row>
    <row r="964">
      <c r="A964" s="17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 t="str">
        <f>IFERROR(VLOOKUP(B964,'MASTER DATA'!$A$1:$E$212,4,FALSE),"")</f>
        <v/>
      </c>
      <c r="G964" s="17"/>
      <c r="H964" s="17"/>
      <c r="I964" s="17"/>
      <c r="J964" s="17" t="b">
        <v>0</v>
      </c>
    </row>
    <row r="965">
      <c r="A965" s="17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 t="str">
        <f>IFERROR(VLOOKUP(B965,'MASTER DATA'!$A$1:$E$212,4,FALSE),"")</f>
        <v/>
      </c>
      <c r="G965" s="17"/>
      <c r="H965" s="17"/>
      <c r="I965" s="17"/>
      <c r="J965" s="17" t="b">
        <v>0</v>
      </c>
    </row>
    <row r="966">
      <c r="A966" s="17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 t="str">
        <f>IFERROR(VLOOKUP(B966,'MASTER DATA'!$A$1:$E$212,4,FALSE),"")</f>
        <v/>
      </c>
      <c r="G966" s="17"/>
      <c r="H966" s="17"/>
      <c r="I966" s="17"/>
      <c r="J966" s="17" t="b">
        <v>0</v>
      </c>
    </row>
    <row r="967">
      <c r="A967" s="17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 t="str">
        <f>IFERROR(VLOOKUP(B967,'MASTER DATA'!$A$1:$E$212,4,FALSE),"")</f>
        <v/>
      </c>
      <c r="G967" s="17"/>
      <c r="H967" s="17"/>
      <c r="I967" s="17"/>
      <c r="J967" s="17" t="b">
        <v>0</v>
      </c>
    </row>
    <row r="968">
      <c r="A968" s="17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 t="str">
        <f>IFERROR(VLOOKUP(B968,'MASTER DATA'!$A$1:$E$212,4,FALSE),"")</f>
        <v/>
      </c>
      <c r="G968" s="17"/>
      <c r="H968" s="17"/>
      <c r="I968" s="17"/>
      <c r="J968" s="17" t="b">
        <v>0</v>
      </c>
    </row>
    <row r="969">
      <c r="A969" s="17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 t="str">
        <f>IFERROR(VLOOKUP(B969,'MASTER DATA'!$A$1:$E$212,4,FALSE),"")</f>
        <v/>
      </c>
      <c r="G969" s="17"/>
      <c r="H969" s="17"/>
      <c r="I969" s="17"/>
      <c r="J969" s="17" t="b">
        <v>0</v>
      </c>
    </row>
    <row r="970">
      <c r="A970" s="17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 t="str">
        <f>IFERROR(VLOOKUP(B970,'MASTER DATA'!$A$1:$E$212,4,FALSE),"")</f>
        <v/>
      </c>
      <c r="G970" s="17"/>
      <c r="H970" s="17"/>
      <c r="I970" s="17"/>
      <c r="J970" s="17" t="b">
        <v>0</v>
      </c>
    </row>
    <row r="971">
      <c r="A971" s="17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 t="str">
        <f>IFERROR(VLOOKUP(B971,'MASTER DATA'!$A$1:$E$212,4,FALSE),"")</f>
        <v/>
      </c>
      <c r="G971" s="17"/>
      <c r="H971" s="17"/>
      <c r="I971" s="17"/>
      <c r="J971" s="17" t="b">
        <v>0</v>
      </c>
    </row>
    <row r="972">
      <c r="A972" s="17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 t="str">
        <f>IFERROR(VLOOKUP(B972,'MASTER DATA'!$A$1:$E$212,4,FALSE),"")</f>
        <v/>
      </c>
      <c r="G972" s="17"/>
      <c r="H972" s="17"/>
      <c r="I972" s="17"/>
      <c r="J972" s="17" t="b">
        <v>0</v>
      </c>
    </row>
    <row r="973">
      <c r="A973" s="17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 t="str">
        <f>IFERROR(VLOOKUP(B973,'MASTER DATA'!$A$1:$E$212,4,FALSE),"")</f>
        <v/>
      </c>
      <c r="G973" s="17"/>
      <c r="H973" s="17"/>
      <c r="I973" s="17"/>
      <c r="J973" s="17" t="b">
        <v>0</v>
      </c>
    </row>
    <row r="974">
      <c r="A974" s="17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 t="str">
        <f>IFERROR(VLOOKUP(B974,'MASTER DATA'!$A$1:$E$212,4,FALSE),"")</f>
        <v/>
      </c>
      <c r="G974" s="17"/>
      <c r="H974" s="17"/>
      <c r="I974" s="17"/>
      <c r="J974" s="17" t="b">
        <v>0</v>
      </c>
    </row>
    <row r="975">
      <c r="A975" s="17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 t="str">
        <f>IFERROR(VLOOKUP(B975,'MASTER DATA'!$A$1:$E$212,4,FALSE),"")</f>
        <v/>
      </c>
      <c r="G975" s="17"/>
      <c r="H975" s="17"/>
      <c r="I975" s="17"/>
      <c r="J975" s="17" t="b">
        <v>0</v>
      </c>
    </row>
    <row r="976">
      <c r="A976" s="17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 t="str">
        <f>IFERROR(VLOOKUP(B976,'MASTER DATA'!$A$1:$E$212,4,FALSE),"")</f>
        <v/>
      </c>
      <c r="G976" s="17"/>
      <c r="H976" s="17"/>
      <c r="I976" s="17"/>
      <c r="J976" s="17" t="b">
        <v>0</v>
      </c>
    </row>
    <row r="977">
      <c r="A977" s="17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 t="str">
        <f>IFERROR(VLOOKUP(B977,'MASTER DATA'!$A$1:$E$212,4,FALSE),"")</f>
        <v/>
      </c>
      <c r="G977" s="17"/>
      <c r="H977" s="17"/>
      <c r="I977" s="17"/>
      <c r="J977" s="17" t="b">
        <v>0</v>
      </c>
    </row>
    <row r="978">
      <c r="A978" s="17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 t="str">
        <f>IFERROR(VLOOKUP(B978,'MASTER DATA'!$A$1:$E$212,4,FALSE),"")</f>
        <v/>
      </c>
      <c r="G978" s="17"/>
      <c r="H978" s="17"/>
      <c r="I978" s="17"/>
      <c r="J978" s="17" t="b">
        <v>0</v>
      </c>
    </row>
    <row r="979">
      <c r="A979" s="17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 t="str">
        <f>IFERROR(VLOOKUP(B979,'MASTER DATA'!$A$1:$E$212,4,FALSE),"")</f>
        <v/>
      </c>
      <c r="G979" s="17"/>
      <c r="H979" s="17"/>
      <c r="I979" s="17"/>
      <c r="J979" s="17" t="b">
        <v>0</v>
      </c>
    </row>
    <row r="980">
      <c r="A980" s="17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 t="str">
        <f>IFERROR(VLOOKUP(B980,'MASTER DATA'!$A$1:$E$212,4,FALSE),"")</f>
        <v/>
      </c>
      <c r="G980" s="17"/>
      <c r="H980" s="17"/>
      <c r="I980" s="17"/>
      <c r="J980" s="17" t="b">
        <v>0</v>
      </c>
    </row>
    <row r="981">
      <c r="A981" s="17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 t="str">
        <f>IFERROR(VLOOKUP(B981,'MASTER DATA'!$A$1:$E$212,4,FALSE),"")</f>
        <v/>
      </c>
      <c r="G981" s="17"/>
      <c r="H981" s="17"/>
      <c r="I981" s="17"/>
      <c r="J981" s="17" t="b">
        <v>0</v>
      </c>
    </row>
    <row r="982">
      <c r="A982" s="17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 t="str">
        <f>IFERROR(VLOOKUP(B982,'MASTER DATA'!$A$1:$E$212,4,FALSE),"")</f>
        <v/>
      </c>
      <c r="G982" s="17"/>
      <c r="H982" s="17"/>
      <c r="I982" s="17"/>
      <c r="J982" s="17" t="b">
        <v>0</v>
      </c>
    </row>
    <row r="983">
      <c r="A983" s="17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 t="str">
        <f>IFERROR(VLOOKUP(B983,'MASTER DATA'!$A$1:$E$212,4,FALSE),"")</f>
        <v/>
      </c>
      <c r="G983" s="17"/>
      <c r="H983" s="17"/>
      <c r="I983" s="17"/>
      <c r="J983" s="17" t="b">
        <v>0</v>
      </c>
    </row>
    <row r="984">
      <c r="A984" s="17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 t="str">
        <f>IFERROR(VLOOKUP(B984,'MASTER DATA'!$A$1:$E$212,4,FALSE),"")</f>
        <v/>
      </c>
      <c r="G984" s="17"/>
      <c r="H984" s="17"/>
      <c r="I984" s="17"/>
      <c r="J984" s="17" t="b">
        <v>0</v>
      </c>
    </row>
    <row r="985">
      <c r="A985" s="17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 t="str">
        <f>IFERROR(VLOOKUP(B985,'MASTER DATA'!$A$1:$E$212,4,FALSE),"")</f>
        <v/>
      </c>
      <c r="G985" s="17"/>
      <c r="H985" s="17"/>
      <c r="I985" s="17"/>
      <c r="J985" s="17" t="b">
        <v>0</v>
      </c>
    </row>
    <row r="986">
      <c r="A986" s="17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 t="str">
        <f>IFERROR(VLOOKUP(B986,'MASTER DATA'!$A$1:$E$212,4,FALSE),"")</f>
        <v/>
      </c>
      <c r="G986" s="17"/>
      <c r="H986" s="17"/>
      <c r="I986" s="17"/>
      <c r="J986" s="17" t="b">
        <v>0</v>
      </c>
    </row>
    <row r="987">
      <c r="A987" s="17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 t="str">
        <f>IFERROR(VLOOKUP(B987,'MASTER DATA'!$A$1:$E$212,4,FALSE),"")</f>
        <v/>
      </c>
      <c r="G987" s="17"/>
      <c r="H987" s="17"/>
      <c r="I987" s="17"/>
      <c r="J987" s="17" t="b">
        <v>0</v>
      </c>
    </row>
    <row r="988">
      <c r="A988" s="17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 t="str">
        <f>IFERROR(VLOOKUP(B988,'MASTER DATA'!$A$1:$E$212,4,FALSE),"")</f>
        <v/>
      </c>
      <c r="G988" s="17"/>
      <c r="H988" s="17"/>
      <c r="I988" s="17"/>
      <c r="J988" s="17" t="b">
        <v>0</v>
      </c>
    </row>
    <row r="989">
      <c r="A989" s="17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 t="str">
        <f>IFERROR(VLOOKUP(B989,'MASTER DATA'!$A$1:$E$212,4,FALSE),"")</f>
        <v/>
      </c>
      <c r="G989" s="17"/>
      <c r="H989" s="17"/>
      <c r="I989" s="17"/>
      <c r="J989" s="17" t="b">
        <v>0</v>
      </c>
    </row>
    <row r="990">
      <c r="A990" s="17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 t="str">
        <f>IFERROR(VLOOKUP(B990,'MASTER DATA'!$A$1:$E$212,4,FALSE),"")</f>
        <v/>
      </c>
      <c r="G990" s="17"/>
      <c r="H990" s="17"/>
      <c r="I990" s="17"/>
      <c r="J990" s="17" t="b">
        <v>0</v>
      </c>
    </row>
    <row r="991">
      <c r="A991" s="17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 t="str">
        <f>IFERROR(VLOOKUP(B991,'MASTER DATA'!$A$1:$E$212,4,FALSE),"")</f>
        <v/>
      </c>
      <c r="G991" s="17"/>
      <c r="H991" s="17"/>
      <c r="I991" s="17"/>
      <c r="J991" s="17" t="b">
        <v>0</v>
      </c>
    </row>
    <row r="992">
      <c r="A992" s="17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 t="str">
        <f>IFERROR(VLOOKUP(B992,'MASTER DATA'!$A$1:$E$212,4,FALSE),"")</f>
        <v/>
      </c>
      <c r="G992" s="17"/>
      <c r="H992" s="17"/>
      <c r="I992" s="17"/>
      <c r="J992" s="17" t="b">
        <v>0</v>
      </c>
    </row>
    <row r="993">
      <c r="A993" s="17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 t="str">
        <f>IFERROR(VLOOKUP(B993,'MASTER DATA'!$A$1:$E$212,4,FALSE),"")</f>
        <v/>
      </c>
      <c r="G993" s="17"/>
      <c r="H993" s="17"/>
      <c r="I993" s="17"/>
      <c r="J993" s="17" t="b">
        <v>0</v>
      </c>
    </row>
    <row r="994">
      <c r="A994" s="17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 t="str">
        <f>IFERROR(VLOOKUP(B994,'MASTER DATA'!$A$1:$E$212,4,FALSE),"")</f>
        <v/>
      </c>
      <c r="G994" s="17"/>
      <c r="H994" s="17"/>
      <c r="I994" s="17"/>
      <c r="J994" s="17" t="b">
        <v>0</v>
      </c>
    </row>
    <row r="995">
      <c r="A995" s="17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 t="str">
        <f>IFERROR(VLOOKUP(B995,'MASTER DATA'!$A$1:$E$212,4,FALSE),"")</f>
        <v/>
      </c>
      <c r="G995" s="17"/>
      <c r="H995" s="17"/>
      <c r="I995" s="17"/>
      <c r="J995" s="17" t="b">
        <v>0</v>
      </c>
    </row>
    <row r="996">
      <c r="A996" s="17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 t="str">
        <f>IFERROR(VLOOKUP(B996,'MASTER DATA'!$A$1:$E$212,4,FALSE),"")</f>
        <v/>
      </c>
      <c r="G996" s="17"/>
      <c r="H996" s="17"/>
      <c r="I996" s="17"/>
      <c r="J996" s="17" t="b">
        <v>0</v>
      </c>
    </row>
    <row r="997">
      <c r="A997" s="17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 t="str">
        <f>IFERROR(VLOOKUP(B997,'MASTER DATA'!$A$1:$E$212,4,FALSE),"")</f>
        <v/>
      </c>
      <c r="G997" s="17"/>
      <c r="H997" s="17"/>
      <c r="I997" s="17"/>
      <c r="J997" s="17" t="b">
        <v>0</v>
      </c>
    </row>
    <row r="998">
      <c r="A998" s="17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 t="str">
        <f>IFERROR(VLOOKUP(B998,'MASTER DATA'!$A$1:$E$212,4,FALSE),"")</f>
        <v/>
      </c>
      <c r="G998" s="17"/>
      <c r="H998" s="17"/>
      <c r="I998" s="17"/>
      <c r="J998" s="17" t="b">
        <v>0</v>
      </c>
    </row>
    <row r="999">
      <c r="A999" s="17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 t="str">
        <f>IFERROR(VLOOKUP(B999,'MASTER DATA'!$A$1:$E$212,4,FALSE),"")</f>
        <v/>
      </c>
      <c r="G999" s="17"/>
      <c r="H999" s="17"/>
      <c r="I999" s="17"/>
      <c r="J999" s="17" t="b">
        <v>0</v>
      </c>
    </row>
    <row r="1000">
      <c r="A1000" s="17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 t="str">
        <f>IFERROR(VLOOKUP(B1000,'MASTER DATA'!$A$1:$E$212,4,FALSE),"")</f>
        <v/>
      </c>
      <c r="G1000" s="17"/>
      <c r="H1000" s="17"/>
      <c r="I1000" s="17"/>
      <c r="J1000" s="17" t="b">
        <v>0</v>
      </c>
    </row>
    <row r="1001">
      <c r="A1001" s="17"/>
      <c r="B1001" s="17"/>
      <c r="C1001" s="17" t="str">
        <f>IFERROR(VLOOKUP(B1001,'MASTER DATA'!$A$1:$E$212,2,FALSE),"")</f>
        <v/>
      </c>
      <c r="D1001" s="17" t="str">
        <f>IFERROR(VLOOKUP(B1001,'MASTER DATA'!$A$1:$E$212,5,FALSE),"")</f>
        <v/>
      </c>
      <c r="E1001" s="17"/>
      <c r="F1001" s="17" t="str">
        <f>IFERROR(VLOOKUP(B1001,'MASTER DATA'!$A$1:$E$212,4,FALSE),"")</f>
        <v/>
      </c>
      <c r="G1001" s="17"/>
      <c r="H1001" s="17"/>
      <c r="I1001" s="17"/>
      <c r="J1001" s="17" t="b">
        <v>0</v>
      </c>
    </row>
    <row r="1002">
      <c r="A1002" s="17"/>
      <c r="B1002" s="17"/>
      <c r="C1002" s="17" t="str">
        <f>IFERROR(VLOOKUP(B1002,'MASTER DATA'!$A$1:$E$212,2,FALSE),"")</f>
        <v/>
      </c>
      <c r="D1002" s="17" t="str">
        <f>IFERROR(VLOOKUP(B1002,'MASTER DATA'!$A$1:$E$212,5,FALSE),"")</f>
        <v/>
      </c>
      <c r="E1002" s="17"/>
      <c r="F1002" s="17" t="str">
        <f>IFERROR(VLOOKUP(B1002,'MASTER DATA'!$A$1:$E$212,4,FALSE),"")</f>
        <v/>
      </c>
      <c r="G1002" s="17"/>
      <c r="H1002" s="17"/>
      <c r="I1002" s="17"/>
      <c r="J1002" s="17" t="b">
        <v>0</v>
      </c>
    </row>
  </sheetData>
  <mergeCells count="4">
    <mergeCell ref="A1:J1"/>
    <mergeCell ref="A2:J2"/>
    <mergeCell ref="A3:J3"/>
    <mergeCell ref="A4:J4"/>
  </mergeCells>
  <dataValidations>
    <dataValidation type="list" allowBlank="1" showDropDown="1" showErrorMessage="1" sqref="B7:B1002">
      <formula1>'MASTER DATA'!$A$2:$A$215</formula1>
    </dataValidation>
    <dataValidation type="list" allowBlank="1" showErrorMessage="1" sqref="I7:I1002">
      <formula1>"Waste,Spoil,Training,Discontinued,Test food/kalibrasi"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  <col customWidth="1" min="4" max="4" width="23.43"/>
    <col customWidth="1" min="7" max="7" width="17.29"/>
    <col customWidth="1" min="9" max="9" width="23.71"/>
  </cols>
  <sheetData>
    <row r="1">
      <c r="A1" s="11">
        <v>2.0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1132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 t="s">
        <v>2</v>
      </c>
      <c r="B6" s="15"/>
      <c r="C6" s="16" t="s">
        <v>7</v>
      </c>
      <c r="D6" s="16" t="s">
        <v>8</v>
      </c>
      <c r="E6" s="4" t="s">
        <v>10</v>
      </c>
      <c r="F6" s="16" t="s">
        <v>9</v>
      </c>
      <c r="G6" s="4" t="s">
        <v>1133</v>
      </c>
      <c r="H6" s="4" t="s">
        <v>12</v>
      </c>
      <c r="I6" s="4" t="s">
        <v>42</v>
      </c>
      <c r="J6" s="16" t="s">
        <v>44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6">
        <v>46266.0</v>
      </c>
      <c r="B7" s="18" t="s">
        <v>108</v>
      </c>
      <c r="C7" s="17" t="str">
        <f>IFERROR(VLOOKUP(B7,'MASTER DATA'!$A$1:$E$212,2,FALSE),"")</f>
        <v>BB-100500</v>
      </c>
      <c r="D7" s="17" t="str">
        <f>IFERROR(VLOOKUP(B7,'MASTER DATA'!$A$1:$E$212,5,FALSE),"")</f>
        <v>BAHAN BAKU LUUCA</v>
      </c>
      <c r="E7" s="44" t="s">
        <v>879</v>
      </c>
      <c r="F7" s="17" t="str">
        <f>IFERROR(VLOOKUP(B7,'MASTER DATA'!$A$1:$E$212,4,FALSE),"")</f>
        <v>GR</v>
      </c>
      <c r="G7" s="18"/>
      <c r="H7" s="44"/>
      <c r="I7" s="18"/>
      <c r="J7" s="17" t="b">
        <v>0</v>
      </c>
    </row>
    <row r="8">
      <c r="A8" s="36">
        <v>46267.0</v>
      </c>
      <c r="B8" s="18"/>
      <c r="C8" s="17" t="str">
        <f>IFERROR(VLOOKUP(B8,'MASTER DATA'!$A$1:$E$212,2,FALSE),"")</f>
        <v/>
      </c>
      <c r="D8" s="17" t="str">
        <f>IFERROR(VLOOKUP(B8,'MASTER DATA'!$A$1:$E$212,5,FALSE),"")</f>
        <v/>
      </c>
      <c r="E8" s="44"/>
      <c r="F8" s="17" t="str">
        <f>IFERROR(VLOOKUP(B8,'MASTER DATA'!$A$1:$E$212,4,FALSE),"")</f>
        <v/>
      </c>
      <c r="G8" s="18"/>
      <c r="H8" s="44"/>
      <c r="I8" s="18"/>
      <c r="J8" s="17" t="b">
        <v>0</v>
      </c>
    </row>
    <row r="9">
      <c r="A9" s="36"/>
      <c r="B9" s="18"/>
      <c r="C9" s="17" t="str">
        <f>IFERROR(VLOOKUP(B9,'MASTER DATA'!$A$1:$E$212,2,FALSE),"")</f>
        <v/>
      </c>
      <c r="D9" s="17" t="str">
        <f>IFERROR(VLOOKUP(B9,'MASTER DATA'!$A$1:$E$212,5,FALSE),"")</f>
        <v/>
      </c>
      <c r="E9" s="44"/>
      <c r="F9" s="17" t="str">
        <f>IFERROR(VLOOKUP(B9,'MASTER DATA'!$A$1:$E$212,4,FALSE),"")</f>
        <v/>
      </c>
      <c r="G9" s="18"/>
      <c r="H9" s="44"/>
      <c r="I9" s="18"/>
      <c r="J9" s="17" t="b">
        <v>0</v>
      </c>
    </row>
    <row r="10">
      <c r="A10" s="18" t="s">
        <v>1086</v>
      </c>
      <c r="B10" s="18"/>
      <c r="C10" s="17" t="str">
        <f>IFERROR(VLOOKUP(B10,'MASTER DATA'!$A$1:$E$212,2,FALSE),"")</f>
        <v/>
      </c>
      <c r="D10" s="17" t="str">
        <f>IFERROR(VLOOKUP(B10,'MASTER DATA'!$A$1:$E$212,5,FALSE),"")</f>
        <v/>
      </c>
      <c r="E10" s="44"/>
      <c r="F10" s="17" t="str">
        <f>IFERROR(VLOOKUP(B10,'MASTER DATA'!$A$1:$E$212,4,FALSE),"")</f>
        <v/>
      </c>
      <c r="G10" s="18"/>
      <c r="H10" s="44"/>
      <c r="I10" s="18"/>
      <c r="J10" s="17" t="b">
        <v>0</v>
      </c>
    </row>
    <row r="11">
      <c r="A11" s="18" t="s">
        <v>1086</v>
      </c>
      <c r="B11" s="18"/>
      <c r="C11" s="17" t="str">
        <f>IFERROR(VLOOKUP(B11,'MASTER DATA'!$A$1:$E$212,2,FALSE),"")</f>
        <v/>
      </c>
      <c r="D11" s="17" t="str">
        <f>IFERROR(VLOOKUP(B11,'MASTER DATA'!$A$1:$E$212,5,FALSE),"")</f>
        <v/>
      </c>
      <c r="E11" s="44"/>
      <c r="F11" s="17" t="str">
        <f>IFERROR(VLOOKUP(B11,'MASTER DATA'!$A$1:$E$212,4,FALSE),"")</f>
        <v/>
      </c>
      <c r="G11" s="18"/>
      <c r="H11" s="44"/>
      <c r="I11" s="18"/>
      <c r="J11" s="17" t="b">
        <v>0</v>
      </c>
    </row>
    <row r="12">
      <c r="A12" s="17"/>
      <c r="B12" s="18"/>
      <c r="C12" s="17" t="str">
        <f>IFERROR(VLOOKUP(B12,'MASTER DATA'!$A$1:$E$212,2,FALSE),"")</f>
        <v/>
      </c>
      <c r="D12" s="17" t="str">
        <f>IFERROR(VLOOKUP(B12,'MASTER DATA'!$A$1:$E$212,5,FALSE),"")</f>
        <v/>
      </c>
      <c r="E12" s="44"/>
      <c r="F12" s="17" t="str">
        <f>IFERROR(VLOOKUP(B12,'MASTER DATA'!$A$1:$E$212,4,FALSE),"")</f>
        <v/>
      </c>
      <c r="G12" s="18"/>
      <c r="H12" s="44"/>
      <c r="I12" s="18"/>
      <c r="J12" s="17" t="b">
        <v>0</v>
      </c>
    </row>
    <row r="13">
      <c r="A13" s="17"/>
      <c r="B13" s="18"/>
      <c r="C13" s="17" t="str">
        <f>IFERROR(VLOOKUP(B13,'MASTER DATA'!$A$1:$E$212,2,FALSE),"")</f>
        <v/>
      </c>
      <c r="D13" s="17" t="str">
        <f>IFERROR(VLOOKUP(B13,'MASTER DATA'!$A$1:$E$212,5,FALSE),"")</f>
        <v/>
      </c>
      <c r="E13" s="44"/>
      <c r="F13" s="17" t="str">
        <f>IFERROR(VLOOKUP(B13,'MASTER DATA'!$A$1:$E$212,4,FALSE),"")</f>
        <v/>
      </c>
      <c r="G13" s="18"/>
      <c r="H13" s="44"/>
      <c r="I13" s="18"/>
      <c r="J13" s="17" t="b">
        <v>0</v>
      </c>
    </row>
    <row r="14">
      <c r="A14" s="17"/>
      <c r="B14" s="18"/>
      <c r="C14" s="17" t="str">
        <f>IFERROR(VLOOKUP(B14,'MASTER DATA'!$A$1:$E$212,2,FALSE),"")</f>
        <v/>
      </c>
      <c r="D14" s="17" t="str">
        <f>IFERROR(VLOOKUP(B14,'MASTER DATA'!$A$1:$E$212,5,FALSE),"")</f>
        <v/>
      </c>
      <c r="E14" s="44"/>
      <c r="F14" s="17" t="str">
        <f>IFERROR(VLOOKUP(B14,'MASTER DATA'!$A$1:$E$212,4,FALSE),"")</f>
        <v/>
      </c>
      <c r="G14" s="18"/>
      <c r="H14" s="44"/>
      <c r="I14" s="18"/>
      <c r="J14" s="17" t="b">
        <v>0</v>
      </c>
    </row>
    <row r="15">
      <c r="A15" s="17"/>
      <c r="B15" s="18"/>
      <c r="C15" s="17" t="str">
        <f>IFERROR(VLOOKUP(B15,'MASTER DATA'!$A$1:$E$212,2,FALSE),"")</f>
        <v/>
      </c>
      <c r="D15" s="17" t="str">
        <f>IFERROR(VLOOKUP(B15,'MASTER DATA'!$A$1:$E$212,5,FALSE),"")</f>
        <v/>
      </c>
      <c r="E15" s="44"/>
      <c r="F15" s="17" t="str">
        <f>IFERROR(VLOOKUP(B15,'MASTER DATA'!$A$1:$E$212,4,FALSE),"")</f>
        <v/>
      </c>
      <c r="G15" s="18"/>
      <c r="H15" s="44"/>
      <c r="I15" s="18"/>
      <c r="J15" s="17" t="b">
        <v>0</v>
      </c>
    </row>
    <row r="16">
      <c r="A16" s="17"/>
      <c r="B16" s="18"/>
      <c r="C16" s="17" t="str">
        <f>IFERROR(VLOOKUP(B16,'MASTER DATA'!$A$1:$E$212,2,FALSE),"")</f>
        <v/>
      </c>
      <c r="D16" s="17" t="str">
        <f>IFERROR(VLOOKUP(B16,'MASTER DATA'!$A$1:$E$212,5,FALSE),"")</f>
        <v/>
      </c>
      <c r="E16" s="44"/>
      <c r="F16" s="17" t="str">
        <f>IFERROR(VLOOKUP(B16,'MASTER DATA'!$A$1:$E$212,4,FALSE),"")</f>
        <v/>
      </c>
      <c r="G16" s="18"/>
      <c r="H16" s="44"/>
      <c r="I16" s="18"/>
      <c r="J16" s="17" t="b">
        <v>0</v>
      </c>
    </row>
    <row r="17">
      <c r="A17" s="17"/>
      <c r="B17" s="18"/>
      <c r="C17" s="17" t="str">
        <f>IFERROR(VLOOKUP(B17,'MASTER DATA'!$A$1:$E$212,2,FALSE),"")</f>
        <v/>
      </c>
      <c r="D17" s="17" t="str">
        <f>IFERROR(VLOOKUP(B17,'MASTER DATA'!$A$1:$E$212,5,FALSE),"")</f>
        <v/>
      </c>
      <c r="E17" s="44"/>
      <c r="F17" s="17" t="str">
        <f>IFERROR(VLOOKUP(B17,'MASTER DATA'!$A$1:$E$212,4,FALSE),"")</f>
        <v/>
      </c>
      <c r="G17" s="18"/>
      <c r="H17" s="44"/>
      <c r="I17" s="18"/>
      <c r="J17" s="17" t="b">
        <v>0</v>
      </c>
    </row>
    <row r="18">
      <c r="A18" s="36"/>
      <c r="B18" s="18"/>
      <c r="C18" s="17" t="str">
        <f>IFERROR(VLOOKUP(B18,'MASTER DATA'!$A$1:$E$212,2,FALSE),"")</f>
        <v/>
      </c>
      <c r="D18" s="17" t="str">
        <f>IFERROR(VLOOKUP(B18,'MASTER DATA'!$A$1:$E$212,5,FALSE),"")</f>
        <v/>
      </c>
      <c r="E18" s="38"/>
      <c r="F18" s="17" t="str">
        <f>IFERROR(VLOOKUP(B18,'MASTER DATA'!$A$1:$E$212,4,FALSE),"")</f>
        <v/>
      </c>
      <c r="G18" s="18"/>
      <c r="H18" s="44"/>
      <c r="I18" s="18"/>
      <c r="J18" s="17" t="b">
        <v>0</v>
      </c>
    </row>
    <row r="19">
      <c r="A19" s="17"/>
      <c r="B19" s="18"/>
      <c r="C19" s="17" t="str">
        <f>IFERROR(VLOOKUP(B19,'MASTER DATA'!$A$1:$E$212,2,FALSE),"")</f>
        <v/>
      </c>
      <c r="D19" s="17" t="str">
        <f>IFERROR(VLOOKUP(B19,'MASTER DATA'!$A$1:$E$212,5,FALSE),"")</f>
        <v/>
      </c>
      <c r="E19" s="44"/>
      <c r="F19" s="17" t="str">
        <f>IFERROR(VLOOKUP(B19,'MASTER DATA'!$A$1:$E$212,4,FALSE),"")</f>
        <v/>
      </c>
      <c r="G19" s="18"/>
      <c r="H19" s="44"/>
      <c r="I19" s="18"/>
      <c r="J19" s="17" t="b">
        <v>0</v>
      </c>
    </row>
    <row r="20">
      <c r="A20" s="17"/>
      <c r="B20" s="18"/>
      <c r="C20" s="17" t="str">
        <f>IFERROR(VLOOKUP(B20,'MASTER DATA'!$A$1:$E$212,2,FALSE),"")</f>
        <v/>
      </c>
      <c r="D20" s="17" t="str">
        <f>IFERROR(VLOOKUP(B20,'MASTER DATA'!$A$1:$E$212,5,FALSE),"")</f>
        <v/>
      </c>
      <c r="E20" s="44"/>
      <c r="F20" s="17" t="str">
        <f>IFERROR(VLOOKUP(B20,'MASTER DATA'!$A$1:$E$212,4,FALSE),"")</f>
        <v/>
      </c>
      <c r="G20" s="18"/>
      <c r="H20" s="44"/>
      <c r="I20" s="18"/>
      <c r="J20" s="17" t="b">
        <v>0</v>
      </c>
    </row>
    <row r="21">
      <c r="A21" s="17"/>
      <c r="B21" s="18"/>
      <c r="C21" s="17" t="str">
        <f>IFERROR(VLOOKUP(B21,'MASTER DATA'!$A$1:$E$212,2,FALSE),"")</f>
        <v/>
      </c>
      <c r="D21" s="17" t="str">
        <f>IFERROR(VLOOKUP(B21,'MASTER DATA'!$A$1:$E$212,5,FALSE),"")</f>
        <v/>
      </c>
      <c r="E21" s="44"/>
      <c r="F21" s="17" t="str">
        <f>IFERROR(VLOOKUP(B21,'MASTER DATA'!$A$1:$E$212,4,FALSE),"")</f>
        <v/>
      </c>
      <c r="G21" s="18"/>
      <c r="H21" s="44"/>
      <c r="I21" s="18"/>
      <c r="J21" s="17" t="b">
        <v>0</v>
      </c>
    </row>
    <row r="22">
      <c r="A22" s="36"/>
      <c r="B22" s="18"/>
      <c r="C22" s="17" t="str">
        <f>IFERROR(VLOOKUP(B22,'MASTER DATA'!$A$1:$E$212,2,FALSE),"")</f>
        <v/>
      </c>
      <c r="D22" s="17" t="str">
        <f>IFERROR(VLOOKUP(B22,'MASTER DATA'!$A$1:$E$212,5,FALSE),"")</f>
        <v/>
      </c>
      <c r="E22" s="44"/>
      <c r="F22" s="17" t="str">
        <f>IFERROR(VLOOKUP(B22,'MASTER DATA'!$A$1:$E$212,4,FALSE),"")</f>
        <v/>
      </c>
      <c r="G22" s="18"/>
      <c r="H22" s="44"/>
      <c r="I22" s="18"/>
      <c r="J22" s="17" t="b">
        <v>0</v>
      </c>
    </row>
    <row r="23">
      <c r="A23" s="17"/>
      <c r="B23" s="18"/>
      <c r="C23" s="17" t="str">
        <f>IFERROR(VLOOKUP(B23,'MASTER DATA'!$A$1:$E$212,2,FALSE),"")</f>
        <v/>
      </c>
      <c r="D23" s="17" t="str">
        <f>IFERROR(VLOOKUP(B23,'MASTER DATA'!$A$1:$E$212,5,FALSE),"")</f>
        <v/>
      </c>
      <c r="E23" s="44"/>
      <c r="F23" s="17" t="str">
        <f>IFERROR(VLOOKUP(B23,'MASTER DATA'!$A$1:$E$212,4,FALSE),"")</f>
        <v/>
      </c>
      <c r="G23" s="18"/>
      <c r="H23" s="44"/>
      <c r="I23" s="18"/>
      <c r="J23" s="17" t="b">
        <v>0</v>
      </c>
    </row>
    <row r="24">
      <c r="A24" s="36"/>
      <c r="B24" s="18"/>
      <c r="C24" s="17" t="str">
        <f>IFERROR(VLOOKUP(B24,'MASTER DATA'!$A$1:$E$212,2,FALSE),"")</f>
        <v/>
      </c>
      <c r="D24" s="17" t="str">
        <f>IFERROR(VLOOKUP(B24,'MASTER DATA'!$A$1:$E$212,5,FALSE),"")</f>
        <v/>
      </c>
      <c r="E24" s="44"/>
      <c r="F24" s="17" t="str">
        <f>IFERROR(VLOOKUP(B24,'MASTER DATA'!$A$1:$E$212,4,FALSE),"")</f>
        <v/>
      </c>
      <c r="G24" s="18"/>
      <c r="H24" s="44"/>
      <c r="I24" s="18"/>
      <c r="J24" s="17" t="b">
        <v>0</v>
      </c>
    </row>
    <row r="25">
      <c r="A25" s="17"/>
      <c r="B25" s="18"/>
      <c r="C25" s="17" t="str">
        <f>IFERROR(VLOOKUP(B25,'MASTER DATA'!$A$1:$E$212,2,FALSE),"")</f>
        <v/>
      </c>
      <c r="D25" s="17" t="str">
        <f>IFERROR(VLOOKUP(B25,'MASTER DATA'!$A$1:$E$212,5,FALSE),"")</f>
        <v/>
      </c>
      <c r="E25" s="44"/>
      <c r="F25" s="17" t="str">
        <f>IFERROR(VLOOKUP(B25,'MASTER DATA'!$A$1:$E$212,4,FALSE),"")</f>
        <v/>
      </c>
      <c r="G25" s="18"/>
      <c r="H25" s="44"/>
      <c r="I25" s="18"/>
      <c r="J25" s="17" t="b">
        <v>0</v>
      </c>
    </row>
    <row r="26">
      <c r="A26" s="17"/>
      <c r="B26" s="18"/>
      <c r="C26" s="17" t="str">
        <f>IFERROR(VLOOKUP(B26,'MASTER DATA'!$A$1:$E$212,2,FALSE),"")</f>
        <v/>
      </c>
      <c r="D26" s="17" t="str">
        <f>IFERROR(VLOOKUP(B26,'MASTER DATA'!$A$1:$E$212,5,FALSE),"")</f>
        <v/>
      </c>
      <c r="E26" s="44"/>
      <c r="F26" s="17" t="str">
        <f>IFERROR(VLOOKUP(B26,'MASTER DATA'!$A$1:$E$212,4,FALSE),"")</f>
        <v/>
      </c>
      <c r="G26" s="18"/>
      <c r="H26" s="44"/>
      <c r="I26" s="18"/>
      <c r="J26" s="17" t="b">
        <v>0</v>
      </c>
    </row>
    <row r="27">
      <c r="A27" s="17"/>
      <c r="B27" s="18"/>
      <c r="C27" s="17" t="str">
        <f>IFERROR(VLOOKUP(B27,'MASTER DATA'!$A$1:$E$212,2,FALSE),"")</f>
        <v/>
      </c>
      <c r="D27" s="17" t="str">
        <f>IFERROR(VLOOKUP(B27,'MASTER DATA'!$A$1:$E$212,5,FALSE),"")</f>
        <v/>
      </c>
      <c r="E27" s="44"/>
      <c r="F27" s="17" t="str">
        <f>IFERROR(VLOOKUP(B27,'MASTER DATA'!$A$1:$E$212,4,FALSE),"")</f>
        <v/>
      </c>
      <c r="G27" s="18"/>
      <c r="H27" s="44"/>
      <c r="I27" s="18"/>
      <c r="J27" s="17" t="b">
        <v>0</v>
      </c>
    </row>
    <row r="28">
      <c r="A28" s="36"/>
      <c r="B28" s="18"/>
      <c r="C28" s="17" t="str">
        <f>IFERROR(VLOOKUP(B28,'MASTER DATA'!$A$1:$E$212,2,FALSE),"")</f>
        <v/>
      </c>
      <c r="D28" s="17" t="str">
        <f>IFERROR(VLOOKUP(B28,'MASTER DATA'!$A$1:$E$212,5,FALSE),"")</f>
        <v/>
      </c>
      <c r="E28" s="44"/>
      <c r="F28" s="17" t="str">
        <f>IFERROR(VLOOKUP(B28,'MASTER DATA'!$A$1:$E$212,4,FALSE),"")</f>
        <v/>
      </c>
      <c r="G28" s="18"/>
      <c r="H28" s="44"/>
      <c r="I28" s="18"/>
      <c r="J28" s="17" t="b">
        <v>0</v>
      </c>
    </row>
    <row r="29">
      <c r="A29" s="36"/>
      <c r="B29" s="18"/>
      <c r="C29" s="17" t="str">
        <f>IFERROR(VLOOKUP(B29,'MASTER DATA'!$A$1:$E$212,2,FALSE),"")</f>
        <v/>
      </c>
      <c r="D29" s="17" t="str">
        <f>IFERROR(VLOOKUP(B29,'MASTER DATA'!$A$1:$E$212,5,FALSE),"")</f>
        <v/>
      </c>
      <c r="E29" s="44"/>
      <c r="F29" s="17" t="str">
        <f>IFERROR(VLOOKUP(B29,'MASTER DATA'!$A$1:$E$212,4,FALSE),"")</f>
        <v/>
      </c>
      <c r="G29" s="18"/>
      <c r="H29" s="44"/>
      <c r="I29" s="18"/>
      <c r="J29" s="17" t="b">
        <v>0</v>
      </c>
    </row>
    <row r="30">
      <c r="A30" s="17"/>
      <c r="B30" s="18"/>
      <c r="C30" s="17" t="str">
        <f>IFERROR(VLOOKUP(B30,'MASTER DATA'!$A$1:$E$212,2,FALSE),"")</f>
        <v/>
      </c>
      <c r="D30" s="17" t="str">
        <f>IFERROR(VLOOKUP(B30,'MASTER DATA'!$A$1:$E$212,5,FALSE),"")</f>
        <v/>
      </c>
      <c r="E30" s="44"/>
      <c r="F30" s="17" t="str">
        <f>IFERROR(VLOOKUP(B30,'MASTER DATA'!$A$1:$E$212,4,FALSE),"")</f>
        <v/>
      </c>
      <c r="G30" s="18"/>
      <c r="H30" s="44"/>
      <c r="I30" s="18"/>
      <c r="J30" s="17" t="b">
        <v>0</v>
      </c>
    </row>
    <row r="31">
      <c r="A31" s="36"/>
      <c r="B31" s="18"/>
      <c r="C31" s="17" t="str">
        <f>IFERROR(VLOOKUP(B31,'MASTER DATA'!$A$1:$E$212,2,FALSE),"")</f>
        <v/>
      </c>
      <c r="D31" s="17" t="str">
        <f>IFERROR(VLOOKUP(B31,'MASTER DATA'!$A$1:$E$212,5,FALSE),"")</f>
        <v/>
      </c>
      <c r="E31" s="44"/>
      <c r="F31" s="17" t="str">
        <f>IFERROR(VLOOKUP(B31,'MASTER DATA'!$A$1:$E$212,4,FALSE),"")</f>
        <v/>
      </c>
      <c r="G31" s="18"/>
      <c r="H31" s="44"/>
      <c r="I31" s="18"/>
      <c r="J31" s="17" t="b">
        <v>0</v>
      </c>
    </row>
    <row r="32">
      <c r="A32" s="17"/>
      <c r="B32" s="18"/>
      <c r="C32" s="17" t="str">
        <f>IFERROR(VLOOKUP(B32,'MASTER DATA'!$A$1:$E$212,2,FALSE),"")</f>
        <v/>
      </c>
      <c r="D32" s="17" t="str">
        <f>IFERROR(VLOOKUP(B32,'MASTER DATA'!$A$1:$E$212,5,FALSE),"")</f>
        <v/>
      </c>
      <c r="E32" s="44"/>
      <c r="F32" s="17" t="str">
        <f>IFERROR(VLOOKUP(B32,'MASTER DATA'!$A$1:$E$212,4,FALSE),"")</f>
        <v/>
      </c>
      <c r="G32" s="18"/>
      <c r="H32" s="44"/>
      <c r="I32" s="18"/>
      <c r="J32" s="17" t="b">
        <v>0</v>
      </c>
    </row>
    <row r="33">
      <c r="A33" s="17"/>
      <c r="B33" s="18"/>
      <c r="C33" s="17" t="str">
        <f>IFERROR(VLOOKUP(B33,'MASTER DATA'!$A$1:$E$212,2,FALSE),"")</f>
        <v/>
      </c>
      <c r="D33" s="17" t="str">
        <f>IFERROR(VLOOKUP(B33,'MASTER DATA'!$A$1:$E$212,5,FALSE),"")</f>
        <v/>
      </c>
      <c r="E33" s="44"/>
      <c r="F33" s="17" t="str">
        <f>IFERROR(VLOOKUP(B33,'MASTER DATA'!$A$1:$E$212,4,FALSE),"")</f>
        <v/>
      </c>
      <c r="G33" s="18"/>
      <c r="H33" s="44"/>
      <c r="I33" s="18"/>
      <c r="J33" s="17" t="b">
        <v>0</v>
      </c>
    </row>
    <row r="34">
      <c r="A34" s="57"/>
      <c r="B34" s="18"/>
      <c r="C34" s="17" t="str">
        <f>IFERROR(VLOOKUP(B34,'MASTER DATA'!$A$1:$E$212,2,FALSE),"")</f>
        <v/>
      </c>
      <c r="D34" s="17" t="str">
        <f>IFERROR(VLOOKUP(B34,'MASTER DATA'!$A$1:$E$212,5,FALSE),"")</f>
        <v/>
      </c>
      <c r="E34" s="38"/>
      <c r="F34" s="17" t="str">
        <f>IFERROR(VLOOKUP(B34,'MASTER DATA'!$A$1:$E$212,4,FALSE),"")</f>
        <v/>
      </c>
      <c r="G34" s="18"/>
      <c r="H34" s="44"/>
      <c r="I34" s="18"/>
      <c r="J34" s="17" t="b">
        <v>0</v>
      </c>
    </row>
    <row r="35">
      <c r="A35" s="17"/>
      <c r="B35" s="18"/>
      <c r="C35" s="17" t="str">
        <f>IFERROR(VLOOKUP(B35,'MASTER DATA'!$A$1:$E$212,2,FALSE),"")</f>
        <v/>
      </c>
      <c r="D35" s="17" t="str">
        <f>IFERROR(VLOOKUP(B35,'MASTER DATA'!$A$1:$E$212,5,FALSE),"")</f>
        <v/>
      </c>
      <c r="E35" s="44"/>
      <c r="F35" s="17" t="str">
        <f>IFERROR(VLOOKUP(B35,'MASTER DATA'!$A$1:$E$212,4,FALSE),"")</f>
        <v/>
      </c>
      <c r="G35" s="18"/>
      <c r="H35" s="44"/>
      <c r="I35" s="18"/>
      <c r="J35" s="17" t="b">
        <v>0</v>
      </c>
    </row>
    <row r="36">
      <c r="A36" s="17"/>
      <c r="B36" s="18"/>
      <c r="C36" s="17" t="str">
        <f>IFERROR(VLOOKUP(B36,'MASTER DATA'!$A$1:$E$212,2,FALSE),"")</f>
        <v/>
      </c>
      <c r="D36" s="17" t="str">
        <f>IFERROR(VLOOKUP(B36,'MASTER DATA'!$A$1:$E$212,5,FALSE),"")</f>
        <v/>
      </c>
      <c r="E36" s="44"/>
      <c r="F36" s="17" t="str">
        <f>IFERROR(VLOOKUP(B36,'MASTER DATA'!$A$1:$E$212,4,FALSE),"")</f>
        <v/>
      </c>
      <c r="G36" s="18"/>
      <c r="H36" s="44"/>
      <c r="I36" s="18"/>
      <c r="J36" s="17" t="b">
        <v>0</v>
      </c>
    </row>
    <row r="37">
      <c r="A37" s="17"/>
      <c r="B37" s="18"/>
      <c r="C37" s="17" t="str">
        <f>IFERROR(VLOOKUP(B37,'MASTER DATA'!$A$1:$E$212,2,FALSE),"")</f>
        <v/>
      </c>
      <c r="D37" s="17" t="str">
        <f>IFERROR(VLOOKUP(B37,'MASTER DATA'!$A$1:$E$212,5,FALSE),"")</f>
        <v/>
      </c>
      <c r="E37" s="44"/>
      <c r="F37" s="17" t="str">
        <f>IFERROR(VLOOKUP(B37,'MASTER DATA'!$A$1:$E$212,4,FALSE),"")</f>
        <v/>
      </c>
      <c r="G37" s="18"/>
      <c r="H37" s="44"/>
      <c r="I37" s="18"/>
      <c r="J37" s="17" t="b">
        <v>0</v>
      </c>
    </row>
    <row r="38">
      <c r="A38" s="17"/>
      <c r="B38" s="18"/>
      <c r="C38" s="17" t="str">
        <f>IFERROR(VLOOKUP(B38,'MASTER DATA'!$A$1:$E$212,2,FALSE),"")</f>
        <v/>
      </c>
      <c r="D38" s="17" t="str">
        <f>IFERROR(VLOOKUP(B38,'MASTER DATA'!$A$1:$E$212,5,FALSE),"")</f>
        <v/>
      </c>
      <c r="E38" s="44"/>
      <c r="F38" s="17" t="str">
        <f>IFERROR(VLOOKUP(B38,'MASTER DATA'!$A$1:$E$212,4,FALSE),"")</f>
        <v/>
      </c>
      <c r="G38" s="18"/>
      <c r="H38" s="44"/>
      <c r="I38" s="18"/>
      <c r="J38" s="17" t="b">
        <v>0</v>
      </c>
    </row>
    <row r="39">
      <c r="A39" s="57"/>
      <c r="B39" s="18"/>
      <c r="C39" s="17" t="str">
        <f>IFERROR(VLOOKUP(B39,'MASTER DATA'!$A$1:$E$212,2,FALSE),"")</f>
        <v/>
      </c>
      <c r="D39" s="17" t="str">
        <f>IFERROR(VLOOKUP(B39,'MASTER DATA'!$A$1:$E$212,5,FALSE),"")</f>
        <v/>
      </c>
      <c r="E39" s="38"/>
      <c r="F39" s="17" t="str">
        <f>IFERROR(VLOOKUP(B39,'MASTER DATA'!$A$1:$E$212,4,FALSE),"")</f>
        <v/>
      </c>
      <c r="G39" s="18"/>
      <c r="H39" s="44"/>
      <c r="I39" s="18"/>
      <c r="J39" s="17" t="b">
        <v>0</v>
      </c>
    </row>
    <row r="40">
      <c r="A40" s="17"/>
      <c r="B40" s="18"/>
      <c r="C40" s="17" t="str">
        <f>IFERROR(VLOOKUP(B40,'MASTER DATA'!$A$1:$E$212,2,FALSE),"")</f>
        <v/>
      </c>
      <c r="D40" s="17" t="str">
        <f>IFERROR(VLOOKUP(B40,'MASTER DATA'!$A$1:$E$212,5,FALSE),"")</f>
        <v/>
      </c>
      <c r="E40" s="44"/>
      <c r="F40" s="17" t="str">
        <f>IFERROR(VLOOKUP(B40,'MASTER DATA'!$A$1:$E$212,4,FALSE),"")</f>
        <v/>
      </c>
      <c r="G40" s="18"/>
      <c r="H40" s="44"/>
      <c r="I40" s="18"/>
      <c r="J40" s="17" t="b">
        <v>0</v>
      </c>
    </row>
    <row r="41">
      <c r="A41" s="17"/>
      <c r="B41" s="18"/>
      <c r="C41" s="17" t="str">
        <f>IFERROR(VLOOKUP(B41,'MASTER DATA'!$A$1:$E$212,2,FALSE),"")</f>
        <v/>
      </c>
      <c r="D41" s="17" t="str">
        <f>IFERROR(VLOOKUP(B41,'MASTER DATA'!$A$1:$E$212,5,FALSE),"")</f>
        <v/>
      </c>
      <c r="E41" s="44"/>
      <c r="F41" s="17" t="str">
        <f>IFERROR(VLOOKUP(B41,'MASTER DATA'!$A$1:$E$212,4,FALSE),"")</f>
        <v/>
      </c>
      <c r="G41" s="18"/>
      <c r="H41" s="44"/>
      <c r="I41" s="18"/>
      <c r="J41" s="17" t="b">
        <v>0</v>
      </c>
    </row>
    <row r="42">
      <c r="A42" s="57"/>
      <c r="B42" s="18"/>
      <c r="C42" s="17" t="str">
        <f>IFERROR(VLOOKUP(B42,'MASTER DATA'!$A$1:$E$212,2,FALSE),"")</f>
        <v/>
      </c>
      <c r="D42" s="17" t="str">
        <f>IFERROR(VLOOKUP(B42,'MASTER DATA'!$A$1:$E$212,5,FALSE),"")</f>
        <v/>
      </c>
      <c r="E42" s="44"/>
      <c r="F42" s="17" t="str">
        <f>IFERROR(VLOOKUP(B42,'MASTER DATA'!$A$1:$E$212,4,FALSE),"")</f>
        <v/>
      </c>
      <c r="G42" s="18"/>
      <c r="H42" s="44"/>
      <c r="I42" s="18"/>
      <c r="J42" s="17" t="b">
        <v>0</v>
      </c>
    </row>
    <row r="43">
      <c r="A43" s="57"/>
      <c r="B43" s="18"/>
      <c r="C43" s="17" t="str">
        <f>IFERROR(VLOOKUP(B43,'MASTER DATA'!$A$1:$E$212,2,FALSE),"")</f>
        <v/>
      </c>
      <c r="D43" s="17" t="str">
        <f>IFERROR(VLOOKUP(B43,'MASTER DATA'!$A$1:$E$212,5,FALSE),"")</f>
        <v/>
      </c>
      <c r="E43" s="44"/>
      <c r="F43" s="17" t="str">
        <f>IFERROR(VLOOKUP(B43,'MASTER DATA'!$A$1:$E$212,4,FALSE),"")</f>
        <v/>
      </c>
      <c r="G43" s="18"/>
      <c r="H43" s="44"/>
      <c r="I43" s="18"/>
      <c r="J43" s="17" t="b">
        <v>0</v>
      </c>
    </row>
    <row r="44">
      <c r="A44" s="17"/>
      <c r="B44" s="18"/>
      <c r="C44" s="17" t="str">
        <f>IFERROR(VLOOKUP(B44,'MASTER DATA'!$A$1:$E$212,2,FALSE),"")</f>
        <v/>
      </c>
      <c r="D44" s="17" t="str">
        <f>IFERROR(VLOOKUP(B44,'MASTER DATA'!$A$1:$E$212,5,FALSE),"")</f>
        <v/>
      </c>
      <c r="E44" s="44"/>
      <c r="F44" s="17" t="str">
        <f>IFERROR(VLOOKUP(B44,'MASTER DATA'!$A$1:$E$212,4,FALSE),"")</f>
        <v/>
      </c>
      <c r="G44" s="18"/>
      <c r="H44" s="44"/>
      <c r="I44" s="18"/>
      <c r="J44" s="17" t="b">
        <v>0</v>
      </c>
    </row>
    <row r="45">
      <c r="A45" s="17"/>
      <c r="B45" s="18"/>
      <c r="C45" s="17" t="str">
        <f>IFERROR(VLOOKUP(B45,'MASTER DATA'!$A$1:$E$212,2,FALSE),"")</f>
        <v/>
      </c>
      <c r="D45" s="17" t="str">
        <f>IFERROR(VLOOKUP(B45,'MASTER DATA'!$A$1:$E$212,5,FALSE),"")</f>
        <v/>
      </c>
      <c r="E45" s="44"/>
      <c r="F45" s="17" t="str">
        <f>IFERROR(VLOOKUP(B45,'MASTER DATA'!$A$1:$E$212,4,FALSE),"")</f>
        <v/>
      </c>
      <c r="G45" s="18"/>
      <c r="H45" s="44"/>
      <c r="I45" s="18"/>
      <c r="J45" s="17" t="b">
        <v>0</v>
      </c>
    </row>
    <row r="46">
      <c r="A46" s="57"/>
      <c r="B46" s="18"/>
      <c r="C46" s="17" t="str">
        <f>IFERROR(VLOOKUP(B46,'MASTER DATA'!$A$1:$E$212,2,FALSE),"")</f>
        <v/>
      </c>
      <c r="D46" s="17" t="str">
        <f>IFERROR(VLOOKUP(B46,'MASTER DATA'!$A$1:$E$212,5,FALSE),"")</f>
        <v/>
      </c>
      <c r="E46" s="44"/>
      <c r="F46" s="17" t="str">
        <f>IFERROR(VLOOKUP(B46,'MASTER DATA'!$A$1:$E$212,4,FALSE),"")</f>
        <v/>
      </c>
      <c r="G46" s="18"/>
      <c r="H46" s="44"/>
      <c r="I46" s="18"/>
      <c r="J46" s="17" t="b">
        <v>0</v>
      </c>
    </row>
    <row r="47">
      <c r="A47" s="17"/>
      <c r="B47" s="18"/>
      <c r="C47" s="17" t="str">
        <f>IFERROR(VLOOKUP(B47,'MASTER DATA'!$A$1:$E$212,2,FALSE),"")</f>
        <v/>
      </c>
      <c r="D47" s="17" t="str">
        <f>IFERROR(VLOOKUP(B47,'MASTER DATA'!$A$1:$E$212,5,FALSE),"")</f>
        <v/>
      </c>
      <c r="E47" s="44"/>
      <c r="F47" s="17" t="str">
        <f>IFERROR(VLOOKUP(B47,'MASTER DATA'!$A$1:$E$212,4,FALSE),"")</f>
        <v/>
      </c>
      <c r="G47" s="18"/>
      <c r="H47" s="44"/>
      <c r="I47" s="18"/>
      <c r="J47" s="17" t="b">
        <v>0</v>
      </c>
    </row>
    <row r="48">
      <c r="A48" s="17"/>
      <c r="B48" s="18"/>
      <c r="C48" s="17" t="str">
        <f>IFERROR(VLOOKUP(B48,'MASTER DATA'!$A$1:$E$212,2,FALSE),"")</f>
        <v/>
      </c>
      <c r="D48" s="17" t="str">
        <f>IFERROR(VLOOKUP(B48,'MASTER DATA'!$A$1:$E$212,5,FALSE),"")</f>
        <v/>
      </c>
      <c r="E48" s="44"/>
      <c r="F48" s="17" t="str">
        <f>IFERROR(VLOOKUP(B48,'MASTER DATA'!$A$1:$E$212,4,FALSE),"")</f>
        <v/>
      </c>
      <c r="G48" s="18"/>
      <c r="H48" s="44"/>
      <c r="I48" s="18"/>
      <c r="J48" s="17" t="b">
        <v>0</v>
      </c>
    </row>
    <row r="49">
      <c r="A49" s="17"/>
      <c r="B49" s="18"/>
      <c r="C49" s="17" t="str">
        <f>IFERROR(VLOOKUP(B49,'MASTER DATA'!$A$1:$E$212,2,FALSE),"")</f>
        <v/>
      </c>
      <c r="D49" s="17" t="str">
        <f>IFERROR(VLOOKUP(B49,'MASTER DATA'!$A$1:$E$212,5,FALSE),"")</f>
        <v/>
      </c>
      <c r="E49" s="44"/>
      <c r="F49" s="17" t="str">
        <f>IFERROR(VLOOKUP(B49,'MASTER DATA'!$A$1:$E$212,4,FALSE),"")</f>
        <v/>
      </c>
      <c r="G49" s="18"/>
      <c r="H49" s="44"/>
      <c r="I49" s="18"/>
      <c r="J49" s="17" t="b">
        <v>0</v>
      </c>
    </row>
    <row r="50">
      <c r="A50" s="17"/>
      <c r="B50" s="18"/>
      <c r="C50" s="17" t="str">
        <f>IFERROR(VLOOKUP(B50,'MASTER DATA'!$A$1:$E$212,2,FALSE),"")</f>
        <v/>
      </c>
      <c r="D50" s="17" t="str">
        <f>IFERROR(VLOOKUP(B50,'MASTER DATA'!$A$1:$E$212,5,FALSE),"")</f>
        <v/>
      </c>
      <c r="E50" s="44"/>
      <c r="F50" s="17" t="str">
        <f>IFERROR(VLOOKUP(B50,'MASTER DATA'!$A$1:$E$212,4,FALSE),"")</f>
        <v/>
      </c>
      <c r="G50" s="18"/>
      <c r="H50" s="44"/>
      <c r="I50" s="18"/>
      <c r="J50" s="17" t="b">
        <v>0</v>
      </c>
    </row>
    <row r="51">
      <c r="A51" s="57"/>
      <c r="B51" s="18"/>
      <c r="C51" s="17" t="str">
        <f>IFERROR(VLOOKUP(B51,'MASTER DATA'!$A$1:$E$212,2,FALSE),"")</f>
        <v/>
      </c>
      <c r="D51" s="17" t="str">
        <f>IFERROR(VLOOKUP(B51,'MASTER DATA'!$A$1:$E$212,5,FALSE),"")</f>
        <v/>
      </c>
      <c r="E51" s="44"/>
      <c r="F51" s="17" t="str">
        <f>IFERROR(VLOOKUP(B51,'MASTER DATA'!$A$1:$E$212,4,FALSE),"")</f>
        <v/>
      </c>
      <c r="G51" s="18"/>
      <c r="H51" s="44"/>
      <c r="I51" s="18"/>
      <c r="J51" s="17" t="b">
        <v>0</v>
      </c>
    </row>
    <row r="52">
      <c r="A52" s="17"/>
      <c r="B52" s="18"/>
      <c r="C52" s="17" t="str">
        <f>IFERROR(VLOOKUP(B52,'MASTER DATA'!$A$1:$E$212,2,FALSE),"")</f>
        <v/>
      </c>
      <c r="D52" s="17" t="str">
        <f>IFERROR(VLOOKUP(B52,'MASTER DATA'!$A$1:$E$212,5,FALSE),"")</f>
        <v/>
      </c>
      <c r="E52" s="44"/>
      <c r="F52" s="17" t="str">
        <f>IFERROR(VLOOKUP(B52,'MASTER DATA'!$A$1:$E$212,4,FALSE),"")</f>
        <v/>
      </c>
      <c r="G52" s="18"/>
      <c r="H52" s="44"/>
      <c r="I52" s="18"/>
      <c r="J52" s="17" t="b">
        <v>0</v>
      </c>
    </row>
    <row r="53">
      <c r="A53" s="17"/>
      <c r="B53" s="18"/>
      <c r="C53" s="17" t="str">
        <f>IFERROR(VLOOKUP(B53,'MASTER DATA'!$A$1:$E$212,2,FALSE),"")</f>
        <v/>
      </c>
      <c r="D53" s="17" t="str">
        <f>IFERROR(VLOOKUP(B53,'MASTER DATA'!$A$1:$E$212,5,FALSE),"")</f>
        <v/>
      </c>
      <c r="E53" s="44"/>
      <c r="F53" s="17" t="str">
        <f>IFERROR(VLOOKUP(B53,'MASTER DATA'!$A$1:$E$212,4,FALSE),"")</f>
        <v/>
      </c>
      <c r="G53" s="18"/>
      <c r="H53" s="44"/>
      <c r="I53" s="18"/>
      <c r="J53" s="17" t="b">
        <v>0</v>
      </c>
    </row>
    <row r="54">
      <c r="A54" s="17"/>
      <c r="B54" s="18"/>
      <c r="C54" s="17" t="str">
        <f>IFERROR(VLOOKUP(B54,'MASTER DATA'!$A$1:$E$212,2,FALSE),"")</f>
        <v/>
      </c>
      <c r="D54" s="17" t="str">
        <f>IFERROR(VLOOKUP(B54,'MASTER DATA'!$A$1:$E$212,5,FALSE),"")</f>
        <v/>
      </c>
      <c r="E54" s="44"/>
      <c r="F54" s="17" t="str">
        <f>IFERROR(VLOOKUP(B54,'MASTER DATA'!$A$1:$E$212,4,FALSE),"")</f>
        <v/>
      </c>
      <c r="G54" s="18"/>
      <c r="H54" s="44"/>
      <c r="I54" s="18"/>
      <c r="J54" s="17" t="b">
        <v>0</v>
      </c>
    </row>
    <row r="55">
      <c r="A55" s="17"/>
      <c r="B55" s="18"/>
      <c r="C55" s="17" t="str">
        <f>IFERROR(VLOOKUP(B55,'MASTER DATA'!$A$1:$E$212,2,FALSE),"")</f>
        <v/>
      </c>
      <c r="D55" s="17" t="str">
        <f>IFERROR(VLOOKUP(B55,'MASTER DATA'!$A$1:$E$212,5,FALSE),"")</f>
        <v/>
      </c>
      <c r="E55" s="44"/>
      <c r="F55" s="17" t="str">
        <f>IFERROR(VLOOKUP(B55,'MASTER DATA'!$A$1:$E$212,4,FALSE),"")</f>
        <v/>
      </c>
      <c r="G55" s="18"/>
      <c r="H55" s="18"/>
      <c r="I55" s="18"/>
      <c r="J55" s="17" t="b">
        <v>0</v>
      </c>
    </row>
    <row r="56">
      <c r="A56" s="17"/>
      <c r="B56" s="18"/>
      <c r="C56" s="17" t="str">
        <f>IFERROR(VLOOKUP(B56,'MASTER DATA'!$A$1:$E$212,2,FALSE),"")</f>
        <v/>
      </c>
      <c r="D56" s="17" t="str">
        <f>IFERROR(VLOOKUP(B56,'MASTER DATA'!$A$1:$E$212,5,FALSE),"")</f>
        <v/>
      </c>
      <c r="E56" s="44"/>
      <c r="F56" s="17" t="str">
        <f>IFERROR(VLOOKUP(B56,'MASTER DATA'!$A$1:$E$212,4,FALSE),"")</f>
        <v/>
      </c>
      <c r="G56" s="18"/>
      <c r="H56" s="18"/>
      <c r="I56" s="18"/>
      <c r="J56" s="17" t="b">
        <v>0</v>
      </c>
    </row>
    <row r="57">
      <c r="A57" s="17"/>
      <c r="B57" s="18"/>
      <c r="C57" s="17" t="str">
        <f>IFERROR(VLOOKUP(B57,'MASTER DATA'!$A$1:$E$212,2,FALSE),"")</f>
        <v/>
      </c>
      <c r="D57" s="17" t="str">
        <f>IFERROR(VLOOKUP(B57,'MASTER DATA'!$A$1:$E$212,5,FALSE),"")</f>
        <v/>
      </c>
      <c r="E57" s="44"/>
      <c r="F57" s="17" t="str">
        <f>IFERROR(VLOOKUP(B57,'MASTER DATA'!$A$1:$E$212,4,FALSE),"")</f>
        <v/>
      </c>
      <c r="G57" s="18"/>
      <c r="H57" s="18"/>
      <c r="I57" s="18"/>
      <c r="J57" s="17" t="b">
        <v>0</v>
      </c>
    </row>
    <row r="58">
      <c r="A58" s="17"/>
      <c r="B58" s="18"/>
      <c r="C58" s="17" t="str">
        <f>IFERROR(VLOOKUP(B58,'MASTER DATA'!$A$1:$E$212,2,FALSE),"")</f>
        <v/>
      </c>
      <c r="D58" s="17" t="str">
        <f>IFERROR(VLOOKUP(B58,'MASTER DATA'!$A$1:$E$212,5,FALSE),"")</f>
        <v/>
      </c>
      <c r="E58" s="44"/>
      <c r="F58" s="17" t="str">
        <f>IFERROR(VLOOKUP(B58,'MASTER DATA'!$A$1:$E$212,4,FALSE),"")</f>
        <v/>
      </c>
      <c r="G58" s="18"/>
      <c r="H58" s="18"/>
      <c r="I58" s="18"/>
      <c r="J58" s="17" t="b">
        <v>0</v>
      </c>
    </row>
    <row r="59">
      <c r="A59" s="17"/>
      <c r="B59" s="18"/>
      <c r="C59" s="17" t="str">
        <f>IFERROR(VLOOKUP(B59,'MASTER DATA'!$A$1:$E$212,2,FALSE),"")</f>
        <v/>
      </c>
      <c r="D59" s="17" t="str">
        <f>IFERROR(VLOOKUP(B59,'MASTER DATA'!$A$1:$E$212,5,FALSE),"")</f>
        <v/>
      </c>
      <c r="E59" s="44"/>
      <c r="F59" s="17" t="str">
        <f>IFERROR(VLOOKUP(B59,'MASTER DATA'!$A$1:$E$212,4,FALSE),"")</f>
        <v/>
      </c>
      <c r="G59" s="18"/>
      <c r="H59" s="18"/>
      <c r="I59" s="18"/>
      <c r="J59" s="17" t="b">
        <v>0</v>
      </c>
    </row>
    <row r="60">
      <c r="A60" s="17"/>
      <c r="B60" s="18"/>
      <c r="C60" s="17"/>
      <c r="D60" s="17"/>
      <c r="E60" s="44"/>
      <c r="F60" s="18" t="s">
        <v>1145</v>
      </c>
      <c r="G60" s="18"/>
      <c r="H60" s="18"/>
      <c r="I60" s="18"/>
      <c r="J60" s="17" t="b">
        <v>0</v>
      </c>
    </row>
    <row r="61">
      <c r="A61" s="17"/>
      <c r="B61" s="18"/>
      <c r="C61" s="17" t="str">
        <f>IFERROR(VLOOKUP(B61,'MASTER DATA'!$A$1:$E$212,2,FALSE),"")</f>
        <v/>
      </c>
      <c r="D61" s="17" t="str">
        <f>IFERROR(VLOOKUP(B61,'MASTER DATA'!$A$1:$E$212,5,FALSE),"")</f>
        <v/>
      </c>
      <c r="E61" s="18"/>
      <c r="F61" s="17" t="str">
        <f>IFERROR(VLOOKUP(B61,'MASTER DATA'!$A$1:$E$212,4,FALSE),"")</f>
        <v/>
      </c>
      <c r="G61" s="18"/>
      <c r="H61" s="18"/>
      <c r="I61" s="18"/>
      <c r="J61" s="17" t="b">
        <v>0</v>
      </c>
    </row>
    <row r="62">
      <c r="A62" s="17"/>
      <c r="B62" s="18"/>
      <c r="C62" s="17" t="str">
        <f>IFERROR(VLOOKUP(B62,'MASTER DATA'!$A$1:$E$212,2,FALSE),"")</f>
        <v/>
      </c>
      <c r="D62" s="17" t="str">
        <f>IFERROR(VLOOKUP(B62,'MASTER DATA'!$A$1:$E$212,5,FALSE),"")</f>
        <v/>
      </c>
      <c r="E62" s="18"/>
      <c r="F62" s="17" t="str">
        <f>IFERROR(VLOOKUP(B62,'MASTER DATA'!$A$1:$E$212,4,FALSE),"")</f>
        <v/>
      </c>
      <c r="G62" s="18"/>
      <c r="H62" s="18"/>
      <c r="I62" s="18"/>
      <c r="J62" s="17" t="b">
        <v>0</v>
      </c>
    </row>
    <row r="63">
      <c r="A63" s="57"/>
      <c r="B63" s="18"/>
      <c r="C63" s="17" t="str">
        <f>IFERROR(VLOOKUP(B63,'MASTER DATA'!$A$1:$E$212,2,FALSE),"")</f>
        <v/>
      </c>
      <c r="D63" s="17" t="str">
        <f>IFERROR(VLOOKUP(B63,'MASTER DATA'!$A$1:$E$212,5,FALSE),"")</f>
        <v/>
      </c>
      <c r="E63" s="18"/>
      <c r="F63" s="17" t="str">
        <f>IFERROR(VLOOKUP(B63,'MASTER DATA'!$A$1:$E$212,4,FALSE),"")</f>
        <v/>
      </c>
      <c r="G63" s="18"/>
      <c r="H63" s="18"/>
      <c r="I63" s="18"/>
      <c r="J63" s="17" t="b">
        <v>0</v>
      </c>
    </row>
    <row r="64">
      <c r="A64" s="17"/>
      <c r="B64" s="18"/>
      <c r="C64" s="17" t="str">
        <f>IFERROR(VLOOKUP(B64,'MASTER DATA'!$A$1:$E$212,2,FALSE),"")</f>
        <v/>
      </c>
      <c r="D64" s="17" t="str">
        <f>IFERROR(VLOOKUP(B64,'MASTER DATA'!$A$1:$E$212,5,FALSE),"")</f>
        <v/>
      </c>
      <c r="E64" s="18"/>
      <c r="F64" s="17" t="str">
        <f>IFERROR(VLOOKUP(B64,'MASTER DATA'!$A$1:$E$212,4,FALSE),"")</f>
        <v/>
      </c>
      <c r="G64" s="18"/>
      <c r="H64" s="18"/>
      <c r="I64" s="18"/>
      <c r="J64" s="17" t="b">
        <v>0</v>
      </c>
    </row>
    <row r="65">
      <c r="A65" s="17"/>
      <c r="B65" s="18"/>
      <c r="C65" s="17" t="str">
        <f>IFERROR(VLOOKUP(B65,'MASTER DATA'!$A$1:$E$212,2,FALSE),"")</f>
        <v/>
      </c>
      <c r="D65" s="17" t="str">
        <f>IFERROR(VLOOKUP(B65,'MASTER DATA'!$A$1:$E$212,5,FALSE),"")</f>
        <v/>
      </c>
      <c r="E65" s="18"/>
      <c r="F65" s="17" t="str">
        <f>IFERROR(VLOOKUP(B65,'MASTER DATA'!$A$1:$E$212,4,FALSE),"")</f>
        <v/>
      </c>
      <c r="G65" s="18"/>
      <c r="H65" s="18"/>
      <c r="I65" s="18"/>
      <c r="J65" s="17" t="b">
        <v>0</v>
      </c>
    </row>
    <row r="66">
      <c r="A66" s="17"/>
      <c r="B66" s="18"/>
      <c r="C66" s="17" t="str">
        <f>IFERROR(VLOOKUP(B66,'MASTER DATA'!$A$1:$E$212,2,FALSE),"")</f>
        <v/>
      </c>
      <c r="D66" s="17" t="str">
        <f>IFERROR(VLOOKUP(B66,'MASTER DATA'!$A$1:$E$212,5,FALSE),"")</f>
        <v/>
      </c>
      <c r="E66" s="18"/>
      <c r="F66" s="17" t="str">
        <f>IFERROR(VLOOKUP(B66,'MASTER DATA'!$A$1:$E$212,4,FALSE),"")</f>
        <v/>
      </c>
      <c r="G66" s="18"/>
      <c r="H66" s="18"/>
      <c r="I66" s="18"/>
      <c r="J66" s="17" t="b">
        <v>0</v>
      </c>
    </row>
    <row r="67">
      <c r="A67" s="18"/>
      <c r="B67" s="18"/>
      <c r="C67" s="17" t="str">
        <f>IFERROR(VLOOKUP(B67,'MASTER DATA'!$A$1:$E$212,2,FALSE),"")</f>
        <v/>
      </c>
      <c r="D67" s="17" t="str">
        <f>IFERROR(VLOOKUP(B67,'MASTER DATA'!$A$1:$E$212,5,FALSE),"")</f>
        <v/>
      </c>
      <c r="E67" s="18"/>
      <c r="F67" s="17" t="str">
        <f>IFERROR(VLOOKUP(B67,'MASTER DATA'!$A$1:$E$212,4,FALSE),"")</f>
        <v/>
      </c>
      <c r="G67" s="18"/>
      <c r="H67" s="18"/>
      <c r="I67" s="18"/>
      <c r="J67" s="17" t="b">
        <v>0</v>
      </c>
    </row>
    <row r="68">
      <c r="A68" s="17"/>
      <c r="B68" s="18"/>
      <c r="C68" s="17" t="str">
        <f>IFERROR(VLOOKUP(B68,'MASTER DATA'!$A$1:$E$212,2,FALSE),"")</f>
        <v/>
      </c>
      <c r="D68" s="17" t="str">
        <f>IFERROR(VLOOKUP(B68,'MASTER DATA'!$A$1:$E$212,5,FALSE),"")</f>
        <v/>
      </c>
      <c r="E68" s="18"/>
      <c r="F68" s="17" t="str">
        <f>IFERROR(VLOOKUP(B68,'MASTER DATA'!$A$1:$E$212,4,FALSE),"")</f>
        <v/>
      </c>
      <c r="G68" s="18"/>
      <c r="H68" s="18"/>
      <c r="I68" s="18"/>
      <c r="J68" s="17" t="b">
        <v>0</v>
      </c>
    </row>
    <row r="69">
      <c r="A69" s="17"/>
      <c r="B69" s="18"/>
      <c r="C69" s="17" t="str">
        <f>IFERROR(VLOOKUP(B69,'MASTER DATA'!$A$1:$E$212,2,FALSE),"")</f>
        <v/>
      </c>
      <c r="D69" s="17" t="str">
        <f>IFERROR(VLOOKUP(B69,'MASTER DATA'!$A$1:$E$212,5,FALSE),"")</f>
        <v/>
      </c>
      <c r="E69" s="18"/>
      <c r="F69" s="17" t="str">
        <f>IFERROR(VLOOKUP(B69,'MASTER DATA'!$A$1:$E$212,4,FALSE),"")</f>
        <v/>
      </c>
      <c r="G69" s="18"/>
      <c r="H69" s="18"/>
      <c r="I69" s="18"/>
      <c r="J69" s="17" t="b">
        <v>0</v>
      </c>
    </row>
    <row r="70">
      <c r="A70" s="17"/>
      <c r="B70" s="18"/>
      <c r="C70" s="17" t="str">
        <f>IFERROR(VLOOKUP(B70,'MASTER DATA'!$A$1:$E$212,2,FALSE),"")</f>
        <v/>
      </c>
      <c r="D70" s="17" t="str">
        <f>IFERROR(VLOOKUP(B70,'MASTER DATA'!$A$1:$E$212,5,FALSE),"")</f>
        <v/>
      </c>
      <c r="E70" s="18"/>
      <c r="F70" s="17" t="str">
        <f>IFERROR(VLOOKUP(B70,'MASTER DATA'!$A$1:$E$212,4,FALSE),"")</f>
        <v/>
      </c>
      <c r="G70" s="18"/>
      <c r="H70" s="18"/>
      <c r="I70" s="18"/>
      <c r="J70" s="17" t="b">
        <v>0</v>
      </c>
    </row>
    <row r="71">
      <c r="A71" s="17"/>
      <c r="B71" s="18"/>
      <c r="C71" s="17" t="str">
        <f>IFERROR(VLOOKUP(B71,'MASTER DATA'!$A$1:$E$212,2,FALSE),"")</f>
        <v/>
      </c>
      <c r="D71" s="17" t="str">
        <f>IFERROR(VLOOKUP(B71,'MASTER DATA'!$A$1:$E$212,5,FALSE),"")</f>
        <v/>
      </c>
      <c r="E71" s="18"/>
      <c r="F71" s="17" t="str">
        <f>IFERROR(VLOOKUP(B71,'MASTER DATA'!$A$1:$E$212,4,FALSE),"")</f>
        <v/>
      </c>
      <c r="G71" s="18"/>
      <c r="H71" s="18"/>
      <c r="I71" s="18"/>
      <c r="J71" s="17" t="b">
        <v>0</v>
      </c>
    </row>
    <row r="72">
      <c r="A72" s="17"/>
      <c r="B72" s="18"/>
      <c r="C72" s="17" t="str">
        <f>IFERROR(VLOOKUP(B72,'MASTER DATA'!$A$1:$E$212,2,FALSE),"")</f>
        <v/>
      </c>
      <c r="D72" s="17" t="str">
        <f>IFERROR(VLOOKUP(B72,'MASTER DATA'!$A$1:$E$212,5,FALSE),"")</f>
        <v/>
      </c>
      <c r="E72" s="18"/>
      <c r="F72" s="17" t="str">
        <f>IFERROR(VLOOKUP(B72,'MASTER DATA'!$A$1:$E$212,4,FALSE),"")</f>
        <v/>
      </c>
      <c r="G72" s="18"/>
      <c r="H72" s="18"/>
      <c r="I72" s="18"/>
      <c r="J72" s="17" t="b">
        <v>0</v>
      </c>
    </row>
    <row r="73">
      <c r="A73" s="17"/>
      <c r="B73" s="18"/>
      <c r="C73" s="17" t="str">
        <f>IFERROR(VLOOKUP(B73,'MASTER DATA'!$A$1:$E$212,2,FALSE),"")</f>
        <v/>
      </c>
      <c r="D73" s="17" t="str">
        <f>IFERROR(VLOOKUP(B73,'MASTER DATA'!$A$1:$E$212,5,FALSE),"")</f>
        <v/>
      </c>
      <c r="E73" s="18"/>
      <c r="F73" s="17" t="str">
        <f>IFERROR(VLOOKUP(B73,'MASTER DATA'!$A$1:$E$212,4,FALSE),"")</f>
        <v/>
      </c>
      <c r="G73" s="18"/>
      <c r="H73" s="18"/>
      <c r="I73" s="18"/>
      <c r="J73" s="17" t="b">
        <v>0</v>
      </c>
    </row>
    <row r="74">
      <c r="A74" s="17"/>
      <c r="B74" s="18"/>
      <c r="C74" s="17" t="str">
        <f>IFERROR(VLOOKUP(B74,'MASTER DATA'!$A$1:$E$212,2,FALSE),"")</f>
        <v/>
      </c>
      <c r="D74" s="17" t="str">
        <f>IFERROR(VLOOKUP(B74,'MASTER DATA'!$A$1:$E$212,5,FALSE),"")</f>
        <v/>
      </c>
      <c r="E74" s="18"/>
      <c r="F74" s="17" t="str">
        <f>IFERROR(VLOOKUP(B74,'MASTER DATA'!$A$1:$E$212,4,FALSE),"")</f>
        <v/>
      </c>
      <c r="G74" s="18"/>
      <c r="H74" s="18"/>
      <c r="I74" s="18"/>
      <c r="J74" s="17" t="b">
        <v>0</v>
      </c>
    </row>
    <row r="75">
      <c r="A75" s="17"/>
      <c r="B75" s="18"/>
      <c r="C75" s="17" t="str">
        <f>IFERROR(VLOOKUP(B75,'MASTER DATA'!$A$1:$E$212,2,FALSE),"")</f>
        <v/>
      </c>
      <c r="D75" s="17" t="str">
        <f>IFERROR(VLOOKUP(B75,'MASTER DATA'!$A$1:$E$212,5,FALSE),"")</f>
        <v/>
      </c>
      <c r="E75" s="18"/>
      <c r="F75" s="17" t="str">
        <f>IFERROR(VLOOKUP(B75,'MASTER DATA'!$A$1:$E$212,4,FALSE),"")</f>
        <v/>
      </c>
      <c r="G75" s="18"/>
      <c r="H75" s="18"/>
      <c r="I75" s="18"/>
      <c r="J75" s="17" t="b">
        <v>0</v>
      </c>
    </row>
    <row r="76">
      <c r="A76" s="17"/>
      <c r="B76" s="18"/>
      <c r="C76" s="17" t="str">
        <f>IFERROR(VLOOKUP(B76,'MASTER DATA'!$A$1:$E$212,2,FALSE),"")</f>
        <v/>
      </c>
      <c r="D76" s="17" t="str">
        <f>IFERROR(VLOOKUP(B76,'MASTER DATA'!$A$1:$E$212,5,FALSE),"")</f>
        <v/>
      </c>
      <c r="E76" s="18"/>
      <c r="F76" s="17" t="str">
        <f>IFERROR(VLOOKUP(B76,'MASTER DATA'!$A$1:$E$212,4,FALSE),"")</f>
        <v/>
      </c>
      <c r="G76" s="18"/>
      <c r="H76" s="18"/>
      <c r="I76" s="18"/>
      <c r="J76" s="17" t="b">
        <v>0</v>
      </c>
    </row>
    <row r="77">
      <c r="A77" s="17"/>
      <c r="B77" s="18"/>
      <c r="C77" s="17" t="str">
        <f>IFERROR(VLOOKUP(B77,'MASTER DATA'!$A$1:$E$212,2,FALSE),"")</f>
        <v/>
      </c>
      <c r="D77" s="17" t="str">
        <f>IFERROR(VLOOKUP(B77,'MASTER DATA'!$A$1:$E$212,5,FALSE),"")</f>
        <v/>
      </c>
      <c r="E77" s="18"/>
      <c r="F77" s="17" t="str">
        <f>IFERROR(VLOOKUP(B77,'MASTER DATA'!$A$1:$E$212,4,FALSE),"")</f>
        <v/>
      </c>
      <c r="G77" s="18"/>
      <c r="H77" s="18"/>
      <c r="I77" s="18"/>
      <c r="J77" s="17" t="b">
        <v>0</v>
      </c>
    </row>
    <row r="78">
      <c r="A78" s="17"/>
      <c r="B78" s="18"/>
      <c r="C78" s="17" t="str">
        <f>IFERROR(VLOOKUP(B78,'MASTER DATA'!$A$1:$E$212,2,FALSE),"")</f>
        <v/>
      </c>
      <c r="D78" s="17" t="str">
        <f>IFERROR(VLOOKUP(B78,'MASTER DATA'!$A$1:$E$212,5,FALSE),"")</f>
        <v/>
      </c>
      <c r="E78" s="18"/>
      <c r="F78" s="17" t="str">
        <f>IFERROR(VLOOKUP(B78,'MASTER DATA'!$A$1:$E$212,4,FALSE),"")</f>
        <v/>
      </c>
      <c r="G78" s="18"/>
      <c r="H78" s="18"/>
      <c r="I78" s="18"/>
      <c r="J78" s="17" t="b">
        <v>0</v>
      </c>
    </row>
    <row r="79">
      <c r="A79" s="17"/>
      <c r="B79" s="18"/>
      <c r="C79" s="17" t="str">
        <f>IFERROR(VLOOKUP(B79,'MASTER DATA'!$A$1:$E$212,2,FALSE),"")</f>
        <v/>
      </c>
      <c r="D79" s="17" t="str">
        <f>IFERROR(VLOOKUP(B79,'MASTER DATA'!$A$1:$E$212,5,FALSE),"")</f>
        <v/>
      </c>
      <c r="E79" s="18"/>
      <c r="F79" s="17" t="str">
        <f>IFERROR(VLOOKUP(B79,'MASTER DATA'!$A$1:$E$212,4,FALSE),"")</f>
        <v/>
      </c>
      <c r="G79" s="18"/>
      <c r="H79" s="18"/>
      <c r="I79" s="18"/>
      <c r="J79" s="17" t="b">
        <v>0</v>
      </c>
    </row>
    <row r="80">
      <c r="A80" s="17"/>
      <c r="B80" s="18"/>
      <c r="C80" s="17" t="str">
        <f>IFERROR(VLOOKUP(B80,'MASTER DATA'!$A$1:$E$212,2,FALSE),"")</f>
        <v/>
      </c>
      <c r="D80" s="17" t="str">
        <f>IFERROR(VLOOKUP(B80,'MASTER DATA'!$A$1:$E$212,5,FALSE),"")</f>
        <v/>
      </c>
      <c r="E80" s="18"/>
      <c r="F80" s="17" t="str">
        <f>IFERROR(VLOOKUP(B80,'MASTER DATA'!$A$1:$E$212,4,FALSE),"")</f>
        <v/>
      </c>
      <c r="G80" s="18"/>
      <c r="H80" s="18"/>
      <c r="I80" s="18"/>
      <c r="J80" s="17" t="b">
        <v>0</v>
      </c>
    </row>
    <row r="81">
      <c r="A81" s="17"/>
      <c r="B81" s="18"/>
      <c r="C81" s="17" t="str">
        <f>IFERROR(VLOOKUP(B81,'MASTER DATA'!$A$1:$E$212,2,FALSE),"")</f>
        <v/>
      </c>
      <c r="D81" s="17" t="str">
        <f>IFERROR(VLOOKUP(B81,'MASTER DATA'!$A$1:$E$212,5,FALSE),"")</f>
        <v/>
      </c>
      <c r="E81" s="18"/>
      <c r="F81" s="17" t="str">
        <f>IFERROR(VLOOKUP(B81,'MASTER DATA'!$A$1:$E$212,4,FALSE),"")</f>
        <v/>
      </c>
      <c r="G81" s="18"/>
      <c r="H81" s="18"/>
      <c r="I81" s="18"/>
      <c r="J81" s="17" t="b">
        <v>0</v>
      </c>
    </row>
    <row r="82">
      <c r="A82" s="18"/>
      <c r="B82" s="18"/>
      <c r="C82" s="17" t="str">
        <f>IFERROR(VLOOKUP(B82,'MASTER DATA'!$A$1:$E$212,2,FALSE),"")</f>
        <v/>
      </c>
      <c r="D82" s="17" t="str">
        <f>IFERROR(VLOOKUP(B82,'MASTER DATA'!$A$1:$E$212,5,FALSE),"")</f>
        <v/>
      </c>
      <c r="E82" s="18"/>
      <c r="F82" s="17" t="str">
        <f>IFERROR(VLOOKUP(B82,'MASTER DATA'!$A$1:$E$212,4,FALSE),"")</f>
        <v/>
      </c>
      <c r="G82" s="18"/>
      <c r="H82" s="18"/>
      <c r="I82" s="18"/>
      <c r="J82" s="17" t="b">
        <v>0</v>
      </c>
    </row>
    <row r="83">
      <c r="A83" s="17"/>
      <c r="B83" s="18"/>
      <c r="C83" s="17" t="str">
        <f>IFERROR(VLOOKUP(B83,'MASTER DATA'!$A$1:$E$212,2,FALSE),"")</f>
        <v/>
      </c>
      <c r="D83" s="17" t="str">
        <f>IFERROR(VLOOKUP(B83,'MASTER DATA'!$A$1:$E$212,5,FALSE),"")</f>
        <v/>
      </c>
      <c r="E83" s="18"/>
      <c r="F83" s="17" t="str">
        <f>IFERROR(VLOOKUP(B83,'MASTER DATA'!$A$1:$E$212,4,FALSE),"")</f>
        <v/>
      </c>
      <c r="G83" s="18"/>
      <c r="H83" s="18"/>
      <c r="I83" s="18"/>
      <c r="J83" s="17" t="b">
        <v>0</v>
      </c>
    </row>
    <row r="84">
      <c r="A84" s="17"/>
      <c r="B84" s="18"/>
      <c r="C84" s="17" t="str">
        <f>IFERROR(VLOOKUP(B84,'MASTER DATA'!$A$1:$E$212,2,FALSE),"")</f>
        <v/>
      </c>
      <c r="D84" s="17" t="str">
        <f>IFERROR(VLOOKUP(B84,'MASTER DATA'!$A$1:$E$212,5,FALSE),"")</f>
        <v/>
      </c>
      <c r="E84" s="18"/>
      <c r="F84" s="17" t="str">
        <f>IFERROR(VLOOKUP(B84,'MASTER DATA'!$A$1:$E$212,4,FALSE),"")</f>
        <v/>
      </c>
      <c r="G84" s="18"/>
      <c r="H84" s="18"/>
      <c r="I84" s="18"/>
      <c r="J84" s="17" t="b">
        <v>0</v>
      </c>
    </row>
    <row r="85">
      <c r="A85" s="17"/>
      <c r="B85" s="18"/>
      <c r="C85" s="17" t="str">
        <f>IFERROR(VLOOKUP(B85,'MASTER DATA'!$A$1:$E$212,2,FALSE),"")</f>
        <v/>
      </c>
      <c r="D85" s="17" t="str">
        <f>IFERROR(VLOOKUP(B85,'MASTER DATA'!$A$1:$E$212,5,FALSE),"")</f>
        <v/>
      </c>
      <c r="E85" s="18"/>
      <c r="F85" s="17" t="str">
        <f>IFERROR(VLOOKUP(B85,'MASTER DATA'!$A$1:$E$212,4,FALSE),"")</f>
        <v/>
      </c>
      <c r="G85" s="18"/>
      <c r="H85" s="18"/>
      <c r="I85" s="18"/>
      <c r="J85" s="17" t="b">
        <v>0</v>
      </c>
    </row>
    <row r="86">
      <c r="A86" s="17"/>
      <c r="B86" s="18"/>
      <c r="C86" s="17" t="str">
        <f>IFERROR(VLOOKUP(B86,'MASTER DATA'!$A$1:$E$212,2,FALSE),"")</f>
        <v/>
      </c>
      <c r="D86" s="17" t="str">
        <f>IFERROR(VLOOKUP(B86,'MASTER DATA'!$A$1:$E$212,5,FALSE),"")</f>
        <v/>
      </c>
      <c r="E86" s="18"/>
      <c r="F86" s="17" t="str">
        <f>IFERROR(VLOOKUP(B86,'MASTER DATA'!$A$1:$E$212,4,FALSE),"")</f>
        <v/>
      </c>
      <c r="G86" s="18"/>
      <c r="H86" s="18"/>
      <c r="I86" s="18"/>
      <c r="J86" s="17" t="b">
        <v>0</v>
      </c>
    </row>
    <row r="87">
      <c r="A87" s="17"/>
      <c r="B87" s="18"/>
      <c r="C87" s="17" t="str">
        <f>IFERROR(VLOOKUP(B87,'MASTER DATA'!$A$1:$E$212,2,FALSE),"")</f>
        <v/>
      </c>
      <c r="D87" s="17" t="str">
        <f>IFERROR(VLOOKUP(B87,'MASTER DATA'!$A$1:$E$212,5,FALSE),"")</f>
        <v/>
      </c>
      <c r="E87" s="18"/>
      <c r="F87" s="17" t="str">
        <f>IFERROR(VLOOKUP(B87,'MASTER DATA'!$A$1:$E$212,4,FALSE),"")</f>
        <v/>
      </c>
      <c r="G87" s="18"/>
      <c r="H87" s="18"/>
      <c r="I87" s="18"/>
      <c r="J87" s="17" t="b">
        <v>0</v>
      </c>
    </row>
    <row r="88">
      <c r="A88" s="17"/>
      <c r="B88" s="18"/>
      <c r="C88" s="17" t="str">
        <f>IFERROR(VLOOKUP(B88,'MASTER DATA'!$A$1:$E$212,2,FALSE),"")</f>
        <v/>
      </c>
      <c r="D88" s="17" t="str">
        <f>IFERROR(VLOOKUP(B88,'MASTER DATA'!$A$1:$E$212,5,FALSE),"")</f>
        <v/>
      </c>
      <c r="E88" s="18"/>
      <c r="F88" s="17" t="str">
        <f>IFERROR(VLOOKUP(B88,'MASTER DATA'!$A$1:$E$212,4,FALSE),"")</f>
        <v/>
      </c>
      <c r="G88" s="18"/>
      <c r="H88" s="18"/>
      <c r="I88" s="18"/>
      <c r="J88" s="17" t="b">
        <v>0</v>
      </c>
    </row>
    <row r="89">
      <c r="A89" s="18"/>
      <c r="B89" s="18"/>
      <c r="C89" s="17" t="str">
        <f>IFERROR(VLOOKUP(B89,'MASTER DATA'!$A$1:$E$212,2,FALSE),"")</f>
        <v/>
      </c>
      <c r="D89" s="17" t="str">
        <f>IFERROR(VLOOKUP(B89,'MASTER DATA'!$A$1:$E$212,5,FALSE),"")</f>
        <v/>
      </c>
      <c r="E89" s="17"/>
      <c r="F89" s="17" t="str">
        <f>IFERROR(VLOOKUP(B89,'MASTER DATA'!$A$1:$E$212,4,FALSE),"")</f>
        <v/>
      </c>
      <c r="G89" s="18"/>
      <c r="H89" s="18"/>
      <c r="I89" s="18"/>
      <c r="J89" s="17" t="b">
        <v>0</v>
      </c>
    </row>
    <row r="90">
      <c r="A90" s="17"/>
      <c r="B90" s="18"/>
      <c r="C90" s="17" t="str">
        <f>IFERROR(VLOOKUP(B90,'MASTER DATA'!$A$1:$E$212,2,FALSE),"")</f>
        <v/>
      </c>
      <c r="D90" s="17" t="str">
        <f>IFERROR(VLOOKUP(B90,'MASTER DATA'!$A$1:$E$212,5,FALSE),"")</f>
        <v/>
      </c>
      <c r="E90" s="17"/>
      <c r="F90" s="17" t="str">
        <f>IFERROR(VLOOKUP(B90,'MASTER DATA'!$A$1:$E$212,4,FALSE),"")</f>
        <v/>
      </c>
      <c r="G90" s="18"/>
      <c r="H90" s="18"/>
      <c r="I90" s="18"/>
      <c r="J90" s="17" t="b">
        <v>0</v>
      </c>
    </row>
    <row r="91">
      <c r="A91" s="17"/>
      <c r="B91" s="18"/>
      <c r="C91" s="17" t="str">
        <f>IFERROR(VLOOKUP(B91,'MASTER DATA'!$A$1:$E$212,2,FALSE),"")</f>
        <v/>
      </c>
      <c r="D91" s="17" t="str">
        <f>IFERROR(VLOOKUP(B91,'MASTER DATA'!$A$1:$E$212,5,FALSE),"")</f>
        <v/>
      </c>
      <c r="E91" s="17"/>
      <c r="F91" s="17" t="str">
        <f>IFERROR(VLOOKUP(B91,'MASTER DATA'!$A$1:$E$212,4,FALSE),"")</f>
        <v/>
      </c>
      <c r="G91" s="18"/>
      <c r="H91" s="18"/>
      <c r="I91" s="18"/>
      <c r="J91" s="17" t="b">
        <v>0</v>
      </c>
    </row>
    <row r="92">
      <c r="A92" s="17"/>
      <c r="B92" s="18"/>
      <c r="C92" s="17" t="str">
        <f>IFERROR(VLOOKUP(B92,'MASTER DATA'!$A$1:$E$212,2,FALSE),"")</f>
        <v/>
      </c>
      <c r="D92" s="17" t="str">
        <f>IFERROR(VLOOKUP(B92,'MASTER DATA'!$A$1:$E$212,5,FALSE),"")</f>
        <v/>
      </c>
      <c r="E92" s="17"/>
      <c r="F92" s="17" t="str">
        <f>IFERROR(VLOOKUP(B92,'MASTER DATA'!$A$1:$E$212,4,FALSE),"")</f>
        <v/>
      </c>
      <c r="G92" s="18"/>
      <c r="H92" s="18"/>
      <c r="I92" s="18"/>
      <c r="J92" s="17" t="b">
        <v>0</v>
      </c>
    </row>
    <row r="93">
      <c r="A93" s="17"/>
      <c r="B93" s="18"/>
      <c r="C93" s="17" t="str">
        <f>IFERROR(VLOOKUP(B93,'MASTER DATA'!$A$1:$E$212,2,FALSE),"")</f>
        <v/>
      </c>
      <c r="D93" s="17" t="str">
        <f>IFERROR(VLOOKUP(B93,'MASTER DATA'!$A$1:$E$212,5,FALSE),"")</f>
        <v/>
      </c>
      <c r="E93" s="18"/>
      <c r="F93" s="17" t="str">
        <f>IFERROR(VLOOKUP(B93,'MASTER DATA'!$A$1:$E$212,4,FALSE),"")</f>
        <v/>
      </c>
      <c r="G93" s="18"/>
      <c r="H93" s="18"/>
      <c r="I93" s="18"/>
      <c r="J93" s="17" t="b">
        <v>0</v>
      </c>
    </row>
    <row r="94">
      <c r="A94" s="17"/>
      <c r="B94" s="18"/>
      <c r="C94" s="17" t="str">
        <f>IFERROR(VLOOKUP(B94,'MASTER DATA'!$A$1:$E$212,2,FALSE),"")</f>
        <v/>
      </c>
      <c r="D94" s="17" t="str">
        <f>IFERROR(VLOOKUP(B94,'MASTER DATA'!$A$1:$E$212,5,FALSE),"")</f>
        <v/>
      </c>
      <c r="E94" s="18"/>
      <c r="F94" s="17" t="str">
        <f>IFERROR(VLOOKUP(B94,'MASTER DATA'!$A$1:$E$212,4,FALSE),"")</f>
        <v/>
      </c>
      <c r="G94" s="18"/>
      <c r="H94" s="18"/>
      <c r="I94" s="18"/>
      <c r="J94" s="17" t="b">
        <v>0</v>
      </c>
    </row>
    <row r="95">
      <c r="A95" s="18"/>
      <c r="B95" s="18"/>
      <c r="C95" s="17" t="str">
        <f>IFERROR(VLOOKUP(B95,'MASTER DATA'!$A$1:$E$212,2,FALSE),"")</f>
        <v/>
      </c>
      <c r="D95" s="17" t="str">
        <f>IFERROR(VLOOKUP(B95,'MASTER DATA'!$A$1:$E$212,5,FALSE),"")</f>
        <v/>
      </c>
      <c r="E95" s="17"/>
      <c r="F95" s="17" t="str">
        <f>IFERROR(VLOOKUP(B95,'MASTER DATA'!$A$1:$E$212,4,FALSE),"")</f>
        <v/>
      </c>
      <c r="G95" s="18"/>
      <c r="H95" s="18"/>
      <c r="I95" s="18"/>
      <c r="J95" s="17" t="b">
        <v>0</v>
      </c>
    </row>
    <row r="96">
      <c r="A96" s="17"/>
      <c r="B96" s="18"/>
      <c r="C96" s="17" t="str">
        <f>IFERROR(VLOOKUP(B96,'MASTER DATA'!$A$1:$E$212,2,FALSE),"")</f>
        <v/>
      </c>
      <c r="D96" s="17" t="str">
        <f>IFERROR(VLOOKUP(B96,'MASTER DATA'!$A$1:$E$212,5,FALSE),"")</f>
        <v/>
      </c>
      <c r="E96" s="18"/>
      <c r="F96" s="17" t="str">
        <f>IFERROR(VLOOKUP(B96,'MASTER DATA'!$A$1:$E$212,4,FALSE),"")</f>
        <v/>
      </c>
      <c r="G96" s="18"/>
      <c r="H96" s="18"/>
      <c r="I96" s="18"/>
      <c r="J96" s="17" t="b">
        <v>0</v>
      </c>
    </row>
    <row r="97">
      <c r="A97" s="17"/>
      <c r="B97" s="18"/>
      <c r="C97" s="17" t="str">
        <f>IFERROR(VLOOKUP(B97,'MASTER DATA'!$A$1:$E$212,2,FALSE),"")</f>
        <v/>
      </c>
      <c r="D97" s="17" t="str">
        <f>IFERROR(VLOOKUP(B97,'MASTER DATA'!$A$1:$E$212,5,FALSE),"")</f>
        <v/>
      </c>
      <c r="E97" s="17"/>
      <c r="F97" s="17" t="str">
        <f>IFERROR(VLOOKUP(B97,'MASTER DATA'!$A$1:$E$212,4,FALSE),"")</f>
        <v/>
      </c>
      <c r="G97" s="18"/>
      <c r="H97" s="18"/>
      <c r="I97" s="18"/>
      <c r="J97" s="17" t="b">
        <v>0</v>
      </c>
    </row>
    <row r="98">
      <c r="A98" s="18"/>
      <c r="B98" s="18"/>
      <c r="C98" s="17" t="str">
        <f>IFERROR(VLOOKUP(B98,'MASTER DATA'!$A$1:$E$212,2,FALSE),"")</f>
        <v/>
      </c>
      <c r="D98" s="17" t="str">
        <f>IFERROR(VLOOKUP(B98,'MASTER DATA'!$A$1:$E$212,5,FALSE),"")</f>
        <v/>
      </c>
      <c r="E98" s="17"/>
      <c r="F98" s="17" t="str">
        <f>IFERROR(VLOOKUP(B98,'MASTER DATA'!$A$1:$E$212,4,FALSE),"")</f>
        <v/>
      </c>
      <c r="G98" s="18"/>
      <c r="H98" s="18"/>
      <c r="I98" s="18"/>
      <c r="J98" s="17" t="b">
        <v>0</v>
      </c>
    </row>
    <row r="99">
      <c r="A99" s="17"/>
      <c r="B99" s="18"/>
      <c r="C99" s="17" t="str">
        <f>IFERROR(VLOOKUP(B99,'MASTER DATA'!$A$1:$E$212,2,FALSE),"")</f>
        <v/>
      </c>
      <c r="D99" s="17" t="str">
        <f>IFERROR(VLOOKUP(B99,'MASTER DATA'!$A$1:$E$212,5,FALSE),"")</f>
        <v/>
      </c>
      <c r="E99" s="17"/>
      <c r="F99" s="17" t="str">
        <f>IFERROR(VLOOKUP(B99,'MASTER DATA'!$A$1:$E$212,4,FALSE),"")</f>
        <v/>
      </c>
      <c r="G99" s="18"/>
      <c r="H99" s="18"/>
      <c r="I99" s="18"/>
      <c r="J99" s="17" t="b">
        <v>0</v>
      </c>
    </row>
    <row r="100">
      <c r="A100" s="17"/>
      <c r="B100" s="18"/>
      <c r="C100" s="17" t="str">
        <f>IFERROR(VLOOKUP(B100,'MASTER DATA'!$A$1:$E$212,2,FALSE),"")</f>
        <v/>
      </c>
      <c r="D100" s="17" t="str">
        <f>IFERROR(VLOOKUP(B100,'MASTER DATA'!$A$1:$E$212,5,FALSE),"")</f>
        <v/>
      </c>
      <c r="E100" s="17"/>
      <c r="F100" s="17" t="str">
        <f>IFERROR(VLOOKUP(B100,'MASTER DATA'!$A$1:$E$212,4,FALSE),"")</f>
        <v/>
      </c>
      <c r="G100" s="18"/>
      <c r="H100" s="18"/>
      <c r="I100" s="18"/>
      <c r="J100" s="17" t="b">
        <v>0</v>
      </c>
    </row>
    <row r="101">
      <c r="A101" s="18"/>
      <c r="B101" s="18"/>
      <c r="C101" s="17" t="str">
        <f>IFERROR(VLOOKUP(B101,'MASTER DATA'!$A$1:$E$212,2,FALSE),"")</f>
        <v/>
      </c>
      <c r="D101" s="17" t="str">
        <f>IFERROR(VLOOKUP(B101,'MASTER DATA'!$A$1:$E$212,5,FALSE),"")</f>
        <v/>
      </c>
      <c r="E101" s="18"/>
      <c r="F101" s="17" t="str">
        <f>IFERROR(VLOOKUP(B101,'MASTER DATA'!$A$1:$E$212,4,FALSE),"")</f>
        <v/>
      </c>
      <c r="G101" s="18"/>
      <c r="H101" s="18"/>
      <c r="I101" s="18"/>
      <c r="J101" s="17" t="b">
        <v>0</v>
      </c>
    </row>
    <row r="102">
      <c r="A102" s="17"/>
      <c r="B102" s="18"/>
      <c r="C102" s="17" t="str">
        <f>IFERROR(VLOOKUP(B102,'MASTER DATA'!$A$1:$E$212,2,FALSE),"")</f>
        <v/>
      </c>
      <c r="D102" s="17" t="str">
        <f>IFERROR(VLOOKUP(B102,'MASTER DATA'!$A$1:$E$212,5,FALSE),"")</f>
        <v/>
      </c>
      <c r="E102" s="18"/>
      <c r="F102" s="17" t="str">
        <f>IFERROR(VLOOKUP(B102,'MASTER DATA'!$A$1:$E$212,4,FALSE),"")</f>
        <v/>
      </c>
      <c r="G102" s="18"/>
      <c r="H102" s="18"/>
      <c r="I102" s="18"/>
      <c r="J102" s="17" t="b">
        <v>0</v>
      </c>
    </row>
    <row r="103">
      <c r="A103" s="17"/>
      <c r="B103" s="18"/>
      <c r="C103" s="17" t="str">
        <f>IFERROR(VLOOKUP(B103,'MASTER DATA'!$A$1:$E$212,2,FALSE),"")</f>
        <v/>
      </c>
      <c r="D103" s="17" t="str">
        <f>IFERROR(VLOOKUP(B103,'MASTER DATA'!$A$1:$E$212,5,FALSE),"")</f>
        <v/>
      </c>
      <c r="E103" s="17"/>
      <c r="F103" s="17" t="str">
        <f>IFERROR(VLOOKUP(B103,'MASTER DATA'!$A$1:$E$212,4,FALSE),"")</f>
        <v/>
      </c>
      <c r="G103" s="18"/>
      <c r="H103" s="18"/>
      <c r="I103" s="18"/>
      <c r="J103" s="17" t="b">
        <v>0</v>
      </c>
    </row>
    <row r="104">
      <c r="A104" s="17"/>
      <c r="B104" s="18"/>
      <c r="C104" s="17" t="str">
        <f>IFERROR(VLOOKUP(B104,'MASTER DATA'!$A$1:$E$212,2,FALSE),"")</f>
        <v/>
      </c>
      <c r="D104" s="17" t="str">
        <f>IFERROR(VLOOKUP(B104,'MASTER DATA'!$A$1:$E$212,5,FALSE),"")</f>
        <v/>
      </c>
      <c r="E104" s="18"/>
      <c r="F104" s="17" t="str">
        <f>IFERROR(VLOOKUP(B104,'MASTER DATA'!$A$1:$E$212,4,FALSE),"")</f>
        <v/>
      </c>
      <c r="G104" s="18"/>
      <c r="H104" s="18"/>
      <c r="I104" s="18"/>
      <c r="J104" s="17" t="b">
        <v>0</v>
      </c>
    </row>
    <row r="105">
      <c r="A105" s="17"/>
      <c r="B105" s="18"/>
      <c r="C105" s="17" t="str">
        <f>IFERROR(VLOOKUP(B105,'MASTER DATA'!$A$1:$E$212,2,FALSE),"")</f>
        <v/>
      </c>
      <c r="D105" s="17" t="str">
        <f>IFERROR(VLOOKUP(B105,'MASTER DATA'!$A$1:$E$212,5,FALSE),"")</f>
        <v/>
      </c>
      <c r="E105" s="18"/>
      <c r="F105" s="17" t="str">
        <f>IFERROR(VLOOKUP(B105,'MASTER DATA'!$A$1:$E$212,4,FALSE),"")</f>
        <v/>
      </c>
      <c r="G105" s="18"/>
      <c r="H105" s="18"/>
      <c r="I105" s="18"/>
      <c r="J105" s="17" t="b">
        <v>0</v>
      </c>
    </row>
    <row r="106">
      <c r="A106" s="17"/>
      <c r="B106" s="18"/>
      <c r="C106" s="17" t="str">
        <f>IFERROR(VLOOKUP(B106,'MASTER DATA'!$A$1:$E$212,2,FALSE),"")</f>
        <v/>
      </c>
      <c r="D106" s="17" t="str">
        <f>IFERROR(VLOOKUP(B106,'MASTER DATA'!$A$1:$E$212,5,FALSE),"")</f>
        <v/>
      </c>
      <c r="E106" s="18"/>
      <c r="F106" s="17" t="str">
        <f>IFERROR(VLOOKUP(B106,'MASTER DATA'!$A$1:$E$212,4,FALSE),"")</f>
        <v/>
      </c>
      <c r="G106" s="18"/>
      <c r="H106" s="18"/>
      <c r="I106" s="18"/>
      <c r="J106" s="17" t="b">
        <v>0</v>
      </c>
    </row>
    <row r="107">
      <c r="A107" s="17"/>
      <c r="B107" s="18"/>
      <c r="C107" s="17" t="str">
        <f>IFERROR(VLOOKUP(B107,'MASTER DATA'!$A$1:$E$212,2,FALSE),"")</f>
        <v/>
      </c>
      <c r="D107" s="17" t="str">
        <f>IFERROR(VLOOKUP(B107,'MASTER DATA'!$A$1:$E$212,5,FALSE),"")</f>
        <v/>
      </c>
      <c r="E107" s="18"/>
      <c r="F107" s="17" t="str">
        <f>IFERROR(VLOOKUP(B107,'MASTER DATA'!$A$1:$E$212,4,FALSE),"")</f>
        <v/>
      </c>
      <c r="G107" s="18"/>
      <c r="H107" s="18"/>
      <c r="I107" s="18"/>
      <c r="J107" s="17" t="b">
        <v>0</v>
      </c>
    </row>
    <row r="108">
      <c r="A108" s="17"/>
      <c r="B108" s="18"/>
      <c r="C108" s="17" t="str">
        <f>IFERROR(VLOOKUP(B108,'MASTER DATA'!$A$1:$E$212,2,FALSE),"")</f>
        <v/>
      </c>
      <c r="D108" s="17" t="str">
        <f>IFERROR(VLOOKUP(B108,'MASTER DATA'!$A$1:$E$212,5,FALSE),"")</f>
        <v/>
      </c>
      <c r="E108" s="18"/>
      <c r="F108" s="17" t="str">
        <f>IFERROR(VLOOKUP(B108,'MASTER DATA'!$A$1:$E$212,4,FALSE),"")</f>
        <v/>
      </c>
      <c r="G108" s="18"/>
      <c r="H108" s="18"/>
      <c r="I108" s="18"/>
      <c r="J108" s="17" t="b">
        <v>0</v>
      </c>
    </row>
    <row r="109">
      <c r="A109" s="17"/>
      <c r="B109" s="18"/>
      <c r="C109" s="17" t="str">
        <f>IFERROR(VLOOKUP(B109,'MASTER DATA'!$A$1:$E$212,2,FALSE),"")</f>
        <v/>
      </c>
      <c r="D109" s="17" t="str">
        <f>IFERROR(VLOOKUP(B109,'MASTER DATA'!$A$1:$E$212,5,FALSE),"")</f>
        <v/>
      </c>
      <c r="E109" s="18"/>
      <c r="F109" s="17" t="str">
        <f>IFERROR(VLOOKUP(B109,'MASTER DATA'!$A$1:$E$212,4,FALSE),"")</f>
        <v/>
      </c>
      <c r="G109" s="18"/>
      <c r="H109" s="18"/>
      <c r="I109" s="18"/>
      <c r="J109" s="17" t="b">
        <v>0</v>
      </c>
    </row>
    <row r="110">
      <c r="A110" s="18"/>
      <c r="B110" s="18"/>
      <c r="C110" s="17" t="str">
        <f>IFERROR(VLOOKUP(B110,'MASTER DATA'!$A$1:$E$212,2,FALSE),"")</f>
        <v/>
      </c>
      <c r="D110" s="17" t="str">
        <f>IFERROR(VLOOKUP(B110,'MASTER DATA'!$A$1:$E$212,5,FALSE),"")</f>
        <v/>
      </c>
      <c r="E110" s="17"/>
      <c r="F110" s="17" t="str">
        <f>IFERROR(VLOOKUP(B110,'MASTER DATA'!$A$1:$E$212,4,FALSE),"")</f>
        <v/>
      </c>
      <c r="G110" s="18"/>
      <c r="H110" s="18"/>
      <c r="I110" s="18"/>
      <c r="J110" s="17" t="b">
        <v>0</v>
      </c>
    </row>
    <row r="111">
      <c r="A111" s="17"/>
      <c r="B111" s="18"/>
      <c r="C111" s="17" t="str">
        <f>IFERROR(VLOOKUP(B111,'MASTER DATA'!$A$1:$E$212,2,FALSE),"")</f>
        <v/>
      </c>
      <c r="D111" s="17" t="str">
        <f>IFERROR(VLOOKUP(B111,'MASTER DATA'!$A$1:$E$212,5,FALSE),"")</f>
        <v/>
      </c>
      <c r="E111" s="17"/>
      <c r="F111" s="17" t="str">
        <f>IFERROR(VLOOKUP(B111,'MASTER DATA'!$A$1:$E$212,4,FALSE),"")</f>
        <v/>
      </c>
      <c r="G111" s="18"/>
      <c r="H111" s="18"/>
      <c r="I111" s="18"/>
      <c r="J111" s="17" t="b">
        <v>0</v>
      </c>
    </row>
    <row r="112">
      <c r="A112" s="17"/>
      <c r="B112" s="18"/>
      <c r="C112" s="17" t="str">
        <f>IFERROR(VLOOKUP(B112,'MASTER DATA'!$A$1:$E$212,2,FALSE),"")</f>
        <v/>
      </c>
      <c r="D112" s="17" t="str">
        <f>IFERROR(VLOOKUP(B112,'MASTER DATA'!$A$1:$E$212,5,FALSE),"")</f>
        <v/>
      </c>
      <c r="E112" s="18"/>
      <c r="F112" s="17" t="str">
        <f>IFERROR(VLOOKUP(B112,'MASTER DATA'!$A$1:$E$212,4,FALSE),"")</f>
        <v/>
      </c>
      <c r="G112" s="18"/>
      <c r="H112" s="18"/>
      <c r="I112" s="18"/>
      <c r="J112" s="17" t="b">
        <v>0</v>
      </c>
    </row>
    <row r="113">
      <c r="A113" s="17"/>
      <c r="B113" s="18"/>
      <c r="C113" s="17" t="str">
        <f>IFERROR(VLOOKUP(B113,'MASTER DATA'!$A$1:$E$212,2,FALSE),"")</f>
        <v/>
      </c>
      <c r="D113" s="17" t="str">
        <f>IFERROR(VLOOKUP(B113,'MASTER DATA'!$A$1:$E$212,5,FALSE),"")</f>
        <v/>
      </c>
      <c r="E113" s="17"/>
      <c r="F113" s="17" t="str">
        <f>IFERROR(VLOOKUP(B113,'MASTER DATA'!$A$1:$E$212,4,FALSE),"")</f>
        <v/>
      </c>
      <c r="G113" s="18"/>
      <c r="H113" s="18"/>
      <c r="I113" s="18"/>
      <c r="J113" s="17" t="b">
        <v>0</v>
      </c>
    </row>
    <row r="114">
      <c r="A114" s="17"/>
      <c r="B114" s="18"/>
      <c r="C114" s="17" t="str">
        <f>IFERROR(VLOOKUP(B114,'MASTER DATA'!$A$1:$E$212,2,FALSE),"")</f>
        <v/>
      </c>
      <c r="D114" s="17" t="str">
        <f>IFERROR(VLOOKUP(B114,'MASTER DATA'!$A$1:$E$212,5,FALSE),"")</f>
        <v/>
      </c>
      <c r="E114" s="17"/>
      <c r="F114" s="17" t="str">
        <f>IFERROR(VLOOKUP(B114,'MASTER DATA'!$A$1:$E$212,4,FALSE),"")</f>
        <v/>
      </c>
      <c r="G114" s="18"/>
      <c r="H114" s="18"/>
      <c r="I114" s="18"/>
      <c r="J114" s="17" t="b">
        <v>0</v>
      </c>
    </row>
    <row r="115">
      <c r="A115" s="18"/>
      <c r="B115" s="18"/>
      <c r="C115" s="17" t="str">
        <f>IFERROR(VLOOKUP(B115,'MASTER DATA'!$A$1:$E$212,2,FALSE),"")</f>
        <v/>
      </c>
      <c r="D115" s="17" t="str">
        <f>IFERROR(VLOOKUP(B115,'MASTER DATA'!$A$1:$E$212,5,FALSE),"")</f>
        <v/>
      </c>
      <c r="E115" s="17"/>
      <c r="F115" s="17" t="str">
        <f>IFERROR(VLOOKUP(B115,'MASTER DATA'!$A$1:$E$212,4,FALSE),"")</f>
        <v/>
      </c>
      <c r="G115" s="18"/>
      <c r="H115" s="18"/>
      <c r="I115" s="18"/>
      <c r="J115" s="17" t="b">
        <v>0</v>
      </c>
    </row>
    <row r="116">
      <c r="A116" s="17"/>
      <c r="B116" s="18"/>
      <c r="C116" s="17" t="str">
        <f>IFERROR(VLOOKUP(B116,'MASTER DATA'!$A$1:$E$212,2,FALSE),"")</f>
        <v/>
      </c>
      <c r="D116" s="17" t="str">
        <f>IFERROR(VLOOKUP(B116,'MASTER DATA'!$A$1:$E$212,5,FALSE),"")</f>
        <v/>
      </c>
      <c r="E116" s="18"/>
      <c r="F116" s="17" t="str">
        <f>IFERROR(VLOOKUP(B116,'MASTER DATA'!$A$1:$E$212,4,FALSE),"")</f>
        <v/>
      </c>
      <c r="G116" s="18"/>
      <c r="H116" s="18"/>
      <c r="I116" s="18"/>
      <c r="J116" s="17" t="b">
        <v>0</v>
      </c>
    </row>
    <row r="117">
      <c r="A117" s="18"/>
      <c r="B117" s="18"/>
      <c r="C117" s="17" t="str">
        <f>IFERROR(VLOOKUP(B117,'MASTER DATA'!$A$1:$E$212,2,FALSE),"")</f>
        <v/>
      </c>
      <c r="D117" s="17" t="str">
        <f>IFERROR(VLOOKUP(B117,'MASTER DATA'!$A$1:$E$212,5,FALSE),"")</f>
        <v/>
      </c>
      <c r="E117" s="18"/>
      <c r="F117" s="17" t="str">
        <f>IFERROR(VLOOKUP(B117,'MASTER DATA'!$A$1:$E$212,4,FALSE),"")</f>
        <v/>
      </c>
      <c r="G117" s="18"/>
      <c r="H117" s="18"/>
      <c r="I117" s="18"/>
      <c r="J117" s="17" t="b">
        <v>0</v>
      </c>
    </row>
    <row r="118">
      <c r="A118" s="18"/>
      <c r="B118" s="18"/>
      <c r="C118" s="17" t="str">
        <f>IFERROR(VLOOKUP(B118,'MASTER DATA'!$A$1:$E$212,2,FALSE),"")</f>
        <v/>
      </c>
      <c r="D118" s="17" t="str">
        <f>IFERROR(VLOOKUP(B118,'MASTER DATA'!$A$1:$E$212,5,FALSE),"")</f>
        <v/>
      </c>
      <c r="E118" s="17"/>
      <c r="F118" s="17" t="str">
        <f>IFERROR(VLOOKUP(B118,'MASTER DATA'!$A$1:$E$212,4,FALSE),"")</f>
        <v/>
      </c>
      <c r="G118" s="18"/>
      <c r="H118" s="18"/>
      <c r="I118" s="18"/>
      <c r="J118" s="17" t="b">
        <v>0</v>
      </c>
    </row>
    <row r="119">
      <c r="A119" s="17"/>
      <c r="B119" s="18"/>
      <c r="C119" s="17" t="str">
        <f>IFERROR(VLOOKUP(B119,'MASTER DATA'!$A$1:$E$212,2,FALSE),"")</f>
        <v/>
      </c>
      <c r="D119" s="17" t="str">
        <f>IFERROR(VLOOKUP(B119,'MASTER DATA'!$A$1:$E$212,5,FALSE),"")</f>
        <v/>
      </c>
      <c r="E119" s="17"/>
      <c r="F119" s="17" t="str">
        <f>IFERROR(VLOOKUP(B119,'MASTER DATA'!$A$1:$E$212,4,FALSE),"")</f>
        <v/>
      </c>
      <c r="G119" s="18"/>
      <c r="H119" s="18"/>
      <c r="I119" s="18"/>
      <c r="J119" s="17" t="b">
        <v>0</v>
      </c>
    </row>
    <row r="120">
      <c r="A120" s="17"/>
      <c r="B120" s="18"/>
      <c r="C120" s="17" t="str">
        <f>IFERROR(VLOOKUP(B120,'MASTER DATA'!$A$1:$E$212,2,FALSE),"")</f>
        <v/>
      </c>
      <c r="D120" s="17" t="str">
        <f>IFERROR(VLOOKUP(B120,'MASTER DATA'!$A$1:$E$212,5,FALSE),"")</f>
        <v/>
      </c>
      <c r="E120" s="18"/>
      <c r="F120" s="17" t="str">
        <f>IFERROR(VLOOKUP(B120,'MASTER DATA'!$A$1:$E$212,4,FALSE),"")</f>
        <v/>
      </c>
      <c r="G120" s="18"/>
      <c r="H120" s="18"/>
      <c r="I120" s="18"/>
      <c r="J120" s="17" t="b">
        <v>0</v>
      </c>
    </row>
    <row r="121">
      <c r="A121" s="17"/>
      <c r="B121" s="18"/>
      <c r="C121" s="17" t="str">
        <f>IFERROR(VLOOKUP(B121,'MASTER DATA'!$A$1:$E$212,2,FALSE),"")</f>
        <v/>
      </c>
      <c r="D121" s="17" t="str">
        <f>IFERROR(VLOOKUP(B121,'MASTER DATA'!$A$1:$E$212,5,FALSE),"")</f>
        <v/>
      </c>
      <c r="E121" s="18"/>
      <c r="F121" s="17" t="str">
        <f>IFERROR(VLOOKUP(B121,'MASTER DATA'!$A$1:$E$212,4,FALSE),"")</f>
        <v/>
      </c>
      <c r="G121" s="18"/>
      <c r="H121" s="18"/>
      <c r="I121" s="18"/>
      <c r="J121" s="17" t="b">
        <v>0</v>
      </c>
    </row>
    <row r="122">
      <c r="A122" s="18"/>
      <c r="B122" s="18"/>
      <c r="C122" s="17" t="str">
        <f>IFERROR(VLOOKUP(B122,'MASTER DATA'!$A$1:$E$212,2,FALSE),"")</f>
        <v/>
      </c>
      <c r="D122" s="17" t="str">
        <f>IFERROR(VLOOKUP(B122,'MASTER DATA'!$A$1:$E$212,5,FALSE),"")</f>
        <v/>
      </c>
      <c r="E122" s="18"/>
      <c r="F122" s="17" t="str">
        <f>IFERROR(VLOOKUP(B122,'MASTER DATA'!$A$1:$E$212,4,FALSE),"")</f>
        <v/>
      </c>
      <c r="G122" s="18"/>
      <c r="H122" s="18"/>
      <c r="I122" s="18"/>
      <c r="J122" s="17" t="b">
        <v>0</v>
      </c>
    </row>
    <row r="123">
      <c r="A123" s="17"/>
      <c r="B123" s="18"/>
      <c r="C123" s="17" t="str">
        <f>IFERROR(VLOOKUP(B123,'MASTER DATA'!$A$1:$E$212,2,FALSE),"")</f>
        <v/>
      </c>
      <c r="D123" s="17" t="str">
        <f>IFERROR(VLOOKUP(B123,'MASTER DATA'!$A$1:$E$212,5,FALSE),"")</f>
        <v/>
      </c>
      <c r="E123" s="17"/>
      <c r="F123" s="17" t="str">
        <f>IFERROR(VLOOKUP(B123,'MASTER DATA'!$A$1:$E$212,4,FALSE),"")</f>
        <v/>
      </c>
      <c r="G123" s="18"/>
      <c r="H123" s="18"/>
      <c r="I123" s="18"/>
      <c r="J123" s="17" t="b">
        <v>0</v>
      </c>
    </row>
    <row r="124">
      <c r="A124" s="17"/>
      <c r="B124" s="18"/>
      <c r="C124" s="17" t="str">
        <f>IFERROR(VLOOKUP(B124,'MASTER DATA'!$A$1:$E$212,2,FALSE),"")</f>
        <v/>
      </c>
      <c r="D124" s="17" t="str">
        <f>IFERROR(VLOOKUP(B124,'MASTER DATA'!$A$1:$E$212,5,FALSE),"")</f>
        <v/>
      </c>
      <c r="E124" s="17"/>
      <c r="F124" s="17" t="str">
        <f>IFERROR(VLOOKUP(B124,'MASTER DATA'!$A$1:$E$212,4,FALSE),"")</f>
        <v/>
      </c>
      <c r="G124" s="18"/>
      <c r="H124" s="18"/>
      <c r="I124" s="18"/>
      <c r="J124" s="17" t="b">
        <v>0</v>
      </c>
    </row>
    <row r="125">
      <c r="A125" s="18"/>
      <c r="B125" s="18"/>
      <c r="C125" s="17" t="str">
        <f>IFERROR(VLOOKUP(B125,'MASTER DATA'!$A$1:$E$212,2,FALSE),"")</f>
        <v/>
      </c>
      <c r="D125" s="17" t="str">
        <f>IFERROR(VLOOKUP(B125,'MASTER DATA'!$A$1:$E$212,5,FALSE),"")</f>
        <v/>
      </c>
      <c r="E125" s="18"/>
      <c r="F125" s="17" t="str">
        <f>IFERROR(VLOOKUP(B125,'MASTER DATA'!$A$1:$E$212,4,FALSE),"")</f>
        <v/>
      </c>
      <c r="G125" s="18"/>
      <c r="H125" s="18"/>
      <c r="I125" s="18"/>
      <c r="J125" s="17" t="b">
        <v>0</v>
      </c>
    </row>
    <row r="126">
      <c r="A126" s="18"/>
      <c r="B126" s="18"/>
      <c r="C126" s="17" t="str">
        <f>IFERROR(VLOOKUP(B126,'MASTER DATA'!$A$1:$E$212,2,FALSE),"")</f>
        <v/>
      </c>
      <c r="D126" s="17" t="str">
        <f>IFERROR(VLOOKUP(B126,'MASTER DATA'!$A$1:$E$212,5,FALSE),"")</f>
        <v/>
      </c>
      <c r="E126" s="18"/>
      <c r="F126" s="17" t="str">
        <f>IFERROR(VLOOKUP(B126,'MASTER DATA'!$A$1:$E$212,4,FALSE),"")</f>
        <v/>
      </c>
      <c r="G126" s="18"/>
      <c r="H126" s="18"/>
      <c r="I126" s="18"/>
      <c r="J126" s="17" t="b">
        <v>0</v>
      </c>
    </row>
    <row r="127">
      <c r="A127" s="17"/>
      <c r="B127" s="18"/>
      <c r="C127" s="17" t="str">
        <f>IFERROR(VLOOKUP(B127,'MASTER DATA'!$A$1:$E$212,2,FALSE),"")</f>
        <v/>
      </c>
      <c r="D127" s="17" t="str">
        <f>IFERROR(VLOOKUP(B127,'MASTER DATA'!$A$1:$E$212,5,FALSE),"")</f>
        <v/>
      </c>
      <c r="E127" s="18"/>
      <c r="F127" s="17" t="str">
        <f>IFERROR(VLOOKUP(B127,'MASTER DATA'!$A$1:$E$212,4,FALSE),"")</f>
        <v/>
      </c>
      <c r="G127" s="18"/>
      <c r="H127" s="18"/>
      <c r="I127" s="18"/>
      <c r="J127" s="17" t="b">
        <v>0</v>
      </c>
    </row>
    <row r="128">
      <c r="A128" s="17"/>
      <c r="B128" s="18"/>
      <c r="C128" s="17" t="str">
        <f>IFERROR(VLOOKUP(B128,'MASTER DATA'!$A$1:$E$212,2,FALSE),"")</f>
        <v/>
      </c>
      <c r="D128" s="17" t="str">
        <f>IFERROR(VLOOKUP(B128,'MASTER DATA'!$A$1:$E$212,5,FALSE),"")</f>
        <v/>
      </c>
      <c r="E128" s="18"/>
      <c r="F128" s="17" t="str">
        <f>IFERROR(VLOOKUP(B128,'MASTER DATA'!$A$1:$E$212,4,FALSE),"")</f>
        <v/>
      </c>
      <c r="G128" s="18"/>
      <c r="H128" s="18"/>
      <c r="I128" s="18"/>
      <c r="J128" s="17" t="b">
        <v>0</v>
      </c>
    </row>
    <row r="129">
      <c r="A129" s="17"/>
      <c r="B129" s="18"/>
      <c r="C129" s="17" t="str">
        <f>IFERROR(VLOOKUP(B129,'MASTER DATA'!$A$1:$E$212,2,FALSE),"")</f>
        <v/>
      </c>
      <c r="D129" s="17" t="str">
        <f>IFERROR(VLOOKUP(B129,'MASTER DATA'!$A$1:$E$212,5,FALSE),"")</f>
        <v/>
      </c>
      <c r="E129" s="18"/>
      <c r="F129" s="17" t="str">
        <f>IFERROR(VLOOKUP(B129,'MASTER DATA'!$A$1:$E$212,4,FALSE),"")</f>
        <v/>
      </c>
      <c r="G129" s="18"/>
      <c r="H129" s="18"/>
      <c r="I129" s="18"/>
      <c r="J129" s="17" t="b">
        <v>0</v>
      </c>
    </row>
    <row r="130">
      <c r="A130" s="17"/>
      <c r="B130" s="18"/>
      <c r="C130" s="17" t="str">
        <f>IFERROR(VLOOKUP(B130,'MASTER DATA'!$A$1:$E$212,2,FALSE),"")</f>
        <v/>
      </c>
      <c r="D130" s="17" t="str">
        <f>IFERROR(VLOOKUP(B130,'MASTER DATA'!$A$1:$E$212,5,FALSE),"")</f>
        <v/>
      </c>
      <c r="E130" s="18"/>
      <c r="F130" s="17" t="str">
        <f>IFERROR(VLOOKUP(B130,'MASTER DATA'!$A$1:$E$212,4,FALSE),"")</f>
        <v/>
      </c>
      <c r="G130" s="18"/>
      <c r="H130" s="18"/>
      <c r="I130" s="18"/>
      <c r="J130" s="17" t="b">
        <v>0</v>
      </c>
    </row>
    <row r="131">
      <c r="A131" s="17"/>
      <c r="B131" s="18"/>
      <c r="C131" s="17" t="str">
        <f>IFERROR(VLOOKUP(B131,'MASTER DATA'!$A$1:$E$212,2,FALSE),"")</f>
        <v/>
      </c>
      <c r="D131" s="17" t="str">
        <f>IFERROR(VLOOKUP(B131,'MASTER DATA'!$A$1:$E$212,5,FALSE),"")</f>
        <v/>
      </c>
      <c r="E131" s="18"/>
      <c r="F131" s="17" t="str">
        <f>IFERROR(VLOOKUP(B131,'MASTER DATA'!$A$1:$E$212,4,FALSE),"")</f>
        <v/>
      </c>
      <c r="G131" s="18"/>
      <c r="H131" s="18"/>
      <c r="I131" s="18"/>
      <c r="J131" s="17" t="b">
        <v>0</v>
      </c>
    </row>
    <row r="132">
      <c r="A132" s="17"/>
      <c r="B132" s="18"/>
      <c r="C132" s="17" t="str">
        <f>IFERROR(VLOOKUP(B132,'MASTER DATA'!$A$1:$E$212,2,FALSE),"")</f>
        <v/>
      </c>
      <c r="D132" s="17" t="str">
        <f>IFERROR(VLOOKUP(B132,'MASTER DATA'!$A$1:$E$212,5,FALSE),"")</f>
        <v/>
      </c>
      <c r="E132" s="18"/>
      <c r="F132" s="17" t="str">
        <f>IFERROR(VLOOKUP(B132,'MASTER DATA'!$A$1:$E$212,4,FALSE),"")</f>
        <v/>
      </c>
      <c r="G132" s="18"/>
      <c r="H132" s="18"/>
      <c r="I132" s="18"/>
      <c r="J132" s="17" t="b">
        <v>0</v>
      </c>
    </row>
    <row r="133">
      <c r="A133" s="36"/>
      <c r="B133" s="18"/>
      <c r="C133" s="17" t="str">
        <f>IFERROR(VLOOKUP(B133,'MASTER DATA'!$A$1:$E$212,2,FALSE),"")</f>
        <v/>
      </c>
      <c r="D133" s="17" t="str">
        <f>IFERROR(VLOOKUP(B133,'MASTER DATA'!$A$1:$E$212,5,FALSE),"")</f>
        <v/>
      </c>
      <c r="E133" s="18"/>
      <c r="F133" s="17" t="str">
        <f>IFERROR(VLOOKUP(B133,'MASTER DATA'!$A$1:$E$212,4,FALSE),"")</f>
        <v/>
      </c>
      <c r="G133" s="18"/>
      <c r="H133" s="18"/>
      <c r="I133" s="18"/>
      <c r="J133" s="17" t="b">
        <v>0</v>
      </c>
    </row>
    <row r="134">
      <c r="A134" s="17"/>
      <c r="B134" s="18"/>
      <c r="C134" s="17" t="str">
        <f>IFERROR(VLOOKUP(B134,'MASTER DATA'!$A$1:$E$212,2,FALSE),"")</f>
        <v/>
      </c>
      <c r="D134" s="17" t="str">
        <f>IFERROR(VLOOKUP(B134,'MASTER DATA'!$A$1:$E$212,5,FALSE),"")</f>
        <v/>
      </c>
      <c r="E134" s="18"/>
      <c r="F134" s="17" t="str">
        <f>IFERROR(VLOOKUP(B134,'MASTER DATA'!$A$1:$E$212,4,FALSE),"")</f>
        <v/>
      </c>
      <c r="G134" s="18"/>
      <c r="H134" s="18"/>
      <c r="I134" s="18"/>
      <c r="J134" s="17" t="b">
        <v>0</v>
      </c>
    </row>
    <row r="135">
      <c r="A135" s="17"/>
      <c r="B135" s="18"/>
      <c r="C135" s="17" t="str">
        <f>IFERROR(VLOOKUP(B135,'MASTER DATA'!$A$1:$E$212,2,FALSE),"")</f>
        <v/>
      </c>
      <c r="D135" s="17" t="str">
        <f>IFERROR(VLOOKUP(B135,'MASTER DATA'!$A$1:$E$212,5,FALSE),"")</f>
        <v/>
      </c>
      <c r="E135" s="18"/>
      <c r="F135" s="17" t="str">
        <f>IFERROR(VLOOKUP(B135,'MASTER DATA'!$A$1:$E$212,4,FALSE),"")</f>
        <v/>
      </c>
      <c r="G135" s="18"/>
      <c r="H135" s="18"/>
      <c r="I135" s="18"/>
      <c r="J135" s="17" t="b">
        <v>0</v>
      </c>
    </row>
    <row r="136">
      <c r="A136" s="17"/>
      <c r="B136" s="18"/>
      <c r="C136" s="17" t="str">
        <f>IFERROR(VLOOKUP(B136,'MASTER DATA'!$A$1:$E$212,2,FALSE),"")</f>
        <v/>
      </c>
      <c r="D136" s="17" t="str">
        <f>IFERROR(VLOOKUP(B136,'MASTER DATA'!$A$1:$E$212,5,FALSE),"")</f>
        <v/>
      </c>
      <c r="E136" s="18"/>
      <c r="F136" s="17" t="str">
        <f>IFERROR(VLOOKUP(B136,'MASTER DATA'!$A$1:$E$212,4,FALSE),"")</f>
        <v/>
      </c>
      <c r="G136" s="18"/>
      <c r="H136" s="18"/>
      <c r="I136" s="18"/>
      <c r="J136" s="17" t="b">
        <v>0</v>
      </c>
    </row>
    <row r="137">
      <c r="A137" s="36"/>
      <c r="B137" s="18"/>
      <c r="C137" s="17" t="str">
        <f>IFERROR(VLOOKUP(B137,'MASTER DATA'!$A$1:$E$212,2,FALSE),"")</f>
        <v/>
      </c>
      <c r="D137" s="17" t="str">
        <f>IFERROR(VLOOKUP(B137,'MASTER DATA'!$A$1:$E$212,5,FALSE),"")</f>
        <v/>
      </c>
      <c r="E137" s="18"/>
      <c r="F137" s="17" t="str">
        <f>IFERROR(VLOOKUP(B137,'MASTER DATA'!$A$1:$E$212,4,FALSE),"")</f>
        <v/>
      </c>
      <c r="G137" s="18"/>
      <c r="H137" s="18"/>
      <c r="I137" s="18"/>
      <c r="J137" s="17" t="b">
        <v>0</v>
      </c>
    </row>
    <row r="138">
      <c r="A138" s="17"/>
      <c r="B138" s="18"/>
      <c r="C138" s="17" t="str">
        <f>IFERROR(VLOOKUP(B138,'MASTER DATA'!$A$1:$E$212,2,FALSE),"")</f>
        <v/>
      </c>
      <c r="D138" s="17" t="str">
        <f>IFERROR(VLOOKUP(B138,'MASTER DATA'!$A$1:$E$212,5,FALSE),"")</f>
        <v/>
      </c>
      <c r="E138" s="18"/>
      <c r="F138" s="17" t="str">
        <f>IFERROR(VLOOKUP(B138,'MASTER DATA'!$A$1:$E$212,4,FALSE),"")</f>
        <v/>
      </c>
      <c r="G138" s="18"/>
      <c r="H138" s="18"/>
      <c r="I138" s="18"/>
      <c r="J138" s="17" t="b">
        <v>0</v>
      </c>
    </row>
    <row r="139">
      <c r="A139" s="17"/>
      <c r="B139" s="18"/>
      <c r="C139" s="17" t="str">
        <f>IFERROR(VLOOKUP(B139,'MASTER DATA'!$A$1:$E$212,2,FALSE),"")</f>
        <v/>
      </c>
      <c r="D139" s="17" t="str">
        <f>IFERROR(VLOOKUP(B139,'MASTER DATA'!$A$1:$E$212,5,FALSE),"")</f>
        <v/>
      </c>
      <c r="E139" s="18"/>
      <c r="F139" s="17" t="str">
        <f>IFERROR(VLOOKUP(B139,'MASTER DATA'!$A$1:$E$212,4,FALSE),"")</f>
        <v/>
      </c>
      <c r="G139" s="18"/>
      <c r="H139" s="18"/>
      <c r="I139" s="18"/>
      <c r="J139" s="17" t="b">
        <v>0</v>
      </c>
    </row>
    <row r="140">
      <c r="A140" s="17"/>
      <c r="B140" s="18"/>
      <c r="C140" s="17" t="str">
        <f>IFERROR(VLOOKUP(B140,'MASTER DATA'!$A$1:$E$212,2,FALSE),"")</f>
        <v/>
      </c>
      <c r="D140" s="17" t="str">
        <f>IFERROR(VLOOKUP(B140,'MASTER DATA'!$A$1:$E$212,5,FALSE),"")</f>
        <v/>
      </c>
      <c r="E140" s="18"/>
      <c r="F140" s="17" t="str">
        <f>IFERROR(VLOOKUP(B140,'MASTER DATA'!$A$1:$E$212,4,FALSE),"")</f>
        <v/>
      </c>
      <c r="G140" s="18"/>
      <c r="H140" s="18"/>
      <c r="I140" s="18"/>
      <c r="J140" s="17" t="b">
        <v>0</v>
      </c>
    </row>
    <row r="141">
      <c r="A141" s="17"/>
      <c r="B141" s="18"/>
      <c r="C141" s="17" t="str">
        <f>IFERROR(VLOOKUP(B141,'MASTER DATA'!$A$1:$E$212,2,FALSE),"")</f>
        <v/>
      </c>
      <c r="D141" s="17" t="str">
        <f>IFERROR(VLOOKUP(B141,'MASTER DATA'!$A$1:$E$212,5,FALSE),"")</f>
        <v/>
      </c>
      <c r="E141" s="18"/>
      <c r="F141" s="17" t="str">
        <f>IFERROR(VLOOKUP(B141,'MASTER DATA'!$A$1:$E$212,4,FALSE),"")</f>
        <v/>
      </c>
      <c r="G141" s="18"/>
      <c r="H141" s="18"/>
      <c r="I141" s="18"/>
      <c r="J141" s="17" t="b">
        <v>0</v>
      </c>
    </row>
    <row r="142">
      <c r="A142" s="17"/>
      <c r="B142" s="18"/>
      <c r="C142" s="17" t="str">
        <f>IFERROR(VLOOKUP(B142,'MASTER DATA'!$A$1:$E$212,2,FALSE),"")</f>
        <v/>
      </c>
      <c r="D142" s="17" t="str">
        <f>IFERROR(VLOOKUP(B142,'MASTER DATA'!$A$1:$E$212,5,FALSE),"")</f>
        <v/>
      </c>
      <c r="E142" s="18"/>
      <c r="F142" s="17" t="str">
        <f>IFERROR(VLOOKUP(B142,'MASTER DATA'!$A$1:$E$212,4,FALSE),"")</f>
        <v/>
      </c>
      <c r="G142" s="18"/>
      <c r="H142" s="18"/>
      <c r="I142" s="18"/>
      <c r="J142" s="17" t="b">
        <v>0</v>
      </c>
    </row>
    <row r="143">
      <c r="A143" s="36"/>
      <c r="B143" s="18"/>
      <c r="C143" s="17" t="str">
        <f>IFERROR(VLOOKUP(B143,'MASTER DATA'!$A$1:$E$212,2,FALSE),"")</f>
        <v/>
      </c>
      <c r="D143" s="17" t="str">
        <f>IFERROR(VLOOKUP(B143,'MASTER DATA'!$A$1:$E$212,5,FALSE),"")</f>
        <v/>
      </c>
      <c r="E143" s="18"/>
      <c r="F143" s="17" t="str">
        <f>IFERROR(VLOOKUP(B143,'MASTER DATA'!$A$1:$E$212,4,FALSE),"")</f>
        <v/>
      </c>
      <c r="G143" s="18"/>
      <c r="H143" s="18"/>
      <c r="I143" s="18"/>
      <c r="J143" s="17" t="b">
        <v>0</v>
      </c>
    </row>
    <row r="144">
      <c r="A144" s="17"/>
      <c r="B144" s="18"/>
      <c r="C144" s="17" t="str">
        <f>IFERROR(VLOOKUP(B144,'MASTER DATA'!$A$1:$E$212,2,FALSE),"")</f>
        <v/>
      </c>
      <c r="D144" s="17" t="str">
        <f>IFERROR(VLOOKUP(B144,'MASTER DATA'!$A$1:$E$212,5,FALSE),"")</f>
        <v/>
      </c>
      <c r="E144" s="18"/>
      <c r="F144" s="17" t="str">
        <f>IFERROR(VLOOKUP(B144,'MASTER DATA'!$A$1:$E$212,4,FALSE),"")</f>
        <v/>
      </c>
      <c r="G144" s="18"/>
      <c r="H144" s="18"/>
      <c r="I144" s="18"/>
      <c r="J144" s="17" t="b">
        <v>0</v>
      </c>
    </row>
    <row r="145">
      <c r="A145" s="17"/>
      <c r="B145" s="17"/>
      <c r="C145" s="17" t="str">
        <f>IFERROR(VLOOKUP(B145,'MASTER DATA'!$A$1:$E$212,2,FALSE),"")</f>
        <v/>
      </c>
      <c r="D145" s="17" t="str">
        <f>IFERROR(VLOOKUP(B145,'MASTER DATA'!$A$1:$E$212,5,FALSE),"")</f>
        <v/>
      </c>
      <c r="E145" s="17"/>
      <c r="F145" s="17" t="str">
        <f>IFERROR(VLOOKUP(B145,'MASTER DATA'!$A$1:$E$212,4,FALSE),"")</f>
        <v/>
      </c>
      <c r="G145" s="17"/>
      <c r="H145" s="17"/>
      <c r="I145" s="17"/>
      <c r="J145" s="17" t="b">
        <v>0</v>
      </c>
    </row>
    <row r="146">
      <c r="A146" s="17"/>
      <c r="B146" s="17"/>
      <c r="C146" s="17" t="str">
        <f>IFERROR(VLOOKUP(B146,'MASTER DATA'!$A$1:$E$212,2,FALSE),"")</f>
        <v/>
      </c>
      <c r="D146" s="17" t="str">
        <f>IFERROR(VLOOKUP(B146,'MASTER DATA'!$A$1:$E$212,5,FALSE),"")</f>
        <v/>
      </c>
      <c r="E146" s="17"/>
      <c r="F146" s="17" t="str">
        <f>IFERROR(VLOOKUP(B146,'MASTER DATA'!$A$1:$E$212,4,FALSE),"")</f>
        <v/>
      </c>
      <c r="G146" s="17"/>
      <c r="H146" s="17"/>
      <c r="I146" s="17"/>
      <c r="J146" s="17" t="b">
        <v>0</v>
      </c>
    </row>
    <row r="147">
      <c r="A147" s="17"/>
      <c r="B147" s="17"/>
      <c r="C147" s="17" t="str">
        <f>IFERROR(VLOOKUP(B147,'MASTER DATA'!$A$1:$E$212,2,FALSE),"")</f>
        <v/>
      </c>
      <c r="D147" s="17" t="str">
        <f>IFERROR(VLOOKUP(B147,'MASTER DATA'!$A$1:$E$212,5,FALSE),"")</f>
        <v/>
      </c>
      <c r="E147" s="17"/>
      <c r="F147" s="17" t="str">
        <f>IFERROR(VLOOKUP(B147,'MASTER DATA'!$A$1:$E$212,4,FALSE),"")</f>
        <v/>
      </c>
      <c r="G147" s="17"/>
      <c r="H147" s="17"/>
      <c r="I147" s="17"/>
      <c r="J147" s="17" t="b">
        <v>0</v>
      </c>
    </row>
    <row r="148">
      <c r="A148" s="17"/>
      <c r="B148" s="17"/>
      <c r="C148" s="17" t="str">
        <f>IFERROR(VLOOKUP(B148,'MASTER DATA'!$A$1:$E$212,2,FALSE),"")</f>
        <v/>
      </c>
      <c r="D148" s="17" t="str">
        <f>IFERROR(VLOOKUP(B148,'MASTER DATA'!$A$1:$E$212,5,FALSE),"")</f>
        <v/>
      </c>
      <c r="E148" s="17"/>
      <c r="F148" s="17" t="str">
        <f>IFERROR(VLOOKUP(B148,'MASTER DATA'!$A$1:$E$212,4,FALSE),"")</f>
        <v/>
      </c>
      <c r="G148" s="17"/>
      <c r="H148" s="17"/>
      <c r="I148" s="17"/>
      <c r="J148" s="17" t="b">
        <v>0</v>
      </c>
    </row>
    <row r="149">
      <c r="A149" s="17"/>
      <c r="B149" s="17"/>
      <c r="C149" s="17" t="str">
        <f>IFERROR(VLOOKUP(B149,'MASTER DATA'!$A$1:$E$212,2,FALSE),"")</f>
        <v/>
      </c>
      <c r="D149" s="17" t="str">
        <f>IFERROR(VLOOKUP(B149,'MASTER DATA'!$A$1:$E$212,5,FALSE),"")</f>
        <v/>
      </c>
      <c r="E149" s="17"/>
      <c r="F149" s="17" t="str">
        <f>IFERROR(VLOOKUP(B149,'MASTER DATA'!$A$1:$E$212,4,FALSE),"")</f>
        <v/>
      </c>
      <c r="G149" s="17"/>
      <c r="H149" s="17"/>
      <c r="I149" s="17"/>
      <c r="J149" s="17" t="b">
        <v>0</v>
      </c>
    </row>
    <row r="150">
      <c r="A150" s="17"/>
      <c r="B150" s="17"/>
      <c r="C150" s="17" t="str">
        <f>IFERROR(VLOOKUP(B150,'MASTER DATA'!$A$1:$E$212,2,FALSE),"")</f>
        <v/>
      </c>
      <c r="D150" s="17" t="str">
        <f>IFERROR(VLOOKUP(B150,'MASTER DATA'!$A$1:$E$212,5,FALSE),"")</f>
        <v/>
      </c>
      <c r="E150" s="17"/>
      <c r="F150" s="17" t="str">
        <f>IFERROR(VLOOKUP(B150,'MASTER DATA'!$A$1:$E$212,4,FALSE),"")</f>
        <v/>
      </c>
      <c r="G150" s="17"/>
      <c r="H150" s="17"/>
      <c r="I150" s="17"/>
      <c r="J150" s="17" t="b">
        <v>0</v>
      </c>
    </row>
    <row r="151">
      <c r="A151" s="17"/>
      <c r="B151" s="17"/>
      <c r="C151" s="17" t="str">
        <f>IFERROR(VLOOKUP(B151,'MASTER DATA'!$A$1:$E$212,2,FALSE),"")</f>
        <v/>
      </c>
      <c r="D151" s="17" t="str">
        <f>IFERROR(VLOOKUP(B151,'MASTER DATA'!$A$1:$E$212,5,FALSE),"")</f>
        <v/>
      </c>
      <c r="E151" s="17"/>
      <c r="F151" s="17" t="str">
        <f>IFERROR(VLOOKUP(B151,'MASTER DATA'!$A$1:$E$212,4,FALSE),"")</f>
        <v/>
      </c>
      <c r="G151" s="17"/>
      <c r="H151" s="17"/>
      <c r="I151" s="17"/>
      <c r="J151" s="17" t="b">
        <v>0</v>
      </c>
    </row>
    <row r="152">
      <c r="A152" s="17"/>
      <c r="B152" s="17"/>
      <c r="C152" s="17" t="str">
        <f>IFERROR(VLOOKUP(B152,'MASTER DATA'!$A$1:$E$212,2,FALSE),"")</f>
        <v/>
      </c>
      <c r="D152" s="17" t="str">
        <f>IFERROR(VLOOKUP(B152,'MASTER DATA'!$A$1:$E$212,5,FALSE),"")</f>
        <v/>
      </c>
      <c r="E152" s="17"/>
      <c r="F152" s="17" t="str">
        <f>IFERROR(VLOOKUP(B152,'MASTER DATA'!$A$1:$E$212,4,FALSE),"")</f>
        <v/>
      </c>
      <c r="G152" s="17"/>
      <c r="H152" s="17"/>
      <c r="I152" s="17"/>
      <c r="J152" s="17" t="b">
        <v>0</v>
      </c>
    </row>
    <row r="153">
      <c r="A153" s="17"/>
      <c r="B153" s="17"/>
      <c r="C153" s="17" t="str">
        <f>IFERROR(VLOOKUP(B153,'MASTER DATA'!$A$1:$E$212,2,FALSE),"")</f>
        <v/>
      </c>
      <c r="D153" s="17" t="str">
        <f>IFERROR(VLOOKUP(B153,'MASTER DATA'!$A$1:$E$212,5,FALSE),"")</f>
        <v/>
      </c>
      <c r="E153" s="17"/>
      <c r="F153" s="17" t="str">
        <f>IFERROR(VLOOKUP(B153,'MASTER DATA'!$A$1:$E$212,4,FALSE),"")</f>
        <v/>
      </c>
      <c r="G153" s="17"/>
      <c r="H153" s="17"/>
      <c r="I153" s="17"/>
      <c r="J153" s="17" t="b">
        <v>0</v>
      </c>
    </row>
    <row r="154">
      <c r="A154" s="17"/>
      <c r="B154" s="17"/>
      <c r="C154" s="17" t="str">
        <f>IFERROR(VLOOKUP(B154,'MASTER DATA'!$A$1:$E$212,2,FALSE),"")</f>
        <v/>
      </c>
      <c r="D154" s="17" t="str">
        <f>IFERROR(VLOOKUP(B154,'MASTER DATA'!$A$1:$E$212,5,FALSE),"")</f>
        <v/>
      </c>
      <c r="E154" s="17"/>
      <c r="F154" s="17" t="str">
        <f>IFERROR(VLOOKUP(B154,'MASTER DATA'!$A$1:$E$212,4,FALSE),"")</f>
        <v/>
      </c>
      <c r="G154" s="17"/>
      <c r="H154" s="17"/>
      <c r="I154" s="17"/>
      <c r="J154" s="17" t="b">
        <v>0</v>
      </c>
    </row>
    <row r="155">
      <c r="A155" s="17"/>
      <c r="B155" s="17"/>
      <c r="C155" s="17" t="str">
        <f>IFERROR(VLOOKUP(B155,'MASTER DATA'!$A$1:$E$212,2,FALSE),"")</f>
        <v/>
      </c>
      <c r="D155" s="17" t="str">
        <f>IFERROR(VLOOKUP(B155,'MASTER DATA'!$A$1:$E$212,5,FALSE),"")</f>
        <v/>
      </c>
      <c r="E155" s="17"/>
      <c r="F155" s="17" t="str">
        <f>IFERROR(VLOOKUP(B155,'MASTER DATA'!$A$1:$E$212,4,FALSE),"")</f>
        <v/>
      </c>
      <c r="G155" s="17"/>
      <c r="H155" s="17"/>
      <c r="I155" s="17"/>
      <c r="J155" s="17" t="b">
        <v>0</v>
      </c>
    </row>
    <row r="156">
      <c r="A156" s="17"/>
      <c r="B156" s="17"/>
      <c r="C156" s="17" t="str">
        <f>IFERROR(VLOOKUP(B156,'MASTER DATA'!$A$1:$E$212,2,FALSE),"")</f>
        <v/>
      </c>
      <c r="D156" s="17" t="str">
        <f>IFERROR(VLOOKUP(B156,'MASTER DATA'!$A$1:$E$212,5,FALSE),"")</f>
        <v/>
      </c>
      <c r="E156" s="17"/>
      <c r="F156" s="17" t="str">
        <f>IFERROR(VLOOKUP(B156,'MASTER DATA'!$A$1:$E$212,4,FALSE),"")</f>
        <v/>
      </c>
      <c r="G156" s="17"/>
      <c r="H156" s="17"/>
      <c r="I156" s="17"/>
      <c r="J156" s="17" t="b">
        <v>0</v>
      </c>
    </row>
    <row r="157">
      <c r="A157" s="17"/>
      <c r="B157" s="17"/>
      <c r="C157" s="17" t="str">
        <f>IFERROR(VLOOKUP(B157,'MASTER DATA'!$A$1:$E$212,2,FALSE),"")</f>
        <v/>
      </c>
      <c r="D157" s="17" t="str">
        <f>IFERROR(VLOOKUP(B157,'MASTER DATA'!$A$1:$E$212,5,FALSE),"")</f>
        <v/>
      </c>
      <c r="E157" s="17"/>
      <c r="F157" s="17" t="str">
        <f>IFERROR(VLOOKUP(B157,'MASTER DATA'!$A$1:$E$212,4,FALSE),"")</f>
        <v/>
      </c>
      <c r="G157" s="17"/>
      <c r="H157" s="17"/>
      <c r="I157" s="17"/>
      <c r="J157" s="17" t="b">
        <v>0</v>
      </c>
    </row>
    <row r="158">
      <c r="A158" s="17"/>
      <c r="B158" s="17"/>
      <c r="C158" s="17" t="str">
        <f>IFERROR(VLOOKUP(B158,'MASTER DATA'!$A$1:$E$212,2,FALSE),"")</f>
        <v/>
      </c>
      <c r="D158" s="17" t="str">
        <f>IFERROR(VLOOKUP(B158,'MASTER DATA'!$A$1:$E$212,5,FALSE),"")</f>
        <v/>
      </c>
      <c r="E158" s="17"/>
      <c r="F158" s="17" t="str">
        <f>IFERROR(VLOOKUP(B158,'MASTER DATA'!$A$1:$E$212,4,FALSE),"")</f>
        <v/>
      </c>
      <c r="G158" s="17"/>
      <c r="H158" s="17"/>
      <c r="I158" s="17"/>
      <c r="J158" s="17" t="b">
        <v>0</v>
      </c>
    </row>
    <row r="159">
      <c r="A159" s="17"/>
      <c r="B159" s="17"/>
      <c r="C159" s="17" t="str">
        <f>IFERROR(VLOOKUP(B159,'MASTER DATA'!$A$1:$E$212,2,FALSE),"")</f>
        <v/>
      </c>
      <c r="D159" s="17" t="str">
        <f>IFERROR(VLOOKUP(B159,'MASTER DATA'!$A$1:$E$212,5,FALSE),"")</f>
        <v/>
      </c>
      <c r="E159" s="17"/>
      <c r="F159" s="17" t="str">
        <f>IFERROR(VLOOKUP(B159,'MASTER DATA'!$A$1:$E$212,4,FALSE),"")</f>
        <v/>
      </c>
      <c r="G159" s="17"/>
      <c r="H159" s="17"/>
      <c r="I159" s="17"/>
      <c r="J159" s="17" t="b">
        <v>0</v>
      </c>
    </row>
    <row r="160">
      <c r="A160" s="17"/>
      <c r="B160" s="17"/>
      <c r="C160" s="17" t="str">
        <f>IFERROR(VLOOKUP(B160,'MASTER DATA'!$A$1:$E$212,2,FALSE),"")</f>
        <v/>
      </c>
      <c r="D160" s="17" t="str">
        <f>IFERROR(VLOOKUP(B160,'MASTER DATA'!$A$1:$E$212,5,FALSE),"")</f>
        <v/>
      </c>
      <c r="E160" s="17"/>
      <c r="F160" s="17" t="str">
        <f>IFERROR(VLOOKUP(B160,'MASTER DATA'!$A$1:$E$212,4,FALSE),"")</f>
        <v/>
      </c>
      <c r="G160" s="17"/>
      <c r="H160" s="17"/>
      <c r="I160" s="17"/>
      <c r="J160" s="17" t="b">
        <v>0</v>
      </c>
    </row>
    <row r="161">
      <c r="A161" s="17"/>
      <c r="B161" s="17"/>
      <c r="C161" s="17" t="str">
        <f>IFERROR(VLOOKUP(B161,'MASTER DATA'!$A$1:$E$212,2,FALSE),"")</f>
        <v/>
      </c>
      <c r="D161" s="17" t="str">
        <f>IFERROR(VLOOKUP(B161,'MASTER DATA'!$A$1:$E$212,5,FALSE),"")</f>
        <v/>
      </c>
      <c r="E161" s="17"/>
      <c r="F161" s="17" t="str">
        <f>IFERROR(VLOOKUP(B161,'MASTER DATA'!$A$1:$E$212,4,FALSE),"")</f>
        <v/>
      </c>
      <c r="G161" s="17"/>
      <c r="H161" s="17"/>
      <c r="I161" s="17"/>
      <c r="J161" s="17" t="b">
        <v>0</v>
      </c>
    </row>
    <row r="162">
      <c r="A162" s="17"/>
      <c r="B162" s="17"/>
      <c r="C162" s="17" t="str">
        <f>IFERROR(VLOOKUP(B162,'MASTER DATA'!$A$1:$E$212,2,FALSE),"")</f>
        <v/>
      </c>
      <c r="D162" s="17" t="str">
        <f>IFERROR(VLOOKUP(B162,'MASTER DATA'!$A$1:$E$212,5,FALSE),"")</f>
        <v/>
      </c>
      <c r="E162" s="17"/>
      <c r="F162" s="17" t="str">
        <f>IFERROR(VLOOKUP(B162,'MASTER DATA'!$A$1:$E$212,4,FALSE),"")</f>
        <v/>
      </c>
      <c r="G162" s="17"/>
      <c r="H162" s="17"/>
      <c r="I162" s="17"/>
      <c r="J162" s="17" t="b">
        <v>0</v>
      </c>
    </row>
    <row r="163">
      <c r="A163" s="17"/>
      <c r="B163" s="17"/>
      <c r="C163" s="17" t="str">
        <f>IFERROR(VLOOKUP(B163,'MASTER DATA'!$A$1:$E$212,2,FALSE),"")</f>
        <v/>
      </c>
      <c r="D163" s="17" t="str">
        <f>IFERROR(VLOOKUP(B163,'MASTER DATA'!$A$1:$E$212,5,FALSE),"")</f>
        <v/>
      </c>
      <c r="E163" s="17"/>
      <c r="F163" s="17" t="str">
        <f>IFERROR(VLOOKUP(B163,'MASTER DATA'!$A$1:$E$212,4,FALSE),"")</f>
        <v/>
      </c>
      <c r="G163" s="17"/>
      <c r="H163" s="17"/>
      <c r="I163" s="17"/>
      <c r="J163" s="17" t="b">
        <v>0</v>
      </c>
    </row>
    <row r="164">
      <c r="A164" s="17"/>
      <c r="B164" s="17"/>
      <c r="C164" s="17" t="str">
        <f>IFERROR(VLOOKUP(B164,'MASTER DATA'!$A$1:$E$212,2,FALSE),"")</f>
        <v/>
      </c>
      <c r="D164" s="17" t="str">
        <f>IFERROR(VLOOKUP(B164,'MASTER DATA'!$A$1:$E$212,5,FALSE),"")</f>
        <v/>
      </c>
      <c r="E164" s="17"/>
      <c r="F164" s="17" t="str">
        <f>IFERROR(VLOOKUP(B164,'MASTER DATA'!$A$1:$E$212,4,FALSE),"")</f>
        <v/>
      </c>
      <c r="G164" s="17"/>
      <c r="H164" s="17"/>
      <c r="I164" s="17"/>
      <c r="J164" s="17" t="b">
        <v>0</v>
      </c>
    </row>
    <row r="165">
      <c r="A165" s="17"/>
      <c r="B165" s="17"/>
      <c r="C165" s="17" t="str">
        <f>IFERROR(VLOOKUP(B165,'MASTER DATA'!$A$1:$E$212,2,FALSE),"")</f>
        <v/>
      </c>
      <c r="D165" s="17" t="str">
        <f>IFERROR(VLOOKUP(B165,'MASTER DATA'!$A$1:$E$212,5,FALSE),"")</f>
        <v/>
      </c>
      <c r="E165" s="17"/>
      <c r="F165" s="17" t="str">
        <f>IFERROR(VLOOKUP(B165,'MASTER DATA'!$A$1:$E$212,4,FALSE),"")</f>
        <v/>
      </c>
      <c r="G165" s="17"/>
      <c r="H165" s="17"/>
      <c r="I165" s="17"/>
      <c r="J165" s="17" t="b">
        <v>0</v>
      </c>
    </row>
    <row r="166">
      <c r="A166" s="17"/>
      <c r="B166" s="17"/>
      <c r="C166" s="17" t="str">
        <f>IFERROR(VLOOKUP(B166,'MASTER DATA'!$A$1:$E$212,2,FALSE),"")</f>
        <v/>
      </c>
      <c r="D166" s="17" t="str">
        <f>IFERROR(VLOOKUP(B166,'MASTER DATA'!$A$1:$E$212,5,FALSE),"")</f>
        <v/>
      </c>
      <c r="E166" s="17"/>
      <c r="F166" s="17" t="str">
        <f>IFERROR(VLOOKUP(B166,'MASTER DATA'!$A$1:$E$212,4,FALSE),"")</f>
        <v/>
      </c>
      <c r="G166" s="17"/>
      <c r="H166" s="17"/>
      <c r="I166" s="17"/>
      <c r="J166" s="17" t="b">
        <v>0</v>
      </c>
    </row>
    <row r="167">
      <c r="A167" s="17"/>
      <c r="B167" s="17"/>
      <c r="C167" s="17" t="str">
        <f>IFERROR(VLOOKUP(B167,'MASTER DATA'!$A$1:$E$212,2,FALSE),"")</f>
        <v/>
      </c>
      <c r="D167" s="17" t="str">
        <f>IFERROR(VLOOKUP(B167,'MASTER DATA'!$A$1:$E$212,5,FALSE),"")</f>
        <v/>
      </c>
      <c r="E167" s="17"/>
      <c r="F167" s="17" t="str">
        <f>IFERROR(VLOOKUP(B167,'MASTER DATA'!$A$1:$E$212,4,FALSE),"")</f>
        <v/>
      </c>
      <c r="G167" s="17"/>
      <c r="H167" s="17"/>
      <c r="I167" s="17"/>
      <c r="J167" s="17" t="b">
        <v>0</v>
      </c>
    </row>
    <row r="168">
      <c r="A168" s="17"/>
      <c r="B168" s="17"/>
      <c r="C168" s="17" t="str">
        <f>IFERROR(VLOOKUP(B168,'MASTER DATA'!$A$1:$E$212,2,FALSE),"")</f>
        <v/>
      </c>
      <c r="D168" s="17" t="str">
        <f>IFERROR(VLOOKUP(B168,'MASTER DATA'!$A$1:$E$212,5,FALSE),"")</f>
        <v/>
      </c>
      <c r="E168" s="17"/>
      <c r="F168" s="17" t="str">
        <f>IFERROR(VLOOKUP(B168,'MASTER DATA'!$A$1:$E$212,4,FALSE),"")</f>
        <v/>
      </c>
      <c r="G168" s="17"/>
      <c r="H168" s="17"/>
      <c r="I168" s="17"/>
      <c r="J168" s="17" t="b">
        <v>0</v>
      </c>
    </row>
    <row r="169">
      <c r="A169" s="17"/>
      <c r="B169" s="17"/>
      <c r="C169" s="17" t="str">
        <f>IFERROR(VLOOKUP(B169,'MASTER DATA'!$A$1:$E$212,2,FALSE),"")</f>
        <v/>
      </c>
      <c r="D169" s="17" t="str">
        <f>IFERROR(VLOOKUP(B169,'MASTER DATA'!$A$1:$E$212,5,FALSE),"")</f>
        <v/>
      </c>
      <c r="E169" s="17"/>
      <c r="F169" s="17" t="str">
        <f>IFERROR(VLOOKUP(B169,'MASTER DATA'!$A$1:$E$212,4,FALSE),"")</f>
        <v/>
      </c>
      <c r="G169" s="17"/>
      <c r="H169" s="17"/>
      <c r="I169" s="17"/>
      <c r="J169" s="17" t="b">
        <v>0</v>
      </c>
    </row>
    <row r="170">
      <c r="A170" s="17"/>
      <c r="B170" s="17"/>
      <c r="C170" s="17" t="str">
        <f>IFERROR(VLOOKUP(B170,'MASTER DATA'!$A$1:$E$212,2,FALSE),"")</f>
        <v/>
      </c>
      <c r="D170" s="17" t="str">
        <f>IFERROR(VLOOKUP(B170,'MASTER DATA'!$A$1:$E$212,5,FALSE),"")</f>
        <v/>
      </c>
      <c r="E170" s="17"/>
      <c r="F170" s="17" t="str">
        <f>IFERROR(VLOOKUP(B170,'MASTER DATA'!$A$1:$E$212,4,FALSE),"")</f>
        <v/>
      </c>
      <c r="G170" s="17"/>
      <c r="H170" s="17"/>
      <c r="I170" s="17"/>
      <c r="J170" s="17" t="b">
        <v>0</v>
      </c>
    </row>
    <row r="171">
      <c r="A171" s="17"/>
      <c r="B171" s="17"/>
      <c r="C171" s="17" t="str">
        <f>IFERROR(VLOOKUP(B171,'MASTER DATA'!$A$1:$E$212,2,FALSE),"")</f>
        <v/>
      </c>
      <c r="D171" s="17" t="str">
        <f>IFERROR(VLOOKUP(B171,'MASTER DATA'!$A$1:$E$212,5,FALSE),"")</f>
        <v/>
      </c>
      <c r="E171" s="17"/>
      <c r="F171" s="17" t="str">
        <f>IFERROR(VLOOKUP(B171,'MASTER DATA'!$A$1:$E$212,4,FALSE),"")</f>
        <v/>
      </c>
      <c r="G171" s="17"/>
      <c r="H171" s="17"/>
      <c r="I171" s="17"/>
      <c r="J171" s="17" t="b">
        <v>0</v>
      </c>
    </row>
    <row r="172">
      <c r="A172" s="17"/>
      <c r="B172" s="17"/>
      <c r="C172" s="17" t="str">
        <f>IFERROR(VLOOKUP(B172,'MASTER DATA'!$A$1:$E$212,2,FALSE),"")</f>
        <v/>
      </c>
      <c r="D172" s="17" t="str">
        <f>IFERROR(VLOOKUP(B172,'MASTER DATA'!$A$1:$E$212,5,FALSE),"")</f>
        <v/>
      </c>
      <c r="E172" s="17"/>
      <c r="F172" s="17" t="str">
        <f>IFERROR(VLOOKUP(B172,'MASTER DATA'!$A$1:$E$212,4,FALSE),"")</f>
        <v/>
      </c>
      <c r="G172" s="17"/>
      <c r="H172" s="17"/>
      <c r="I172" s="17"/>
      <c r="J172" s="17" t="b">
        <v>0</v>
      </c>
    </row>
    <row r="173">
      <c r="A173" s="17"/>
      <c r="B173" s="17"/>
      <c r="C173" s="17" t="str">
        <f>IFERROR(VLOOKUP(B173,'MASTER DATA'!$A$1:$E$212,2,FALSE),"")</f>
        <v/>
      </c>
      <c r="D173" s="17" t="str">
        <f>IFERROR(VLOOKUP(B173,'MASTER DATA'!$A$1:$E$212,5,FALSE),"")</f>
        <v/>
      </c>
      <c r="E173" s="17"/>
      <c r="F173" s="17" t="str">
        <f>IFERROR(VLOOKUP(B173,'MASTER DATA'!$A$1:$E$212,4,FALSE),"")</f>
        <v/>
      </c>
      <c r="G173" s="17"/>
      <c r="H173" s="17"/>
      <c r="I173" s="17"/>
      <c r="J173" s="17" t="b">
        <v>0</v>
      </c>
    </row>
    <row r="174">
      <c r="A174" s="17"/>
      <c r="B174" s="17"/>
      <c r="C174" s="17" t="str">
        <f>IFERROR(VLOOKUP(B174,'MASTER DATA'!$A$1:$E$212,2,FALSE),"")</f>
        <v/>
      </c>
      <c r="D174" s="17" t="str">
        <f>IFERROR(VLOOKUP(B174,'MASTER DATA'!$A$1:$E$212,5,FALSE),"")</f>
        <v/>
      </c>
      <c r="E174" s="17"/>
      <c r="F174" s="17" t="str">
        <f>IFERROR(VLOOKUP(B174,'MASTER DATA'!$A$1:$E$212,4,FALSE),"")</f>
        <v/>
      </c>
      <c r="G174" s="17"/>
      <c r="H174" s="17"/>
      <c r="I174" s="17"/>
      <c r="J174" s="17" t="b">
        <v>0</v>
      </c>
    </row>
    <row r="175">
      <c r="A175" s="17"/>
      <c r="B175" s="17"/>
      <c r="C175" s="17" t="str">
        <f>IFERROR(VLOOKUP(B175,'MASTER DATA'!$A$1:$E$212,2,FALSE),"")</f>
        <v/>
      </c>
      <c r="D175" s="17" t="str">
        <f>IFERROR(VLOOKUP(B175,'MASTER DATA'!$A$1:$E$212,5,FALSE),"")</f>
        <v/>
      </c>
      <c r="E175" s="17"/>
      <c r="F175" s="17" t="str">
        <f>IFERROR(VLOOKUP(B175,'MASTER DATA'!$A$1:$E$212,4,FALSE),"")</f>
        <v/>
      </c>
      <c r="G175" s="17"/>
      <c r="H175" s="17"/>
      <c r="I175" s="17"/>
      <c r="J175" s="17" t="b">
        <v>0</v>
      </c>
    </row>
    <row r="176">
      <c r="A176" s="17"/>
      <c r="B176" s="17"/>
      <c r="C176" s="17" t="str">
        <f>IFERROR(VLOOKUP(B176,'MASTER DATA'!$A$1:$E$212,2,FALSE),"")</f>
        <v/>
      </c>
      <c r="D176" s="17" t="str">
        <f>IFERROR(VLOOKUP(B176,'MASTER DATA'!$A$1:$E$212,5,FALSE),"")</f>
        <v/>
      </c>
      <c r="E176" s="17"/>
      <c r="F176" s="17" t="str">
        <f>IFERROR(VLOOKUP(B176,'MASTER DATA'!$A$1:$E$212,4,FALSE),"")</f>
        <v/>
      </c>
      <c r="G176" s="17"/>
      <c r="H176" s="17"/>
      <c r="I176" s="17"/>
      <c r="J176" s="17" t="b">
        <v>0</v>
      </c>
    </row>
    <row r="177">
      <c r="A177" s="17"/>
      <c r="B177" s="17"/>
      <c r="C177" s="17" t="str">
        <f>IFERROR(VLOOKUP(B177,'MASTER DATA'!$A$1:$E$212,2,FALSE),"")</f>
        <v/>
      </c>
      <c r="D177" s="17" t="str">
        <f>IFERROR(VLOOKUP(B177,'MASTER DATA'!$A$1:$E$212,5,FALSE),"")</f>
        <v/>
      </c>
      <c r="E177" s="17"/>
      <c r="F177" s="17" t="str">
        <f>IFERROR(VLOOKUP(B177,'MASTER DATA'!$A$1:$E$212,4,FALSE),"")</f>
        <v/>
      </c>
      <c r="G177" s="17"/>
      <c r="H177" s="17"/>
      <c r="I177" s="17"/>
      <c r="J177" s="17" t="b">
        <v>0</v>
      </c>
    </row>
    <row r="178">
      <c r="A178" s="17"/>
      <c r="B178" s="17"/>
      <c r="C178" s="17" t="str">
        <f>IFERROR(VLOOKUP(B178,'MASTER DATA'!$A$1:$E$212,2,FALSE),"")</f>
        <v/>
      </c>
      <c r="D178" s="17" t="str">
        <f>IFERROR(VLOOKUP(B178,'MASTER DATA'!$A$1:$E$212,5,FALSE),"")</f>
        <v/>
      </c>
      <c r="E178" s="17"/>
      <c r="F178" s="17" t="str">
        <f>IFERROR(VLOOKUP(B178,'MASTER DATA'!$A$1:$E$212,4,FALSE),"")</f>
        <v/>
      </c>
      <c r="G178" s="17"/>
      <c r="H178" s="17"/>
      <c r="I178" s="17"/>
      <c r="J178" s="17" t="b">
        <v>0</v>
      </c>
    </row>
    <row r="179">
      <c r="A179" s="17"/>
      <c r="B179" s="17"/>
      <c r="C179" s="17" t="str">
        <f>IFERROR(VLOOKUP(B179,'MASTER DATA'!$A$1:$E$212,2,FALSE),"")</f>
        <v/>
      </c>
      <c r="D179" s="17" t="str">
        <f>IFERROR(VLOOKUP(B179,'MASTER DATA'!$A$1:$E$212,5,FALSE),"")</f>
        <v/>
      </c>
      <c r="E179" s="17"/>
      <c r="F179" s="17" t="str">
        <f>IFERROR(VLOOKUP(B179,'MASTER DATA'!$A$1:$E$212,4,FALSE),"")</f>
        <v/>
      </c>
      <c r="G179" s="17"/>
      <c r="H179" s="17"/>
      <c r="I179" s="17"/>
      <c r="J179" s="17" t="b">
        <v>0</v>
      </c>
    </row>
    <row r="180">
      <c r="A180" s="17"/>
      <c r="B180" s="17"/>
      <c r="C180" s="17" t="str">
        <f>IFERROR(VLOOKUP(B180,'MASTER DATA'!$A$1:$E$212,2,FALSE),"")</f>
        <v/>
      </c>
      <c r="D180" s="17" t="str">
        <f>IFERROR(VLOOKUP(B180,'MASTER DATA'!$A$1:$E$212,5,FALSE),"")</f>
        <v/>
      </c>
      <c r="E180" s="17"/>
      <c r="F180" s="17" t="str">
        <f>IFERROR(VLOOKUP(B180,'MASTER DATA'!$A$1:$E$212,4,FALSE),"")</f>
        <v/>
      </c>
      <c r="G180" s="17"/>
      <c r="H180" s="17"/>
      <c r="I180" s="17"/>
      <c r="J180" s="17" t="b">
        <v>0</v>
      </c>
    </row>
    <row r="181">
      <c r="A181" s="17"/>
      <c r="B181" s="17"/>
      <c r="C181" s="17" t="str">
        <f>IFERROR(VLOOKUP(B181,'MASTER DATA'!$A$1:$E$212,2,FALSE),"")</f>
        <v/>
      </c>
      <c r="D181" s="17" t="str">
        <f>IFERROR(VLOOKUP(B181,'MASTER DATA'!$A$1:$E$212,5,FALSE),"")</f>
        <v/>
      </c>
      <c r="E181" s="17"/>
      <c r="F181" s="17" t="str">
        <f>IFERROR(VLOOKUP(B181,'MASTER DATA'!$A$1:$E$212,4,FALSE),"")</f>
        <v/>
      </c>
      <c r="G181" s="17"/>
      <c r="H181" s="17"/>
      <c r="I181" s="17"/>
      <c r="J181" s="17" t="b">
        <v>0</v>
      </c>
    </row>
    <row r="182">
      <c r="A182" s="17"/>
      <c r="B182" s="17"/>
      <c r="C182" s="17" t="str">
        <f>IFERROR(VLOOKUP(B182,'MASTER DATA'!$A$1:$E$212,2,FALSE),"")</f>
        <v/>
      </c>
      <c r="D182" s="17" t="str">
        <f>IFERROR(VLOOKUP(B182,'MASTER DATA'!$A$1:$E$212,5,FALSE),"")</f>
        <v/>
      </c>
      <c r="E182" s="17"/>
      <c r="F182" s="17" t="str">
        <f>IFERROR(VLOOKUP(B182,'MASTER DATA'!$A$1:$E$212,4,FALSE),"")</f>
        <v/>
      </c>
      <c r="G182" s="17"/>
      <c r="H182" s="17"/>
      <c r="I182" s="17"/>
      <c r="J182" s="17" t="b">
        <v>0</v>
      </c>
    </row>
    <row r="183">
      <c r="A183" s="17"/>
      <c r="B183" s="17"/>
      <c r="C183" s="17" t="str">
        <f>IFERROR(VLOOKUP(B183,'MASTER DATA'!$A$1:$E$212,2,FALSE),"")</f>
        <v/>
      </c>
      <c r="D183" s="17" t="str">
        <f>IFERROR(VLOOKUP(B183,'MASTER DATA'!$A$1:$E$212,5,FALSE),"")</f>
        <v/>
      </c>
      <c r="E183" s="17"/>
      <c r="F183" s="17" t="str">
        <f>IFERROR(VLOOKUP(B183,'MASTER DATA'!$A$1:$E$212,4,FALSE),"")</f>
        <v/>
      </c>
      <c r="G183" s="17"/>
      <c r="H183" s="17"/>
      <c r="I183" s="17"/>
      <c r="J183" s="17" t="b">
        <v>0</v>
      </c>
    </row>
    <row r="184">
      <c r="A184" s="17"/>
      <c r="B184" s="17"/>
      <c r="C184" s="17" t="str">
        <f>IFERROR(VLOOKUP(B184,'MASTER DATA'!$A$1:$E$212,2,FALSE),"")</f>
        <v/>
      </c>
      <c r="D184" s="17" t="str">
        <f>IFERROR(VLOOKUP(B184,'MASTER DATA'!$A$1:$E$212,5,FALSE),"")</f>
        <v/>
      </c>
      <c r="E184" s="17"/>
      <c r="F184" s="17" t="str">
        <f>IFERROR(VLOOKUP(B184,'MASTER DATA'!$A$1:$E$212,4,FALSE),"")</f>
        <v/>
      </c>
      <c r="G184" s="17"/>
      <c r="H184" s="17"/>
      <c r="I184" s="17"/>
      <c r="J184" s="17" t="b">
        <v>0</v>
      </c>
    </row>
    <row r="185">
      <c r="A185" s="17"/>
      <c r="B185" s="17"/>
      <c r="C185" s="17" t="str">
        <f>IFERROR(VLOOKUP(B185,'MASTER DATA'!$A$1:$E$212,2,FALSE),"")</f>
        <v/>
      </c>
      <c r="D185" s="17" t="str">
        <f>IFERROR(VLOOKUP(B185,'MASTER DATA'!$A$1:$E$212,5,FALSE),"")</f>
        <v/>
      </c>
      <c r="E185" s="17"/>
      <c r="F185" s="17" t="str">
        <f>IFERROR(VLOOKUP(B185,'MASTER DATA'!$A$1:$E$212,4,FALSE),"")</f>
        <v/>
      </c>
      <c r="G185" s="17"/>
      <c r="H185" s="17"/>
      <c r="I185" s="17"/>
      <c r="J185" s="17" t="b">
        <v>0</v>
      </c>
    </row>
    <row r="186">
      <c r="A186" s="17"/>
      <c r="B186" s="17"/>
      <c r="C186" s="17" t="str">
        <f>IFERROR(VLOOKUP(B186,'MASTER DATA'!$A$1:$E$212,2,FALSE),"")</f>
        <v/>
      </c>
      <c r="D186" s="17" t="str">
        <f>IFERROR(VLOOKUP(B186,'MASTER DATA'!$A$1:$E$212,5,FALSE),"")</f>
        <v/>
      </c>
      <c r="E186" s="17"/>
      <c r="F186" s="17" t="str">
        <f>IFERROR(VLOOKUP(B186,'MASTER DATA'!$A$1:$E$212,4,FALSE),"")</f>
        <v/>
      </c>
      <c r="G186" s="17"/>
      <c r="H186" s="17"/>
      <c r="I186" s="17"/>
      <c r="J186" s="17" t="b">
        <v>0</v>
      </c>
    </row>
    <row r="187">
      <c r="A187" s="17"/>
      <c r="B187" s="17"/>
      <c r="C187" s="17" t="str">
        <f>IFERROR(VLOOKUP(B187,'MASTER DATA'!$A$1:$E$212,2,FALSE),"")</f>
        <v/>
      </c>
      <c r="D187" s="17" t="str">
        <f>IFERROR(VLOOKUP(B187,'MASTER DATA'!$A$1:$E$212,5,FALSE),"")</f>
        <v/>
      </c>
      <c r="E187" s="17"/>
      <c r="F187" s="17" t="str">
        <f>IFERROR(VLOOKUP(B187,'MASTER DATA'!$A$1:$E$212,4,FALSE),"")</f>
        <v/>
      </c>
      <c r="G187" s="17"/>
      <c r="H187" s="17"/>
      <c r="I187" s="17"/>
      <c r="J187" s="17" t="b">
        <v>0</v>
      </c>
    </row>
    <row r="188">
      <c r="A188" s="17"/>
      <c r="B188" s="17"/>
      <c r="C188" s="17" t="str">
        <f>IFERROR(VLOOKUP(B188,'MASTER DATA'!$A$1:$E$212,2,FALSE),"")</f>
        <v/>
      </c>
      <c r="D188" s="17" t="str">
        <f>IFERROR(VLOOKUP(B188,'MASTER DATA'!$A$1:$E$212,5,FALSE),"")</f>
        <v/>
      </c>
      <c r="E188" s="17"/>
      <c r="F188" s="17" t="str">
        <f>IFERROR(VLOOKUP(B188,'MASTER DATA'!$A$1:$E$212,4,FALSE),"")</f>
        <v/>
      </c>
      <c r="G188" s="17"/>
      <c r="H188" s="17"/>
      <c r="I188" s="17"/>
      <c r="J188" s="17" t="b">
        <v>0</v>
      </c>
    </row>
    <row r="189">
      <c r="A189" s="17"/>
      <c r="B189" s="17"/>
      <c r="C189" s="17" t="str">
        <f>IFERROR(VLOOKUP(B189,'MASTER DATA'!$A$1:$E$212,2,FALSE),"")</f>
        <v/>
      </c>
      <c r="D189" s="17" t="str">
        <f>IFERROR(VLOOKUP(B189,'MASTER DATA'!$A$1:$E$212,5,FALSE),"")</f>
        <v/>
      </c>
      <c r="E189" s="17"/>
      <c r="F189" s="17" t="str">
        <f>IFERROR(VLOOKUP(B189,'MASTER DATA'!$A$1:$E$212,4,FALSE),"")</f>
        <v/>
      </c>
      <c r="G189" s="17"/>
      <c r="H189" s="17"/>
      <c r="I189" s="17"/>
      <c r="J189" s="17" t="b">
        <v>0</v>
      </c>
    </row>
    <row r="190">
      <c r="A190" s="17"/>
      <c r="B190" s="17"/>
      <c r="C190" s="17" t="str">
        <f>IFERROR(VLOOKUP(B190,'MASTER DATA'!$A$1:$E$212,2,FALSE),"")</f>
        <v/>
      </c>
      <c r="D190" s="17" t="str">
        <f>IFERROR(VLOOKUP(B190,'MASTER DATA'!$A$1:$E$212,5,FALSE),"")</f>
        <v/>
      </c>
      <c r="E190" s="17"/>
      <c r="F190" s="17" t="str">
        <f>IFERROR(VLOOKUP(B190,'MASTER DATA'!$A$1:$E$212,4,FALSE),"")</f>
        <v/>
      </c>
      <c r="G190" s="17"/>
      <c r="H190" s="17"/>
      <c r="I190" s="17"/>
      <c r="J190" s="17" t="b">
        <v>0</v>
      </c>
    </row>
    <row r="191">
      <c r="A191" s="17"/>
      <c r="B191" s="17"/>
      <c r="C191" s="17" t="str">
        <f>IFERROR(VLOOKUP(B191,'MASTER DATA'!$A$1:$E$212,2,FALSE),"")</f>
        <v/>
      </c>
      <c r="D191" s="17" t="str">
        <f>IFERROR(VLOOKUP(B191,'MASTER DATA'!$A$1:$E$212,5,FALSE),"")</f>
        <v/>
      </c>
      <c r="E191" s="17"/>
      <c r="F191" s="17" t="str">
        <f>IFERROR(VLOOKUP(B191,'MASTER DATA'!$A$1:$E$212,4,FALSE),"")</f>
        <v/>
      </c>
      <c r="G191" s="17"/>
      <c r="H191" s="17"/>
      <c r="I191" s="17"/>
      <c r="J191" s="17" t="b">
        <v>0</v>
      </c>
    </row>
    <row r="192">
      <c r="A192" s="17"/>
      <c r="B192" s="17"/>
      <c r="C192" s="17" t="str">
        <f>IFERROR(VLOOKUP(B192,'MASTER DATA'!$A$1:$E$212,2,FALSE),"")</f>
        <v/>
      </c>
      <c r="D192" s="17" t="str">
        <f>IFERROR(VLOOKUP(B192,'MASTER DATA'!$A$1:$E$212,5,FALSE),"")</f>
        <v/>
      </c>
      <c r="E192" s="17"/>
      <c r="F192" s="17" t="str">
        <f>IFERROR(VLOOKUP(B192,'MASTER DATA'!$A$1:$E$212,4,FALSE),"")</f>
        <v/>
      </c>
      <c r="G192" s="17"/>
      <c r="H192" s="17"/>
      <c r="I192" s="17"/>
      <c r="J192" s="17" t="b">
        <v>0</v>
      </c>
    </row>
    <row r="193">
      <c r="A193" s="17"/>
      <c r="B193" s="17"/>
      <c r="C193" s="17" t="str">
        <f>IFERROR(VLOOKUP(B193,'MASTER DATA'!$A$1:$E$212,2,FALSE),"")</f>
        <v/>
      </c>
      <c r="D193" s="17" t="str">
        <f>IFERROR(VLOOKUP(B193,'MASTER DATA'!$A$1:$E$212,5,FALSE),"")</f>
        <v/>
      </c>
      <c r="E193" s="17"/>
      <c r="F193" s="17" t="str">
        <f>IFERROR(VLOOKUP(B193,'MASTER DATA'!$A$1:$E$212,4,FALSE),"")</f>
        <v/>
      </c>
      <c r="G193" s="17"/>
      <c r="H193" s="17"/>
      <c r="I193" s="17"/>
      <c r="J193" s="17" t="b">
        <v>0</v>
      </c>
    </row>
    <row r="194">
      <c r="A194" s="17"/>
      <c r="B194" s="17"/>
      <c r="C194" s="17" t="str">
        <f>IFERROR(VLOOKUP(B194,'MASTER DATA'!$A$1:$E$212,2,FALSE),"")</f>
        <v/>
      </c>
      <c r="D194" s="17" t="str">
        <f>IFERROR(VLOOKUP(B194,'MASTER DATA'!$A$1:$E$212,5,FALSE),"")</f>
        <v/>
      </c>
      <c r="E194" s="17"/>
      <c r="F194" s="17" t="str">
        <f>IFERROR(VLOOKUP(B194,'MASTER DATA'!$A$1:$E$212,4,FALSE),"")</f>
        <v/>
      </c>
      <c r="G194" s="17"/>
      <c r="H194" s="17"/>
      <c r="I194" s="17"/>
      <c r="J194" s="17" t="b">
        <v>0</v>
      </c>
    </row>
    <row r="195">
      <c r="A195" s="17"/>
      <c r="B195" s="17"/>
      <c r="C195" s="17" t="str">
        <f>IFERROR(VLOOKUP(B195,'MASTER DATA'!$A$1:$E$212,2,FALSE),"")</f>
        <v/>
      </c>
      <c r="D195" s="17" t="str">
        <f>IFERROR(VLOOKUP(B195,'MASTER DATA'!$A$1:$E$212,5,FALSE),"")</f>
        <v/>
      </c>
      <c r="E195" s="17"/>
      <c r="F195" s="17" t="str">
        <f>IFERROR(VLOOKUP(B195,'MASTER DATA'!$A$1:$E$212,4,FALSE),"")</f>
        <v/>
      </c>
      <c r="G195" s="17"/>
      <c r="H195" s="17"/>
      <c r="I195" s="17"/>
      <c r="J195" s="17" t="b">
        <v>0</v>
      </c>
    </row>
    <row r="196">
      <c r="A196" s="17"/>
      <c r="B196" s="17"/>
      <c r="C196" s="17" t="str">
        <f>IFERROR(VLOOKUP(B196,'MASTER DATA'!$A$1:$E$212,2,FALSE),"")</f>
        <v/>
      </c>
      <c r="D196" s="17" t="str">
        <f>IFERROR(VLOOKUP(B196,'MASTER DATA'!$A$1:$E$212,5,FALSE),"")</f>
        <v/>
      </c>
      <c r="E196" s="17"/>
      <c r="F196" s="17" t="str">
        <f>IFERROR(VLOOKUP(B196,'MASTER DATA'!$A$1:$E$212,4,FALSE),"")</f>
        <v/>
      </c>
      <c r="G196" s="17"/>
      <c r="H196" s="17"/>
      <c r="I196" s="17"/>
      <c r="J196" s="17" t="b">
        <v>0</v>
      </c>
    </row>
    <row r="197">
      <c r="A197" s="17"/>
      <c r="B197" s="17"/>
      <c r="C197" s="17" t="str">
        <f>IFERROR(VLOOKUP(B197,'MASTER DATA'!$A$1:$E$212,2,FALSE),"")</f>
        <v/>
      </c>
      <c r="D197" s="17" t="str">
        <f>IFERROR(VLOOKUP(B197,'MASTER DATA'!$A$1:$E$212,5,FALSE),"")</f>
        <v/>
      </c>
      <c r="E197" s="17"/>
      <c r="F197" s="17" t="str">
        <f>IFERROR(VLOOKUP(B197,'MASTER DATA'!$A$1:$E$212,4,FALSE),"")</f>
        <v/>
      </c>
      <c r="G197" s="17"/>
      <c r="H197" s="17"/>
      <c r="I197" s="17"/>
      <c r="J197" s="17" t="b">
        <v>0</v>
      </c>
    </row>
    <row r="198">
      <c r="A198" s="17"/>
      <c r="B198" s="17"/>
      <c r="C198" s="17" t="str">
        <f>IFERROR(VLOOKUP(B198,'MASTER DATA'!$A$1:$E$212,2,FALSE),"")</f>
        <v/>
      </c>
      <c r="D198" s="17" t="str">
        <f>IFERROR(VLOOKUP(B198,'MASTER DATA'!$A$1:$E$212,5,FALSE),"")</f>
        <v/>
      </c>
      <c r="E198" s="17"/>
      <c r="F198" s="17" t="str">
        <f>IFERROR(VLOOKUP(B198,'MASTER DATA'!$A$1:$E$212,4,FALSE),"")</f>
        <v/>
      </c>
      <c r="G198" s="17"/>
      <c r="H198" s="17"/>
      <c r="I198" s="17"/>
      <c r="J198" s="17" t="b">
        <v>0</v>
      </c>
    </row>
    <row r="199">
      <c r="A199" s="17"/>
      <c r="B199" s="17"/>
      <c r="C199" s="17" t="str">
        <f>IFERROR(VLOOKUP(B199,'MASTER DATA'!$A$1:$E$212,2,FALSE),"")</f>
        <v/>
      </c>
      <c r="D199" s="17" t="str">
        <f>IFERROR(VLOOKUP(B199,'MASTER DATA'!$A$1:$E$212,5,FALSE),"")</f>
        <v/>
      </c>
      <c r="E199" s="17"/>
      <c r="F199" s="17" t="str">
        <f>IFERROR(VLOOKUP(B199,'MASTER DATA'!$A$1:$E$212,4,FALSE),"")</f>
        <v/>
      </c>
      <c r="G199" s="17"/>
      <c r="H199" s="17"/>
      <c r="I199" s="17"/>
      <c r="J199" s="17" t="b">
        <v>0</v>
      </c>
    </row>
    <row r="200">
      <c r="A200" s="17"/>
      <c r="B200" s="17"/>
      <c r="C200" s="17" t="str">
        <f>IFERROR(VLOOKUP(B200,'MASTER DATA'!$A$1:$E$212,2,FALSE),"")</f>
        <v/>
      </c>
      <c r="D200" s="17" t="str">
        <f>IFERROR(VLOOKUP(B200,'MASTER DATA'!$A$1:$E$212,5,FALSE),"")</f>
        <v/>
      </c>
      <c r="E200" s="17"/>
      <c r="F200" s="17" t="str">
        <f>IFERROR(VLOOKUP(B200,'MASTER DATA'!$A$1:$E$212,4,FALSE),"")</f>
        <v/>
      </c>
      <c r="G200" s="17"/>
      <c r="H200" s="17"/>
      <c r="I200" s="17"/>
      <c r="J200" s="17" t="b">
        <v>0</v>
      </c>
    </row>
    <row r="201">
      <c r="A201" s="17"/>
      <c r="B201" s="17"/>
      <c r="C201" s="17" t="str">
        <f>IFERROR(VLOOKUP(B201,'MASTER DATA'!$A$1:$E$212,2,FALSE),"")</f>
        <v/>
      </c>
      <c r="D201" s="17" t="str">
        <f>IFERROR(VLOOKUP(B201,'MASTER DATA'!$A$1:$E$212,5,FALSE),"")</f>
        <v/>
      </c>
      <c r="E201" s="17"/>
      <c r="F201" s="17" t="str">
        <f>IFERROR(VLOOKUP(B201,'MASTER DATA'!$A$1:$E$212,4,FALSE),"")</f>
        <v/>
      </c>
      <c r="G201" s="17"/>
      <c r="H201" s="17"/>
      <c r="I201" s="17"/>
      <c r="J201" s="17" t="b">
        <v>0</v>
      </c>
    </row>
    <row r="202">
      <c r="A202" s="17"/>
      <c r="B202" s="17"/>
      <c r="C202" s="17" t="str">
        <f>IFERROR(VLOOKUP(B202,'MASTER DATA'!$A$1:$E$212,2,FALSE),"")</f>
        <v/>
      </c>
      <c r="D202" s="17" t="str">
        <f>IFERROR(VLOOKUP(B202,'MASTER DATA'!$A$1:$E$212,5,FALSE),"")</f>
        <v/>
      </c>
      <c r="E202" s="17"/>
      <c r="F202" s="17" t="str">
        <f>IFERROR(VLOOKUP(B202,'MASTER DATA'!$A$1:$E$212,4,FALSE),"")</f>
        <v/>
      </c>
      <c r="G202" s="17"/>
      <c r="H202" s="17"/>
      <c r="I202" s="17"/>
      <c r="J202" s="17" t="b">
        <v>0</v>
      </c>
    </row>
    <row r="203">
      <c r="A203" s="17"/>
      <c r="B203" s="17"/>
      <c r="C203" s="17" t="str">
        <f>IFERROR(VLOOKUP(B203,'MASTER DATA'!$A$1:$E$212,2,FALSE),"")</f>
        <v/>
      </c>
      <c r="D203" s="17" t="str">
        <f>IFERROR(VLOOKUP(B203,'MASTER DATA'!$A$1:$E$212,5,FALSE),"")</f>
        <v/>
      </c>
      <c r="E203" s="17"/>
      <c r="F203" s="17" t="str">
        <f>IFERROR(VLOOKUP(B203,'MASTER DATA'!$A$1:$E$212,4,FALSE),"")</f>
        <v/>
      </c>
      <c r="G203" s="17"/>
      <c r="H203" s="17"/>
      <c r="I203" s="17"/>
      <c r="J203" s="17" t="b">
        <v>0</v>
      </c>
    </row>
    <row r="204">
      <c r="A204" s="17"/>
      <c r="B204" s="17"/>
      <c r="C204" s="17" t="str">
        <f>IFERROR(VLOOKUP(B204,'MASTER DATA'!$A$1:$E$212,2,FALSE),"")</f>
        <v/>
      </c>
      <c r="D204" s="17" t="str">
        <f>IFERROR(VLOOKUP(B204,'MASTER DATA'!$A$1:$E$212,5,FALSE),"")</f>
        <v/>
      </c>
      <c r="E204" s="17"/>
      <c r="F204" s="17" t="str">
        <f>IFERROR(VLOOKUP(B204,'MASTER DATA'!$A$1:$E$212,4,FALSE),"")</f>
        <v/>
      </c>
      <c r="G204" s="17"/>
      <c r="H204" s="17"/>
      <c r="I204" s="17"/>
      <c r="J204" s="17" t="b">
        <v>0</v>
      </c>
    </row>
    <row r="205">
      <c r="A205" s="17"/>
      <c r="B205" s="17"/>
      <c r="C205" s="17" t="str">
        <f>IFERROR(VLOOKUP(B205,'MASTER DATA'!$A$1:$E$212,2,FALSE),"")</f>
        <v/>
      </c>
      <c r="D205" s="17" t="str">
        <f>IFERROR(VLOOKUP(B205,'MASTER DATA'!$A$1:$E$212,5,FALSE),"")</f>
        <v/>
      </c>
      <c r="E205" s="17"/>
      <c r="F205" s="17" t="str">
        <f>IFERROR(VLOOKUP(B205,'MASTER DATA'!$A$1:$E$212,4,FALSE),"")</f>
        <v/>
      </c>
      <c r="G205" s="17"/>
      <c r="H205" s="17"/>
      <c r="I205" s="17"/>
      <c r="J205" s="17" t="b">
        <v>0</v>
      </c>
    </row>
    <row r="206">
      <c r="A206" s="17"/>
      <c r="B206" s="17"/>
      <c r="C206" s="17" t="str">
        <f>IFERROR(VLOOKUP(B206,'MASTER DATA'!$A$1:$E$212,2,FALSE),"")</f>
        <v/>
      </c>
      <c r="D206" s="17" t="str">
        <f>IFERROR(VLOOKUP(B206,'MASTER DATA'!$A$1:$E$212,5,FALSE),"")</f>
        <v/>
      </c>
      <c r="E206" s="17"/>
      <c r="F206" s="17" t="str">
        <f>IFERROR(VLOOKUP(B206,'MASTER DATA'!$A$1:$E$212,4,FALSE),"")</f>
        <v/>
      </c>
      <c r="G206" s="17"/>
      <c r="H206" s="17"/>
      <c r="I206" s="17"/>
      <c r="J206" s="17" t="b">
        <v>0</v>
      </c>
    </row>
    <row r="207">
      <c r="A207" s="17"/>
      <c r="B207" s="17"/>
      <c r="C207" s="17" t="str">
        <f>IFERROR(VLOOKUP(B207,'MASTER DATA'!$A$1:$E$212,2,FALSE),"")</f>
        <v/>
      </c>
      <c r="D207" s="17" t="str">
        <f>IFERROR(VLOOKUP(B207,'MASTER DATA'!$A$1:$E$212,5,FALSE),"")</f>
        <v/>
      </c>
      <c r="E207" s="17"/>
      <c r="F207" s="17" t="str">
        <f>IFERROR(VLOOKUP(B207,'MASTER DATA'!$A$1:$E$212,4,FALSE),"")</f>
        <v/>
      </c>
      <c r="G207" s="17"/>
      <c r="H207" s="17"/>
      <c r="I207" s="17"/>
      <c r="J207" s="17" t="b">
        <v>0</v>
      </c>
    </row>
    <row r="208">
      <c r="A208" s="17"/>
      <c r="B208" s="17"/>
      <c r="C208" s="17" t="str">
        <f>IFERROR(VLOOKUP(B208,'MASTER DATA'!$A$1:$E$212,2,FALSE),"")</f>
        <v/>
      </c>
      <c r="D208" s="17" t="str">
        <f>IFERROR(VLOOKUP(B208,'MASTER DATA'!$A$1:$E$212,5,FALSE),"")</f>
        <v/>
      </c>
      <c r="E208" s="17"/>
      <c r="F208" s="17" t="str">
        <f>IFERROR(VLOOKUP(B208,'MASTER DATA'!$A$1:$E$212,4,FALSE),"")</f>
        <v/>
      </c>
      <c r="G208" s="17"/>
      <c r="H208" s="17"/>
      <c r="I208" s="17"/>
      <c r="J208" s="17" t="b">
        <v>0</v>
      </c>
    </row>
    <row r="209">
      <c r="A209" s="17"/>
      <c r="B209" s="17"/>
      <c r="C209" s="17" t="str">
        <f>IFERROR(VLOOKUP(B209,'MASTER DATA'!$A$1:$E$212,2,FALSE),"")</f>
        <v/>
      </c>
      <c r="D209" s="17" t="str">
        <f>IFERROR(VLOOKUP(B209,'MASTER DATA'!$A$1:$E$212,5,FALSE),"")</f>
        <v/>
      </c>
      <c r="E209" s="17"/>
      <c r="F209" s="17" t="str">
        <f>IFERROR(VLOOKUP(B209,'MASTER DATA'!$A$1:$E$212,4,FALSE),"")</f>
        <v/>
      </c>
      <c r="G209" s="17"/>
      <c r="H209" s="17"/>
      <c r="I209" s="17"/>
      <c r="J209" s="17" t="b">
        <v>0</v>
      </c>
    </row>
    <row r="210">
      <c r="A210" s="17"/>
      <c r="B210" s="17"/>
      <c r="C210" s="17" t="str">
        <f>IFERROR(VLOOKUP(B210,'MASTER DATA'!$A$1:$E$212,2,FALSE),"")</f>
        <v/>
      </c>
      <c r="D210" s="17" t="str">
        <f>IFERROR(VLOOKUP(B210,'MASTER DATA'!$A$1:$E$212,5,FALSE),"")</f>
        <v/>
      </c>
      <c r="E210" s="17"/>
      <c r="F210" s="17" t="str">
        <f>IFERROR(VLOOKUP(B210,'MASTER DATA'!$A$1:$E$212,4,FALSE),"")</f>
        <v/>
      </c>
      <c r="G210" s="17"/>
      <c r="H210" s="17"/>
      <c r="I210" s="17"/>
      <c r="J210" s="17" t="b">
        <v>0</v>
      </c>
    </row>
    <row r="211">
      <c r="A211" s="17"/>
      <c r="B211" s="17"/>
      <c r="C211" s="17" t="str">
        <f>IFERROR(VLOOKUP(B211,'MASTER DATA'!$A$1:$E$212,2,FALSE),"")</f>
        <v/>
      </c>
      <c r="D211" s="17" t="str">
        <f>IFERROR(VLOOKUP(B211,'MASTER DATA'!$A$1:$E$212,5,FALSE),"")</f>
        <v/>
      </c>
      <c r="E211" s="17"/>
      <c r="F211" s="17" t="str">
        <f>IFERROR(VLOOKUP(B211,'MASTER DATA'!$A$1:$E$212,4,FALSE),"")</f>
        <v/>
      </c>
      <c r="G211" s="17"/>
      <c r="H211" s="17"/>
      <c r="I211" s="17"/>
      <c r="J211" s="17" t="b">
        <v>0</v>
      </c>
    </row>
    <row r="212">
      <c r="A212" s="17"/>
      <c r="B212" s="17"/>
      <c r="C212" s="17" t="str">
        <f>IFERROR(VLOOKUP(B212,'MASTER DATA'!$A$1:$E$212,2,FALSE),"")</f>
        <v/>
      </c>
      <c r="D212" s="17" t="str">
        <f>IFERROR(VLOOKUP(B212,'MASTER DATA'!$A$1:$E$212,5,FALSE),"")</f>
        <v/>
      </c>
      <c r="E212" s="17"/>
      <c r="F212" s="17" t="str">
        <f>IFERROR(VLOOKUP(B212,'MASTER DATA'!$A$1:$E$212,4,FALSE),"")</f>
        <v/>
      </c>
      <c r="G212" s="17"/>
      <c r="H212" s="17"/>
      <c r="I212" s="17"/>
      <c r="J212" s="17" t="b">
        <v>0</v>
      </c>
    </row>
    <row r="213">
      <c r="A213" s="17"/>
      <c r="B213" s="17"/>
      <c r="C213" s="17" t="str">
        <f>IFERROR(VLOOKUP(B213,'MASTER DATA'!$A$1:$E$212,2,FALSE),"")</f>
        <v/>
      </c>
      <c r="D213" s="17" t="str">
        <f>IFERROR(VLOOKUP(B213,'MASTER DATA'!$A$1:$E$212,5,FALSE),"")</f>
        <v/>
      </c>
      <c r="E213" s="17"/>
      <c r="F213" s="17" t="str">
        <f>IFERROR(VLOOKUP(B213,'MASTER DATA'!$A$1:$E$212,4,FALSE),"")</f>
        <v/>
      </c>
      <c r="G213" s="17"/>
      <c r="H213" s="17"/>
      <c r="I213" s="17"/>
      <c r="J213" s="17" t="b">
        <v>0</v>
      </c>
    </row>
    <row r="214">
      <c r="A214" s="17"/>
      <c r="B214" s="17"/>
      <c r="C214" s="17" t="str">
        <f>IFERROR(VLOOKUP(B214,'MASTER DATA'!$A$1:$E$212,2,FALSE),"")</f>
        <v/>
      </c>
      <c r="D214" s="17" t="str">
        <f>IFERROR(VLOOKUP(B214,'MASTER DATA'!$A$1:$E$212,5,FALSE),"")</f>
        <v/>
      </c>
      <c r="E214" s="17"/>
      <c r="F214" s="17" t="str">
        <f>IFERROR(VLOOKUP(B214,'MASTER DATA'!$A$1:$E$212,4,FALSE),"")</f>
        <v/>
      </c>
      <c r="G214" s="17"/>
      <c r="H214" s="17"/>
      <c r="I214" s="17"/>
      <c r="J214" s="17" t="b">
        <v>0</v>
      </c>
    </row>
    <row r="215">
      <c r="A215" s="17"/>
      <c r="B215" s="17"/>
      <c r="C215" s="17" t="str">
        <f>IFERROR(VLOOKUP(B215,'MASTER DATA'!$A$1:$E$212,2,FALSE),"")</f>
        <v/>
      </c>
      <c r="D215" s="17" t="str">
        <f>IFERROR(VLOOKUP(B215,'MASTER DATA'!$A$1:$E$212,5,FALSE),"")</f>
        <v/>
      </c>
      <c r="E215" s="17"/>
      <c r="F215" s="17" t="str">
        <f>IFERROR(VLOOKUP(B215,'MASTER DATA'!$A$1:$E$212,4,FALSE),"")</f>
        <v/>
      </c>
      <c r="G215" s="17"/>
      <c r="H215" s="17"/>
      <c r="I215" s="17"/>
      <c r="J215" s="17" t="b">
        <v>0</v>
      </c>
    </row>
    <row r="216">
      <c r="A216" s="17"/>
      <c r="B216" s="17"/>
      <c r="C216" s="17" t="str">
        <f>IFERROR(VLOOKUP(B216,'MASTER DATA'!$A$1:$E$212,2,FALSE),"")</f>
        <v/>
      </c>
      <c r="D216" s="17" t="str">
        <f>IFERROR(VLOOKUP(B216,'MASTER DATA'!$A$1:$E$212,5,FALSE),"")</f>
        <v/>
      </c>
      <c r="E216" s="17"/>
      <c r="F216" s="17" t="str">
        <f>IFERROR(VLOOKUP(B216,'MASTER DATA'!$A$1:$E$212,4,FALSE),"")</f>
        <v/>
      </c>
      <c r="G216" s="17"/>
      <c r="H216" s="17"/>
      <c r="I216" s="17"/>
      <c r="J216" s="17" t="b">
        <v>0</v>
      </c>
    </row>
    <row r="217">
      <c r="A217" s="17"/>
      <c r="B217" s="17"/>
      <c r="C217" s="17" t="str">
        <f>IFERROR(VLOOKUP(B217,'MASTER DATA'!$A$1:$E$212,2,FALSE),"")</f>
        <v/>
      </c>
      <c r="D217" s="17" t="str">
        <f>IFERROR(VLOOKUP(B217,'MASTER DATA'!$A$1:$E$212,5,FALSE),"")</f>
        <v/>
      </c>
      <c r="E217" s="17"/>
      <c r="F217" s="17" t="str">
        <f>IFERROR(VLOOKUP(B217,'MASTER DATA'!$A$1:$E$212,4,FALSE),"")</f>
        <v/>
      </c>
      <c r="G217" s="17"/>
      <c r="H217" s="17"/>
      <c r="I217" s="17"/>
      <c r="J217" s="17" t="b">
        <v>0</v>
      </c>
    </row>
    <row r="218">
      <c r="A218" s="17"/>
      <c r="B218" s="17"/>
      <c r="C218" s="17" t="str">
        <f>IFERROR(VLOOKUP(B218,'MASTER DATA'!$A$1:$E$212,2,FALSE),"")</f>
        <v/>
      </c>
      <c r="D218" s="17" t="str">
        <f>IFERROR(VLOOKUP(B218,'MASTER DATA'!$A$1:$E$212,5,FALSE),"")</f>
        <v/>
      </c>
      <c r="E218" s="17"/>
      <c r="F218" s="17" t="str">
        <f>IFERROR(VLOOKUP(B218,'MASTER DATA'!$A$1:$E$212,4,FALSE),"")</f>
        <v/>
      </c>
      <c r="G218" s="17"/>
      <c r="H218" s="17"/>
      <c r="I218" s="17"/>
      <c r="J218" s="17" t="b">
        <v>0</v>
      </c>
    </row>
    <row r="219">
      <c r="A219" s="17"/>
      <c r="B219" s="17"/>
      <c r="C219" s="17" t="str">
        <f>IFERROR(VLOOKUP(B219,'MASTER DATA'!$A$1:$E$212,2,FALSE),"")</f>
        <v/>
      </c>
      <c r="D219" s="17" t="str">
        <f>IFERROR(VLOOKUP(B219,'MASTER DATA'!$A$1:$E$212,5,FALSE),"")</f>
        <v/>
      </c>
      <c r="E219" s="17"/>
      <c r="F219" s="17" t="str">
        <f>IFERROR(VLOOKUP(B219,'MASTER DATA'!$A$1:$E$212,4,FALSE),"")</f>
        <v/>
      </c>
      <c r="G219" s="17"/>
      <c r="H219" s="17"/>
      <c r="I219" s="17"/>
      <c r="J219" s="17" t="b">
        <v>0</v>
      </c>
    </row>
    <row r="220">
      <c r="A220" s="17"/>
      <c r="B220" s="17"/>
      <c r="C220" s="17" t="str">
        <f>IFERROR(VLOOKUP(B220,'MASTER DATA'!$A$1:$E$212,2,FALSE),"")</f>
        <v/>
      </c>
      <c r="D220" s="17" t="str">
        <f>IFERROR(VLOOKUP(B220,'MASTER DATA'!$A$1:$E$212,5,FALSE),"")</f>
        <v/>
      </c>
      <c r="E220" s="17"/>
      <c r="F220" s="17" t="str">
        <f>IFERROR(VLOOKUP(B220,'MASTER DATA'!$A$1:$E$212,4,FALSE),"")</f>
        <v/>
      </c>
      <c r="G220" s="17"/>
      <c r="H220" s="17"/>
      <c r="I220" s="17"/>
      <c r="J220" s="17" t="b">
        <v>0</v>
      </c>
    </row>
    <row r="221">
      <c r="A221" s="17"/>
      <c r="B221" s="17"/>
      <c r="C221" s="17" t="str">
        <f>IFERROR(VLOOKUP(B221,'MASTER DATA'!$A$1:$E$212,2,FALSE),"")</f>
        <v/>
      </c>
      <c r="D221" s="17" t="str">
        <f>IFERROR(VLOOKUP(B221,'MASTER DATA'!$A$1:$E$212,5,FALSE),"")</f>
        <v/>
      </c>
      <c r="E221" s="17"/>
      <c r="F221" s="17" t="str">
        <f>IFERROR(VLOOKUP(B221,'MASTER DATA'!$A$1:$E$212,4,FALSE),"")</f>
        <v/>
      </c>
      <c r="G221" s="17"/>
      <c r="H221" s="17"/>
      <c r="I221" s="17"/>
      <c r="J221" s="17" t="b">
        <v>0</v>
      </c>
    </row>
    <row r="222">
      <c r="A222" s="17"/>
      <c r="B222" s="17"/>
      <c r="C222" s="17" t="str">
        <f>IFERROR(VLOOKUP(B222,'MASTER DATA'!$A$1:$E$212,2,FALSE),"")</f>
        <v/>
      </c>
      <c r="D222" s="17" t="str">
        <f>IFERROR(VLOOKUP(B222,'MASTER DATA'!$A$1:$E$212,5,FALSE),"")</f>
        <v/>
      </c>
      <c r="E222" s="17"/>
      <c r="F222" s="17" t="str">
        <f>IFERROR(VLOOKUP(B222,'MASTER DATA'!$A$1:$E$212,4,FALSE),"")</f>
        <v/>
      </c>
      <c r="G222" s="17"/>
      <c r="H222" s="17"/>
      <c r="I222" s="17"/>
      <c r="J222" s="17" t="b">
        <v>0</v>
      </c>
    </row>
    <row r="223">
      <c r="A223" s="17"/>
      <c r="B223" s="17"/>
      <c r="C223" s="17" t="str">
        <f>IFERROR(VLOOKUP(B223,'MASTER DATA'!$A$1:$E$212,2,FALSE),"")</f>
        <v/>
      </c>
      <c r="D223" s="17" t="str">
        <f>IFERROR(VLOOKUP(B223,'MASTER DATA'!$A$1:$E$212,5,FALSE),"")</f>
        <v/>
      </c>
      <c r="E223" s="17"/>
      <c r="F223" s="17" t="str">
        <f>IFERROR(VLOOKUP(B223,'MASTER DATA'!$A$1:$E$212,4,FALSE),"")</f>
        <v/>
      </c>
      <c r="G223" s="17"/>
      <c r="H223" s="17"/>
      <c r="I223" s="17"/>
      <c r="J223" s="17" t="b">
        <v>0</v>
      </c>
    </row>
    <row r="224">
      <c r="A224" s="17"/>
      <c r="B224" s="17"/>
      <c r="C224" s="17" t="str">
        <f>IFERROR(VLOOKUP(B224,'MASTER DATA'!$A$1:$E$212,2,FALSE),"")</f>
        <v/>
      </c>
      <c r="D224" s="17" t="str">
        <f>IFERROR(VLOOKUP(B224,'MASTER DATA'!$A$1:$E$212,5,FALSE),"")</f>
        <v/>
      </c>
      <c r="E224" s="17"/>
      <c r="F224" s="17" t="str">
        <f>IFERROR(VLOOKUP(B224,'MASTER DATA'!$A$1:$E$212,4,FALSE),"")</f>
        <v/>
      </c>
      <c r="G224" s="17"/>
      <c r="H224" s="17"/>
      <c r="I224" s="17"/>
      <c r="J224" s="17" t="b">
        <v>0</v>
      </c>
    </row>
    <row r="225">
      <c r="A225" s="17"/>
      <c r="B225" s="17"/>
      <c r="C225" s="17" t="str">
        <f>IFERROR(VLOOKUP(B225,'MASTER DATA'!$A$1:$E$212,2,FALSE),"")</f>
        <v/>
      </c>
      <c r="D225" s="17" t="str">
        <f>IFERROR(VLOOKUP(B225,'MASTER DATA'!$A$1:$E$212,5,FALSE),"")</f>
        <v/>
      </c>
      <c r="E225" s="17"/>
      <c r="F225" s="17" t="str">
        <f>IFERROR(VLOOKUP(B225,'MASTER DATA'!$A$1:$E$212,4,FALSE),"")</f>
        <v/>
      </c>
      <c r="G225" s="17"/>
      <c r="H225" s="17"/>
      <c r="I225" s="17"/>
      <c r="J225" s="17" t="b">
        <v>0</v>
      </c>
    </row>
    <row r="226">
      <c r="A226" s="17"/>
      <c r="B226" s="17"/>
      <c r="C226" s="17" t="str">
        <f>IFERROR(VLOOKUP(B226,'MASTER DATA'!$A$1:$E$212,2,FALSE),"")</f>
        <v/>
      </c>
      <c r="D226" s="17" t="str">
        <f>IFERROR(VLOOKUP(B226,'MASTER DATA'!$A$1:$E$212,5,FALSE),"")</f>
        <v/>
      </c>
      <c r="E226" s="17"/>
      <c r="F226" s="17" t="str">
        <f>IFERROR(VLOOKUP(B226,'MASTER DATA'!$A$1:$E$212,4,FALSE),"")</f>
        <v/>
      </c>
      <c r="G226" s="17"/>
      <c r="H226" s="17"/>
      <c r="I226" s="17"/>
      <c r="J226" s="17" t="b">
        <v>0</v>
      </c>
    </row>
    <row r="227">
      <c r="A227" s="17"/>
      <c r="B227" s="17"/>
      <c r="C227" s="17" t="str">
        <f>IFERROR(VLOOKUP(B227,'MASTER DATA'!$A$1:$E$212,2,FALSE),"")</f>
        <v/>
      </c>
      <c r="D227" s="17" t="str">
        <f>IFERROR(VLOOKUP(B227,'MASTER DATA'!$A$1:$E$212,5,FALSE),"")</f>
        <v/>
      </c>
      <c r="E227" s="17"/>
      <c r="F227" s="17" t="str">
        <f>IFERROR(VLOOKUP(B227,'MASTER DATA'!$A$1:$E$212,4,FALSE),"")</f>
        <v/>
      </c>
      <c r="G227" s="17"/>
      <c r="H227" s="17"/>
      <c r="I227" s="17"/>
      <c r="J227" s="17" t="b">
        <v>0</v>
      </c>
    </row>
    <row r="228">
      <c r="A228" s="17"/>
      <c r="B228" s="17"/>
      <c r="C228" s="17" t="str">
        <f>IFERROR(VLOOKUP(B228,'MASTER DATA'!$A$1:$E$212,2,FALSE),"")</f>
        <v/>
      </c>
      <c r="D228" s="17" t="str">
        <f>IFERROR(VLOOKUP(B228,'MASTER DATA'!$A$1:$E$212,5,FALSE),"")</f>
        <v/>
      </c>
      <c r="E228" s="17"/>
      <c r="F228" s="17" t="str">
        <f>IFERROR(VLOOKUP(B228,'MASTER DATA'!$A$1:$E$212,4,FALSE),"")</f>
        <v/>
      </c>
      <c r="G228" s="17"/>
      <c r="H228" s="17"/>
      <c r="I228" s="17"/>
      <c r="J228" s="17" t="b">
        <v>0</v>
      </c>
    </row>
    <row r="229">
      <c r="A229" s="17"/>
      <c r="B229" s="17"/>
      <c r="C229" s="17" t="str">
        <f>IFERROR(VLOOKUP(B229,'MASTER DATA'!$A$1:$E$212,2,FALSE),"")</f>
        <v/>
      </c>
      <c r="D229" s="17" t="str">
        <f>IFERROR(VLOOKUP(B229,'MASTER DATA'!$A$1:$E$212,5,FALSE),"")</f>
        <v/>
      </c>
      <c r="E229" s="17"/>
      <c r="F229" s="17" t="str">
        <f>IFERROR(VLOOKUP(B229,'MASTER DATA'!$A$1:$E$212,4,FALSE),"")</f>
        <v/>
      </c>
      <c r="G229" s="17"/>
      <c r="H229" s="17"/>
      <c r="I229" s="17"/>
      <c r="J229" s="17" t="b">
        <v>0</v>
      </c>
    </row>
    <row r="230">
      <c r="A230" s="17"/>
      <c r="B230" s="17"/>
      <c r="C230" s="17" t="str">
        <f>IFERROR(VLOOKUP(B230,'MASTER DATA'!$A$1:$E$212,2,FALSE),"")</f>
        <v/>
      </c>
      <c r="D230" s="17" t="str">
        <f>IFERROR(VLOOKUP(B230,'MASTER DATA'!$A$1:$E$212,5,FALSE),"")</f>
        <v/>
      </c>
      <c r="E230" s="17"/>
      <c r="F230" s="17" t="str">
        <f>IFERROR(VLOOKUP(B230,'MASTER DATA'!$A$1:$E$212,4,FALSE),"")</f>
        <v/>
      </c>
      <c r="G230" s="17"/>
      <c r="H230" s="17"/>
      <c r="I230" s="17"/>
      <c r="J230" s="17" t="b">
        <v>0</v>
      </c>
    </row>
    <row r="231">
      <c r="A231" s="17"/>
      <c r="B231" s="17"/>
      <c r="C231" s="17" t="str">
        <f>IFERROR(VLOOKUP(B231,'MASTER DATA'!$A$1:$E$212,2,FALSE),"")</f>
        <v/>
      </c>
      <c r="D231" s="17" t="str">
        <f>IFERROR(VLOOKUP(B231,'MASTER DATA'!$A$1:$E$212,5,FALSE),"")</f>
        <v/>
      </c>
      <c r="E231" s="17"/>
      <c r="F231" s="17" t="str">
        <f>IFERROR(VLOOKUP(B231,'MASTER DATA'!$A$1:$E$212,4,FALSE),"")</f>
        <v/>
      </c>
      <c r="G231" s="17"/>
      <c r="H231" s="17"/>
      <c r="I231" s="17"/>
      <c r="J231" s="17" t="b">
        <v>0</v>
      </c>
    </row>
    <row r="232">
      <c r="A232" s="17"/>
      <c r="B232" s="17"/>
      <c r="C232" s="17" t="str">
        <f>IFERROR(VLOOKUP(B232,'MASTER DATA'!$A$1:$E$212,2,FALSE),"")</f>
        <v/>
      </c>
      <c r="D232" s="17" t="str">
        <f>IFERROR(VLOOKUP(B232,'MASTER DATA'!$A$1:$E$212,5,FALSE),"")</f>
        <v/>
      </c>
      <c r="E232" s="17"/>
      <c r="F232" s="17" t="str">
        <f>IFERROR(VLOOKUP(B232,'MASTER DATA'!$A$1:$E$212,4,FALSE),"")</f>
        <v/>
      </c>
      <c r="G232" s="17"/>
      <c r="H232" s="17"/>
      <c r="I232" s="17"/>
      <c r="J232" s="17" t="b">
        <v>0</v>
      </c>
    </row>
    <row r="233">
      <c r="A233" s="17"/>
      <c r="B233" s="17"/>
      <c r="C233" s="17" t="str">
        <f>IFERROR(VLOOKUP(B233,'MASTER DATA'!$A$1:$E$212,2,FALSE),"")</f>
        <v/>
      </c>
      <c r="D233" s="17" t="str">
        <f>IFERROR(VLOOKUP(B233,'MASTER DATA'!$A$1:$E$212,5,FALSE),"")</f>
        <v/>
      </c>
      <c r="E233" s="17"/>
      <c r="F233" s="17" t="str">
        <f>IFERROR(VLOOKUP(B233,'MASTER DATA'!$A$1:$E$212,4,FALSE),"")</f>
        <v/>
      </c>
      <c r="G233" s="17"/>
      <c r="H233" s="17"/>
      <c r="I233" s="17"/>
      <c r="J233" s="17" t="b">
        <v>0</v>
      </c>
    </row>
    <row r="234">
      <c r="A234" s="17"/>
      <c r="B234" s="17"/>
      <c r="C234" s="17" t="str">
        <f>IFERROR(VLOOKUP(B234,'MASTER DATA'!$A$1:$E$212,2,FALSE),"")</f>
        <v/>
      </c>
      <c r="D234" s="17" t="str">
        <f>IFERROR(VLOOKUP(B234,'MASTER DATA'!$A$1:$E$212,5,FALSE),"")</f>
        <v/>
      </c>
      <c r="E234" s="17"/>
      <c r="F234" s="17" t="str">
        <f>IFERROR(VLOOKUP(B234,'MASTER DATA'!$A$1:$E$212,4,FALSE),"")</f>
        <v/>
      </c>
      <c r="G234" s="17"/>
      <c r="H234" s="17"/>
      <c r="I234" s="17"/>
      <c r="J234" s="17" t="b">
        <v>0</v>
      </c>
    </row>
    <row r="235">
      <c r="A235" s="17"/>
      <c r="B235" s="17"/>
      <c r="C235" s="17" t="str">
        <f>IFERROR(VLOOKUP(B235,'MASTER DATA'!$A$1:$E$212,2,FALSE),"")</f>
        <v/>
      </c>
      <c r="D235" s="17" t="str">
        <f>IFERROR(VLOOKUP(B235,'MASTER DATA'!$A$1:$E$212,5,FALSE),"")</f>
        <v/>
      </c>
      <c r="E235" s="17"/>
      <c r="F235" s="17" t="str">
        <f>IFERROR(VLOOKUP(B235,'MASTER DATA'!$A$1:$E$212,4,FALSE),"")</f>
        <v/>
      </c>
      <c r="G235" s="17"/>
      <c r="H235" s="17"/>
      <c r="I235" s="17"/>
      <c r="J235" s="17" t="b">
        <v>0</v>
      </c>
    </row>
    <row r="236">
      <c r="A236" s="17"/>
      <c r="B236" s="17"/>
      <c r="C236" s="17" t="str">
        <f>IFERROR(VLOOKUP(B236,'MASTER DATA'!$A$1:$E$212,2,FALSE),"")</f>
        <v/>
      </c>
      <c r="D236" s="17" t="str">
        <f>IFERROR(VLOOKUP(B236,'MASTER DATA'!$A$1:$E$212,5,FALSE),"")</f>
        <v/>
      </c>
      <c r="E236" s="17"/>
      <c r="F236" s="17" t="str">
        <f>IFERROR(VLOOKUP(B236,'MASTER DATA'!$A$1:$E$212,4,FALSE),"")</f>
        <v/>
      </c>
      <c r="G236" s="17"/>
      <c r="H236" s="17"/>
      <c r="I236" s="17"/>
      <c r="J236" s="17" t="b">
        <v>0</v>
      </c>
    </row>
    <row r="237">
      <c r="A237" s="17"/>
      <c r="B237" s="17"/>
      <c r="C237" s="17" t="str">
        <f>IFERROR(VLOOKUP(B237,'MASTER DATA'!$A$1:$E$212,2,FALSE),"")</f>
        <v/>
      </c>
      <c r="D237" s="17" t="str">
        <f>IFERROR(VLOOKUP(B237,'MASTER DATA'!$A$1:$E$212,5,FALSE),"")</f>
        <v/>
      </c>
      <c r="E237" s="17"/>
      <c r="F237" s="17" t="str">
        <f>IFERROR(VLOOKUP(B237,'MASTER DATA'!$A$1:$E$212,4,FALSE),"")</f>
        <v/>
      </c>
      <c r="G237" s="17"/>
      <c r="H237" s="17"/>
      <c r="I237" s="17"/>
      <c r="J237" s="17" t="b">
        <v>0</v>
      </c>
    </row>
    <row r="238">
      <c r="A238" s="17"/>
      <c r="B238" s="17"/>
      <c r="C238" s="17" t="str">
        <f>IFERROR(VLOOKUP(B238,'MASTER DATA'!$A$1:$E$212,2,FALSE),"")</f>
        <v/>
      </c>
      <c r="D238" s="17" t="str">
        <f>IFERROR(VLOOKUP(B238,'MASTER DATA'!$A$1:$E$212,5,FALSE),"")</f>
        <v/>
      </c>
      <c r="E238" s="17"/>
      <c r="F238" s="17" t="str">
        <f>IFERROR(VLOOKUP(B238,'MASTER DATA'!$A$1:$E$212,4,FALSE),"")</f>
        <v/>
      </c>
      <c r="G238" s="17"/>
      <c r="H238" s="17"/>
      <c r="I238" s="17"/>
      <c r="J238" s="17" t="b">
        <v>0</v>
      </c>
    </row>
    <row r="239">
      <c r="A239" s="17"/>
      <c r="B239" s="17"/>
      <c r="C239" s="17" t="str">
        <f>IFERROR(VLOOKUP(B239,'MASTER DATA'!$A$1:$E$212,2,FALSE),"")</f>
        <v/>
      </c>
      <c r="D239" s="17" t="str">
        <f>IFERROR(VLOOKUP(B239,'MASTER DATA'!$A$1:$E$212,5,FALSE),"")</f>
        <v/>
      </c>
      <c r="E239" s="17"/>
      <c r="F239" s="17" t="str">
        <f>IFERROR(VLOOKUP(B239,'MASTER DATA'!$A$1:$E$212,4,FALSE),"")</f>
        <v/>
      </c>
      <c r="G239" s="17"/>
      <c r="H239" s="17"/>
      <c r="I239" s="17"/>
      <c r="J239" s="17" t="b">
        <v>0</v>
      </c>
    </row>
    <row r="240">
      <c r="A240" s="17"/>
      <c r="B240" s="17"/>
      <c r="C240" s="17" t="str">
        <f>IFERROR(VLOOKUP(B240,'MASTER DATA'!$A$1:$E$212,2,FALSE),"")</f>
        <v/>
      </c>
      <c r="D240" s="17" t="str">
        <f>IFERROR(VLOOKUP(B240,'MASTER DATA'!$A$1:$E$212,5,FALSE),"")</f>
        <v/>
      </c>
      <c r="E240" s="17"/>
      <c r="F240" s="17" t="str">
        <f>IFERROR(VLOOKUP(B240,'MASTER DATA'!$A$1:$E$212,4,FALSE),"")</f>
        <v/>
      </c>
      <c r="G240" s="17"/>
      <c r="H240" s="17"/>
      <c r="I240" s="17"/>
      <c r="J240" s="17" t="b">
        <v>0</v>
      </c>
    </row>
    <row r="241">
      <c r="A241" s="17"/>
      <c r="B241" s="17"/>
      <c r="C241" s="17" t="str">
        <f>IFERROR(VLOOKUP(B241,'MASTER DATA'!$A$1:$E$212,2,FALSE),"")</f>
        <v/>
      </c>
      <c r="D241" s="17" t="str">
        <f>IFERROR(VLOOKUP(B241,'MASTER DATA'!$A$1:$E$212,5,FALSE),"")</f>
        <v/>
      </c>
      <c r="E241" s="17"/>
      <c r="F241" s="17" t="str">
        <f>IFERROR(VLOOKUP(B241,'MASTER DATA'!$A$1:$E$212,4,FALSE),"")</f>
        <v/>
      </c>
      <c r="G241" s="17"/>
      <c r="H241" s="17"/>
      <c r="I241" s="17"/>
      <c r="J241" s="17" t="b">
        <v>0</v>
      </c>
    </row>
    <row r="242">
      <c r="A242" s="17"/>
      <c r="B242" s="17"/>
      <c r="C242" s="17" t="str">
        <f>IFERROR(VLOOKUP(B242,'MASTER DATA'!$A$1:$E$212,2,FALSE),"")</f>
        <v/>
      </c>
      <c r="D242" s="17" t="str">
        <f>IFERROR(VLOOKUP(B242,'MASTER DATA'!$A$1:$E$212,5,FALSE),"")</f>
        <v/>
      </c>
      <c r="E242" s="17"/>
      <c r="F242" s="17" t="str">
        <f>IFERROR(VLOOKUP(B242,'MASTER DATA'!$A$1:$E$212,4,FALSE),"")</f>
        <v/>
      </c>
      <c r="G242" s="17"/>
      <c r="H242" s="17"/>
      <c r="I242" s="17"/>
      <c r="J242" s="17" t="b">
        <v>0</v>
      </c>
    </row>
    <row r="243">
      <c r="A243" s="17"/>
      <c r="B243" s="17"/>
      <c r="C243" s="17" t="str">
        <f>IFERROR(VLOOKUP(B243,'MASTER DATA'!$A$1:$E$212,2,FALSE),"")</f>
        <v/>
      </c>
      <c r="D243" s="17" t="str">
        <f>IFERROR(VLOOKUP(B243,'MASTER DATA'!$A$1:$E$212,5,FALSE),"")</f>
        <v/>
      </c>
      <c r="E243" s="17"/>
      <c r="F243" s="17" t="str">
        <f>IFERROR(VLOOKUP(B243,'MASTER DATA'!$A$1:$E$212,4,FALSE),"")</f>
        <v/>
      </c>
      <c r="G243" s="17"/>
      <c r="H243" s="17"/>
      <c r="I243" s="17"/>
      <c r="J243" s="17" t="b">
        <v>0</v>
      </c>
    </row>
    <row r="244">
      <c r="A244" s="17"/>
      <c r="B244" s="17"/>
      <c r="C244" s="17" t="str">
        <f>IFERROR(VLOOKUP(B244,'MASTER DATA'!$A$1:$E$212,2,FALSE),"")</f>
        <v/>
      </c>
      <c r="D244" s="17" t="str">
        <f>IFERROR(VLOOKUP(B244,'MASTER DATA'!$A$1:$E$212,5,FALSE),"")</f>
        <v/>
      </c>
      <c r="E244" s="17"/>
      <c r="F244" s="17" t="str">
        <f>IFERROR(VLOOKUP(B244,'MASTER DATA'!$A$1:$E$212,4,FALSE),"")</f>
        <v/>
      </c>
      <c r="G244" s="17"/>
      <c r="H244" s="17"/>
      <c r="I244" s="17"/>
      <c r="J244" s="17" t="b">
        <v>0</v>
      </c>
    </row>
    <row r="245">
      <c r="A245" s="17"/>
      <c r="B245" s="17"/>
      <c r="C245" s="17" t="str">
        <f>IFERROR(VLOOKUP(B245,'MASTER DATA'!$A$1:$E$212,2,FALSE),"")</f>
        <v/>
      </c>
      <c r="D245" s="17" t="str">
        <f>IFERROR(VLOOKUP(B245,'MASTER DATA'!$A$1:$E$212,5,FALSE),"")</f>
        <v/>
      </c>
      <c r="E245" s="17"/>
      <c r="F245" s="17" t="str">
        <f>IFERROR(VLOOKUP(B245,'MASTER DATA'!$A$1:$E$212,4,FALSE),"")</f>
        <v/>
      </c>
      <c r="G245" s="17"/>
      <c r="H245" s="17"/>
      <c r="I245" s="17"/>
      <c r="J245" s="17" t="b">
        <v>0</v>
      </c>
    </row>
    <row r="246">
      <c r="A246" s="17"/>
      <c r="B246" s="17"/>
      <c r="C246" s="17" t="str">
        <f>IFERROR(VLOOKUP(B246,'MASTER DATA'!$A$1:$E$212,2,FALSE),"")</f>
        <v/>
      </c>
      <c r="D246" s="17" t="str">
        <f>IFERROR(VLOOKUP(B246,'MASTER DATA'!$A$1:$E$212,5,FALSE),"")</f>
        <v/>
      </c>
      <c r="E246" s="17"/>
      <c r="F246" s="17" t="str">
        <f>IFERROR(VLOOKUP(B246,'MASTER DATA'!$A$1:$E$212,4,FALSE),"")</f>
        <v/>
      </c>
      <c r="G246" s="17"/>
      <c r="H246" s="17"/>
      <c r="I246" s="17"/>
      <c r="J246" s="17" t="b">
        <v>0</v>
      </c>
    </row>
    <row r="247">
      <c r="A247" s="17"/>
      <c r="B247" s="17"/>
      <c r="C247" s="17" t="str">
        <f>IFERROR(VLOOKUP(B247,'MASTER DATA'!$A$1:$E$212,2,FALSE),"")</f>
        <v/>
      </c>
      <c r="D247" s="17" t="str">
        <f>IFERROR(VLOOKUP(B247,'MASTER DATA'!$A$1:$E$212,5,FALSE),"")</f>
        <v/>
      </c>
      <c r="E247" s="17"/>
      <c r="F247" s="17" t="str">
        <f>IFERROR(VLOOKUP(B247,'MASTER DATA'!$A$1:$E$212,4,FALSE),"")</f>
        <v/>
      </c>
      <c r="G247" s="17"/>
      <c r="H247" s="17"/>
      <c r="I247" s="17"/>
      <c r="J247" s="17" t="b">
        <v>0</v>
      </c>
    </row>
    <row r="248">
      <c r="A248" s="17"/>
      <c r="B248" s="17"/>
      <c r="C248" s="17" t="str">
        <f>IFERROR(VLOOKUP(B248,'MASTER DATA'!$A$1:$E$212,2,FALSE),"")</f>
        <v/>
      </c>
      <c r="D248" s="17" t="str">
        <f>IFERROR(VLOOKUP(B248,'MASTER DATA'!$A$1:$E$212,5,FALSE),"")</f>
        <v/>
      </c>
      <c r="E248" s="17"/>
      <c r="F248" s="17" t="str">
        <f>IFERROR(VLOOKUP(B248,'MASTER DATA'!$A$1:$E$212,4,FALSE),"")</f>
        <v/>
      </c>
      <c r="G248" s="17"/>
      <c r="H248" s="17"/>
      <c r="I248" s="17"/>
      <c r="J248" s="17" t="b">
        <v>0</v>
      </c>
    </row>
    <row r="249">
      <c r="A249" s="17"/>
      <c r="B249" s="17"/>
      <c r="C249" s="17" t="str">
        <f>IFERROR(VLOOKUP(B249,'MASTER DATA'!$A$1:$E$212,2,FALSE),"")</f>
        <v/>
      </c>
      <c r="D249" s="17" t="str">
        <f>IFERROR(VLOOKUP(B249,'MASTER DATA'!$A$1:$E$212,5,FALSE),"")</f>
        <v/>
      </c>
      <c r="E249" s="17"/>
      <c r="F249" s="17" t="str">
        <f>IFERROR(VLOOKUP(B249,'MASTER DATA'!$A$1:$E$212,4,FALSE),"")</f>
        <v/>
      </c>
      <c r="G249" s="17"/>
      <c r="H249" s="17"/>
      <c r="I249" s="17"/>
      <c r="J249" s="17" t="b">
        <v>0</v>
      </c>
    </row>
    <row r="250">
      <c r="A250" s="17"/>
      <c r="B250" s="17"/>
      <c r="C250" s="17" t="str">
        <f>IFERROR(VLOOKUP(B250,'MASTER DATA'!$A$1:$E$212,2,FALSE),"")</f>
        <v/>
      </c>
      <c r="D250" s="17" t="str">
        <f>IFERROR(VLOOKUP(B250,'MASTER DATA'!$A$1:$E$212,5,FALSE),"")</f>
        <v/>
      </c>
      <c r="E250" s="17"/>
      <c r="F250" s="17" t="str">
        <f>IFERROR(VLOOKUP(B250,'MASTER DATA'!$A$1:$E$212,4,FALSE),"")</f>
        <v/>
      </c>
      <c r="G250" s="17"/>
      <c r="H250" s="17"/>
      <c r="I250" s="17"/>
      <c r="J250" s="17" t="b">
        <v>0</v>
      </c>
    </row>
    <row r="251">
      <c r="A251" s="17"/>
      <c r="B251" s="17"/>
      <c r="C251" s="17" t="str">
        <f>IFERROR(VLOOKUP(B251,'MASTER DATA'!$A$1:$E$212,2,FALSE),"")</f>
        <v/>
      </c>
      <c r="D251" s="17" t="str">
        <f>IFERROR(VLOOKUP(B251,'MASTER DATA'!$A$1:$E$212,5,FALSE),"")</f>
        <v/>
      </c>
      <c r="E251" s="17"/>
      <c r="F251" s="17" t="str">
        <f>IFERROR(VLOOKUP(B251,'MASTER DATA'!$A$1:$E$212,4,FALSE),"")</f>
        <v/>
      </c>
      <c r="G251" s="17"/>
      <c r="H251" s="17"/>
      <c r="I251" s="17"/>
      <c r="J251" s="17" t="b">
        <v>0</v>
      </c>
    </row>
    <row r="252">
      <c r="A252" s="17"/>
      <c r="B252" s="17"/>
      <c r="C252" s="17" t="str">
        <f>IFERROR(VLOOKUP(B252,'MASTER DATA'!$A$1:$E$212,2,FALSE),"")</f>
        <v/>
      </c>
      <c r="D252" s="17" t="str">
        <f>IFERROR(VLOOKUP(B252,'MASTER DATA'!$A$1:$E$212,5,FALSE),"")</f>
        <v/>
      </c>
      <c r="E252" s="17"/>
      <c r="F252" s="17" t="str">
        <f>IFERROR(VLOOKUP(B252,'MASTER DATA'!$A$1:$E$212,4,FALSE),"")</f>
        <v/>
      </c>
      <c r="G252" s="17"/>
      <c r="H252" s="17"/>
      <c r="I252" s="17"/>
      <c r="J252" s="17" t="b">
        <v>0</v>
      </c>
    </row>
    <row r="253">
      <c r="A253" s="17"/>
      <c r="B253" s="17"/>
      <c r="C253" s="17" t="str">
        <f>IFERROR(VLOOKUP(B253,'MASTER DATA'!$A$1:$E$212,2,FALSE),"")</f>
        <v/>
      </c>
      <c r="D253" s="17" t="str">
        <f>IFERROR(VLOOKUP(B253,'MASTER DATA'!$A$1:$E$212,5,FALSE),"")</f>
        <v/>
      </c>
      <c r="E253" s="17"/>
      <c r="F253" s="17" t="str">
        <f>IFERROR(VLOOKUP(B253,'MASTER DATA'!$A$1:$E$212,4,FALSE),"")</f>
        <v/>
      </c>
      <c r="G253" s="17"/>
      <c r="H253" s="17"/>
      <c r="I253" s="17"/>
      <c r="J253" s="17" t="b">
        <v>0</v>
      </c>
    </row>
    <row r="254">
      <c r="A254" s="17"/>
      <c r="B254" s="17"/>
      <c r="C254" s="17" t="str">
        <f>IFERROR(VLOOKUP(B254,'MASTER DATA'!$A$1:$E$212,2,FALSE),"")</f>
        <v/>
      </c>
      <c r="D254" s="17" t="str">
        <f>IFERROR(VLOOKUP(B254,'MASTER DATA'!$A$1:$E$212,5,FALSE),"")</f>
        <v/>
      </c>
      <c r="E254" s="17"/>
      <c r="F254" s="17" t="str">
        <f>IFERROR(VLOOKUP(B254,'MASTER DATA'!$A$1:$E$212,4,FALSE),"")</f>
        <v/>
      </c>
      <c r="G254" s="17"/>
      <c r="H254" s="17"/>
      <c r="I254" s="17"/>
      <c r="J254" s="17" t="b">
        <v>0</v>
      </c>
    </row>
    <row r="255">
      <c r="A255" s="17"/>
      <c r="B255" s="17"/>
      <c r="C255" s="17" t="str">
        <f>IFERROR(VLOOKUP(B255,'MASTER DATA'!$A$1:$E$212,2,FALSE),"")</f>
        <v/>
      </c>
      <c r="D255" s="17" t="str">
        <f>IFERROR(VLOOKUP(B255,'MASTER DATA'!$A$1:$E$212,5,FALSE),"")</f>
        <v/>
      </c>
      <c r="E255" s="17"/>
      <c r="F255" s="17" t="str">
        <f>IFERROR(VLOOKUP(B255,'MASTER DATA'!$A$1:$E$212,4,FALSE),"")</f>
        <v/>
      </c>
      <c r="G255" s="17"/>
      <c r="H255" s="17"/>
      <c r="I255" s="17"/>
      <c r="J255" s="17" t="b">
        <v>0</v>
      </c>
    </row>
    <row r="256">
      <c r="A256" s="17"/>
      <c r="B256" s="17"/>
      <c r="C256" s="17" t="str">
        <f>IFERROR(VLOOKUP(B256,'MASTER DATA'!$A$1:$E$212,2,FALSE),"")</f>
        <v/>
      </c>
      <c r="D256" s="17" t="str">
        <f>IFERROR(VLOOKUP(B256,'MASTER DATA'!$A$1:$E$212,5,FALSE),"")</f>
        <v/>
      </c>
      <c r="E256" s="17"/>
      <c r="F256" s="17" t="str">
        <f>IFERROR(VLOOKUP(B256,'MASTER DATA'!$A$1:$E$212,4,FALSE),"")</f>
        <v/>
      </c>
      <c r="G256" s="17"/>
      <c r="H256" s="17"/>
      <c r="I256" s="17"/>
      <c r="J256" s="17" t="b">
        <v>0</v>
      </c>
    </row>
    <row r="257">
      <c r="A257" s="17"/>
      <c r="B257" s="17"/>
      <c r="C257" s="17" t="str">
        <f>IFERROR(VLOOKUP(B257,'MASTER DATA'!$A$1:$E$212,2,FALSE),"")</f>
        <v/>
      </c>
      <c r="D257" s="17" t="str">
        <f>IFERROR(VLOOKUP(B257,'MASTER DATA'!$A$1:$E$212,5,FALSE),"")</f>
        <v/>
      </c>
      <c r="E257" s="17"/>
      <c r="F257" s="17" t="str">
        <f>IFERROR(VLOOKUP(B257,'MASTER DATA'!$A$1:$E$212,4,FALSE),"")</f>
        <v/>
      </c>
      <c r="G257" s="17"/>
      <c r="H257" s="17"/>
      <c r="I257" s="17"/>
      <c r="J257" s="17" t="b">
        <v>0</v>
      </c>
    </row>
    <row r="258">
      <c r="A258" s="17"/>
      <c r="B258" s="17"/>
      <c r="C258" s="17" t="str">
        <f>IFERROR(VLOOKUP(B258,'MASTER DATA'!$A$1:$E$212,2,FALSE),"")</f>
        <v/>
      </c>
      <c r="D258" s="17" t="str">
        <f>IFERROR(VLOOKUP(B258,'MASTER DATA'!$A$1:$E$212,5,FALSE),"")</f>
        <v/>
      </c>
      <c r="E258" s="17"/>
      <c r="F258" s="17" t="str">
        <f>IFERROR(VLOOKUP(B258,'MASTER DATA'!$A$1:$E$212,4,FALSE),"")</f>
        <v/>
      </c>
      <c r="G258" s="17"/>
      <c r="H258" s="17"/>
      <c r="I258" s="17"/>
      <c r="J258" s="17" t="b">
        <v>0</v>
      </c>
    </row>
    <row r="259">
      <c r="A259" s="17"/>
      <c r="B259" s="17"/>
      <c r="C259" s="17" t="str">
        <f>IFERROR(VLOOKUP(B259,'MASTER DATA'!$A$1:$E$212,2,FALSE),"")</f>
        <v/>
      </c>
      <c r="D259" s="17" t="str">
        <f>IFERROR(VLOOKUP(B259,'MASTER DATA'!$A$1:$E$212,5,FALSE),"")</f>
        <v/>
      </c>
      <c r="E259" s="17"/>
      <c r="F259" s="17" t="str">
        <f>IFERROR(VLOOKUP(B259,'MASTER DATA'!$A$1:$E$212,4,FALSE),"")</f>
        <v/>
      </c>
      <c r="G259" s="17"/>
      <c r="H259" s="17"/>
      <c r="I259" s="17"/>
      <c r="J259" s="17" t="b">
        <v>0</v>
      </c>
    </row>
    <row r="260">
      <c r="A260" s="17"/>
      <c r="B260" s="17"/>
      <c r="C260" s="17" t="str">
        <f>IFERROR(VLOOKUP(B260,'MASTER DATA'!$A$1:$E$212,2,FALSE),"")</f>
        <v/>
      </c>
      <c r="D260" s="17" t="str">
        <f>IFERROR(VLOOKUP(B260,'MASTER DATA'!$A$1:$E$212,5,FALSE),"")</f>
        <v/>
      </c>
      <c r="E260" s="17"/>
      <c r="F260" s="17" t="str">
        <f>IFERROR(VLOOKUP(B260,'MASTER DATA'!$A$1:$E$212,4,FALSE),"")</f>
        <v/>
      </c>
      <c r="G260" s="17"/>
      <c r="H260" s="17"/>
      <c r="I260" s="17"/>
      <c r="J260" s="17" t="b">
        <v>0</v>
      </c>
    </row>
    <row r="261">
      <c r="A261" s="17"/>
      <c r="B261" s="17"/>
      <c r="C261" s="17" t="str">
        <f>IFERROR(VLOOKUP(B261,'MASTER DATA'!$A$1:$E$212,2,FALSE),"")</f>
        <v/>
      </c>
      <c r="D261" s="17" t="str">
        <f>IFERROR(VLOOKUP(B261,'MASTER DATA'!$A$1:$E$212,5,FALSE),"")</f>
        <v/>
      </c>
      <c r="E261" s="17"/>
      <c r="F261" s="17" t="str">
        <f>IFERROR(VLOOKUP(B261,'MASTER DATA'!$A$1:$E$212,4,FALSE),"")</f>
        <v/>
      </c>
      <c r="G261" s="17"/>
      <c r="H261" s="17"/>
      <c r="I261" s="17"/>
      <c r="J261" s="17" t="b">
        <v>0</v>
      </c>
    </row>
    <row r="262">
      <c r="A262" s="17"/>
      <c r="B262" s="17"/>
      <c r="C262" s="17" t="str">
        <f>IFERROR(VLOOKUP(B262,'MASTER DATA'!$A$1:$E$212,2,FALSE),"")</f>
        <v/>
      </c>
      <c r="D262" s="17" t="str">
        <f>IFERROR(VLOOKUP(B262,'MASTER DATA'!$A$1:$E$212,5,FALSE),"")</f>
        <v/>
      </c>
      <c r="E262" s="17"/>
      <c r="F262" s="17" t="str">
        <f>IFERROR(VLOOKUP(B262,'MASTER DATA'!$A$1:$E$212,4,FALSE),"")</f>
        <v/>
      </c>
      <c r="G262" s="17"/>
      <c r="H262" s="17"/>
      <c r="I262" s="17"/>
      <c r="J262" s="17" t="b">
        <v>0</v>
      </c>
    </row>
    <row r="263">
      <c r="A263" s="17"/>
      <c r="B263" s="17"/>
      <c r="C263" s="17" t="str">
        <f>IFERROR(VLOOKUP(B263,'MASTER DATA'!$A$1:$E$212,2,FALSE),"")</f>
        <v/>
      </c>
      <c r="D263" s="17" t="str">
        <f>IFERROR(VLOOKUP(B263,'MASTER DATA'!$A$1:$E$212,5,FALSE),"")</f>
        <v/>
      </c>
      <c r="E263" s="17"/>
      <c r="F263" s="17" t="str">
        <f>IFERROR(VLOOKUP(B263,'MASTER DATA'!$A$1:$E$212,4,FALSE),"")</f>
        <v/>
      </c>
      <c r="G263" s="17"/>
      <c r="H263" s="17"/>
      <c r="I263" s="17"/>
      <c r="J263" s="17" t="b">
        <v>0</v>
      </c>
    </row>
    <row r="264">
      <c r="A264" s="17"/>
      <c r="B264" s="17"/>
      <c r="C264" s="17" t="str">
        <f>IFERROR(VLOOKUP(B264,'MASTER DATA'!$A$1:$E$212,2,FALSE),"")</f>
        <v/>
      </c>
      <c r="D264" s="17" t="str">
        <f>IFERROR(VLOOKUP(B264,'MASTER DATA'!$A$1:$E$212,5,FALSE),"")</f>
        <v/>
      </c>
      <c r="E264" s="17"/>
      <c r="F264" s="17" t="str">
        <f>IFERROR(VLOOKUP(B264,'MASTER DATA'!$A$1:$E$212,4,FALSE),"")</f>
        <v/>
      </c>
      <c r="G264" s="17"/>
      <c r="H264" s="17"/>
      <c r="I264" s="17"/>
      <c r="J264" s="17" t="b">
        <v>0</v>
      </c>
    </row>
    <row r="265">
      <c r="A265" s="17"/>
      <c r="B265" s="17"/>
      <c r="C265" s="17" t="str">
        <f>IFERROR(VLOOKUP(B265,'MASTER DATA'!$A$1:$E$212,2,FALSE),"")</f>
        <v/>
      </c>
      <c r="D265" s="17" t="str">
        <f>IFERROR(VLOOKUP(B265,'MASTER DATA'!$A$1:$E$212,5,FALSE),"")</f>
        <v/>
      </c>
      <c r="E265" s="17"/>
      <c r="F265" s="17" t="str">
        <f>IFERROR(VLOOKUP(B265,'MASTER DATA'!$A$1:$E$212,4,FALSE),"")</f>
        <v/>
      </c>
      <c r="G265" s="17"/>
      <c r="H265" s="17"/>
      <c r="I265" s="17"/>
      <c r="J265" s="17" t="b">
        <v>0</v>
      </c>
    </row>
    <row r="266">
      <c r="A266" s="17"/>
      <c r="B266" s="17"/>
      <c r="C266" s="17" t="str">
        <f>IFERROR(VLOOKUP(B266,'MASTER DATA'!$A$1:$E$212,2,FALSE),"")</f>
        <v/>
      </c>
      <c r="D266" s="17" t="str">
        <f>IFERROR(VLOOKUP(B266,'MASTER DATA'!$A$1:$E$212,5,FALSE),"")</f>
        <v/>
      </c>
      <c r="E266" s="17"/>
      <c r="F266" s="17" t="str">
        <f>IFERROR(VLOOKUP(B266,'MASTER DATA'!$A$1:$E$212,4,FALSE),"")</f>
        <v/>
      </c>
      <c r="G266" s="17"/>
      <c r="H266" s="17"/>
      <c r="I266" s="17"/>
      <c r="J266" s="17" t="b">
        <v>0</v>
      </c>
    </row>
    <row r="267">
      <c r="A267" s="17"/>
      <c r="B267" s="17"/>
      <c r="C267" s="17" t="str">
        <f>IFERROR(VLOOKUP(B267,'MASTER DATA'!$A$1:$E$212,2,FALSE),"")</f>
        <v/>
      </c>
      <c r="D267" s="17" t="str">
        <f>IFERROR(VLOOKUP(B267,'MASTER DATA'!$A$1:$E$212,5,FALSE),"")</f>
        <v/>
      </c>
      <c r="E267" s="17"/>
      <c r="F267" s="17" t="str">
        <f>IFERROR(VLOOKUP(B267,'MASTER DATA'!$A$1:$E$212,4,FALSE),"")</f>
        <v/>
      </c>
      <c r="G267" s="17"/>
      <c r="H267" s="17"/>
      <c r="I267" s="17"/>
      <c r="J267" s="17" t="b">
        <v>0</v>
      </c>
    </row>
    <row r="268">
      <c r="A268" s="17"/>
      <c r="B268" s="17"/>
      <c r="C268" s="17" t="str">
        <f>IFERROR(VLOOKUP(B268,'MASTER DATA'!$A$1:$E$212,2,FALSE),"")</f>
        <v/>
      </c>
      <c r="D268" s="17" t="str">
        <f>IFERROR(VLOOKUP(B268,'MASTER DATA'!$A$1:$E$212,5,FALSE),"")</f>
        <v/>
      </c>
      <c r="E268" s="17"/>
      <c r="F268" s="17" t="str">
        <f>IFERROR(VLOOKUP(B268,'MASTER DATA'!$A$1:$E$212,4,FALSE),"")</f>
        <v/>
      </c>
      <c r="G268" s="17"/>
      <c r="H268" s="17"/>
      <c r="I268" s="17"/>
      <c r="J268" s="17" t="b">
        <v>0</v>
      </c>
    </row>
    <row r="269">
      <c r="A269" s="17"/>
      <c r="B269" s="17"/>
      <c r="C269" s="17" t="str">
        <f>IFERROR(VLOOKUP(B269,'MASTER DATA'!$A$1:$E$212,2,FALSE),"")</f>
        <v/>
      </c>
      <c r="D269" s="17" t="str">
        <f>IFERROR(VLOOKUP(B269,'MASTER DATA'!$A$1:$E$212,5,FALSE),"")</f>
        <v/>
      </c>
      <c r="E269" s="17"/>
      <c r="F269" s="17" t="str">
        <f>IFERROR(VLOOKUP(B269,'MASTER DATA'!$A$1:$E$212,4,FALSE),"")</f>
        <v/>
      </c>
      <c r="G269" s="17"/>
      <c r="H269" s="17"/>
      <c r="I269" s="17"/>
      <c r="J269" s="17" t="b">
        <v>0</v>
      </c>
    </row>
    <row r="270">
      <c r="A270" s="17"/>
      <c r="B270" s="17"/>
      <c r="C270" s="17" t="str">
        <f>IFERROR(VLOOKUP(B270,'MASTER DATA'!$A$1:$E$212,2,FALSE),"")</f>
        <v/>
      </c>
      <c r="D270" s="17" t="str">
        <f>IFERROR(VLOOKUP(B270,'MASTER DATA'!$A$1:$E$212,5,FALSE),"")</f>
        <v/>
      </c>
      <c r="E270" s="17"/>
      <c r="F270" s="17" t="str">
        <f>IFERROR(VLOOKUP(B270,'MASTER DATA'!$A$1:$E$212,4,FALSE),"")</f>
        <v/>
      </c>
      <c r="G270" s="17"/>
      <c r="H270" s="17"/>
      <c r="I270" s="17"/>
      <c r="J270" s="17" t="b">
        <v>0</v>
      </c>
    </row>
    <row r="271">
      <c r="A271" s="17"/>
      <c r="B271" s="17"/>
      <c r="C271" s="17" t="str">
        <f>IFERROR(VLOOKUP(B271,'MASTER DATA'!$A$1:$E$212,2,FALSE),"")</f>
        <v/>
      </c>
      <c r="D271" s="17" t="str">
        <f>IFERROR(VLOOKUP(B271,'MASTER DATA'!$A$1:$E$212,5,FALSE),"")</f>
        <v/>
      </c>
      <c r="E271" s="17"/>
      <c r="F271" s="17" t="str">
        <f>IFERROR(VLOOKUP(B271,'MASTER DATA'!$A$1:$E$212,4,FALSE),"")</f>
        <v/>
      </c>
      <c r="G271" s="17"/>
      <c r="H271" s="17"/>
      <c r="I271" s="17"/>
      <c r="J271" s="17" t="b">
        <v>0</v>
      </c>
    </row>
    <row r="272">
      <c r="A272" s="17"/>
      <c r="B272" s="17"/>
      <c r="C272" s="17" t="str">
        <f>IFERROR(VLOOKUP(B272,'MASTER DATA'!$A$1:$E$212,2,FALSE),"")</f>
        <v/>
      </c>
      <c r="D272" s="17" t="str">
        <f>IFERROR(VLOOKUP(B272,'MASTER DATA'!$A$1:$E$212,5,FALSE),"")</f>
        <v/>
      </c>
      <c r="E272" s="17"/>
      <c r="F272" s="17" t="str">
        <f>IFERROR(VLOOKUP(B272,'MASTER DATA'!$A$1:$E$212,4,FALSE),"")</f>
        <v/>
      </c>
      <c r="G272" s="17"/>
      <c r="H272" s="17"/>
      <c r="I272" s="17"/>
      <c r="J272" s="17" t="b">
        <v>0</v>
      </c>
    </row>
    <row r="273">
      <c r="A273" s="17"/>
      <c r="B273" s="17"/>
      <c r="C273" s="17" t="str">
        <f>IFERROR(VLOOKUP(B273,'MASTER DATA'!$A$1:$E$212,2,FALSE),"")</f>
        <v/>
      </c>
      <c r="D273" s="17" t="str">
        <f>IFERROR(VLOOKUP(B273,'MASTER DATA'!$A$1:$E$212,5,FALSE),"")</f>
        <v/>
      </c>
      <c r="E273" s="17"/>
      <c r="F273" s="17" t="str">
        <f>IFERROR(VLOOKUP(B273,'MASTER DATA'!$A$1:$E$212,4,FALSE),"")</f>
        <v/>
      </c>
      <c r="G273" s="17"/>
      <c r="H273" s="17"/>
      <c r="I273" s="17"/>
      <c r="J273" s="17" t="b">
        <v>0</v>
      </c>
    </row>
    <row r="274">
      <c r="A274" s="17"/>
      <c r="B274" s="17"/>
      <c r="C274" s="17" t="str">
        <f>IFERROR(VLOOKUP(B274,'MASTER DATA'!$A$1:$E$212,2,FALSE),"")</f>
        <v/>
      </c>
      <c r="D274" s="17" t="str">
        <f>IFERROR(VLOOKUP(B274,'MASTER DATA'!$A$1:$E$212,5,FALSE),"")</f>
        <v/>
      </c>
      <c r="E274" s="17"/>
      <c r="F274" s="17" t="str">
        <f>IFERROR(VLOOKUP(B274,'MASTER DATA'!$A$1:$E$212,4,FALSE),"")</f>
        <v/>
      </c>
      <c r="G274" s="17"/>
      <c r="H274" s="17"/>
      <c r="I274" s="17"/>
      <c r="J274" s="17" t="b">
        <v>0</v>
      </c>
    </row>
    <row r="275">
      <c r="A275" s="17"/>
      <c r="B275" s="17"/>
      <c r="C275" s="17" t="str">
        <f>IFERROR(VLOOKUP(B275,'MASTER DATA'!$A$1:$E$212,2,FALSE),"")</f>
        <v/>
      </c>
      <c r="D275" s="17" t="str">
        <f>IFERROR(VLOOKUP(B275,'MASTER DATA'!$A$1:$E$212,5,FALSE),"")</f>
        <v/>
      </c>
      <c r="E275" s="17"/>
      <c r="F275" s="17" t="str">
        <f>IFERROR(VLOOKUP(B275,'MASTER DATA'!$A$1:$E$212,4,FALSE),"")</f>
        <v/>
      </c>
      <c r="G275" s="17"/>
      <c r="H275" s="17"/>
      <c r="I275" s="17"/>
      <c r="J275" s="17" t="b">
        <v>0</v>
      </c>
    </row>
    <row r="276">
      <c r="A276" s="17"/>
      <c r="B276" s="17"/>
      <c r="C276" s="17" t="str">
        <f>IFERROR(VLOOKUP(B276,'MASTER DATA'!$A$1:$E$212,2,FALSE),"")</f>
        <v/>
      </c>
      <c r="D276" s="17" t="str">
        <f>IFERROR(VLOOKUP(B276,'MASTER DATA'!$A$1:$E$212,5,FALSE),"")</f>
        <v/>
      </c>
      <c r="E276" s="17"/>
      <c r="F276" s="17" t="str">
        <f>IFERROR(VLOOKUP(B276,'MASTER DATA'!$A$1:$E$212,4,FALSE),"")</f>
        <v/>
      </c>
      <c r="G276" s="17"/>
      <c r="H276" s="17"/>
      <c r="I276" s="17"/>
      <c r="J276" s="17" t="b">
        <v>0</v>
      </c>
    </row>
    <row r="277">
      <c r="A277" s="17"/>
      <c r="B277" s="17"/>
      <c r="C277" s="17" t="str">
        <f>IFERROR(VLOOKUP(B277,'MASTER DATA'!$A$1:$E$212,2,FALSE),"")</f>
        <v/>
      </c>
      <c r="D277" s="17" t="str">
        <f>IFERROR(VLOOKUP(B277,'MASTER DATA'!$A$1:$E$212,5,FALSE),"")</f>
        <v/>
      </c>
      <c r="E277" s="17"/>
      <c r="F277" s="17" t="str">
        <f>IFERROR(VLOOKUP(B277,'MASTER DATA'!$A$1:$E$212,4,FALSE),"")</f>
        <v/>
      </c>
      <c r="G277" s="17"/>
      <c r="H277" s="17"/>
      <c r="I277" s="17"/>
      <c r="J277" s="17" t="b">
        <v>0</v>
      </c>
    </row>
    <row r="278">
      <c r="A278" s="17"/>
      <c r="B278" s="17"/>
      <c r="C278" s="17" t="str">
        <f>IFERROR(VLOOKUP(B278,'MASTER DATA'!$A$1:$E$212,2,FALSE),"")</f>
        <v/>
      </c>
      <c r="D278" s="17" t="str">
        <f>IFERROR(VLOOKUP(B278,'MASTER DATA'!$A$1:$E$212,5,FALSE),"")</f>
        <v/>
      </c>
      <c r="E278" s="17"/>
      <c r="F278" s="17" t="str">
        <f>IFERROR(VLOOKUP(B278,'MASTER DATA'!$A$1:$E$212,4,FALSE),"")</f>
        <v/>
      </c>
      <c r="G278" s="17"/>
      <c r="H278" s="17"/>
      <c r="I278" s="17"/>
      <c r="J278" s="17" t="b">
        <v>0</v>
      </c>
    </row>
    <row r="279">
      <c r="A279" s="17"/>
      <c r="B279" s="17"/>
      <c r="C279" s="17" t="str">
        <f>IFERROR(VLOOKUP(B279,'MASTER DATA'!$A$1:$E$212,2,FALSE),"")</f>
        <v/>
      </c>
      <c r="D279" s="17" t="str">
        <f>IFERROR(VLOOKUP(B279,'MASTER DATA'!$A$1:$E$212,5,FALSE),"")</f>
        <v/>
      </c>
      <c r="E279" s="17"/>
      <c r="F279" s="17" t="str">
        <f>IFERROR(VLOOKUP(B279,'MASTER DATA'!$A$1:$E$212,4,FALSE),"")</f>
        <v/>
      </c>
      <c r="G279" s="17"/>
      <c r="H279" s="17"/>
      <c r="I279" s="17"/>
      <c r="J279" s="17" t="b">
        <v>0</v>
      </c>
    </row>
    <row r="280">
      <c r="A280" s="17"/>
      <c r="B280" s="17"/>
      <c r="C280" s="17" t="str">
        <f>IFERROR(VLOOKUP(B280,'MASTER DATA'!$A$1:$E$212,2,FALSE),"")</f>
        <v/>
      </c>
      <c r="D280" s="17" t="str">
        <f>IFERROR(VLOOKUP(B280,'MASTER DATA'!$A$1:$E$212,5,FALSE),"")</f>
        <v/>
      </c>
      <c r="E280" s="17"/>
      <c r="F280" s="17" t="str">
        <f>IFERROR(VLOOKUP(B280,'MASTER DATA'!$A$1:$E$212,4,FALSE),"")</f>
        <v/>
      </c>
      <c r="G280" s="17"/>
      <c r="H280" s="17"/>
      <c r="I280" s="17"/>
      <c r="J280" s="17" t="b">
        <v>0</v>
      </c>
    </row>
    <row r="281">
      <c r="A281" s="17"/>
      <c r="B281" s="17"/>
      <c r="C281" s="17" t="str">
        <f>IFERROR(VLOOKUP(B281,'MASTER DATA'!$A$1:$E$212,2,FALSE),"")</f>
        <v/>
      </c>
      <c r="D281" s="17" t="str">
        <f>IFERROR(VLOOKUP(B281,'MASTER DATA'!$A$1:$E$212,5,FALSE),"")</f>
        <v/>
      </c>
      <c r="E281" s="17"/>
      <c r="F281" s="17" t="str">
        <f>IFERROR(VLOOKUP(B281,'MASTER DATA'!$A$1:$E$212,4,FALSE),"")</f>
        <v/>
      </c>
      <c r="G281" s="17"/>
      <c r="H281" s="17"/>
      <c r="I281" s="17"/>
      <c r="J281" s="17" t="b">
        <v>0</v>
      </c>
    </row>
    <row r="282">
      <c r="A282" s="17"/>
      <c r="B282" s="17"/>
      <c r="C282" s="17" t="str">
        <f>IFERROR(VLOOKUP(B282,'MASTER DATA'!$A$1:$E$212,2,FALSE),"")</f>
        <v/>
      </c>
      <c r="D282" s="17" t="str">
        <f>IFERROR(VLOOKUP(B282,'MASTER DATA'!$A$1:$E$212,5,FALSE),"")</f>
        <v/>
      </c>
      <c r="E282" s="17"/>
      <c r="F282" s="17" t="str">
        <f>IFERROR(VLOOKUP(B282,'MASTER DATA'!$A$1:$E$212,4,FALSE),"")</f>
        <v/>
      </c>
      <c r="G282" s="17"/>
      <c r="H282" s="17"/>
      <c r="I282" s="17"/>
      <c r="J282" s="17" t="b">
        <v>0</v>
      </c>
    </row>
    <row r="283">
      <c r="A283" s="17"/>
      <c r="B283" s="17"/>
      <c r="C283" s="17" t="str">
        <f>IFERROR(VLOOKUP(B283,'MASTER DATA'!$A$1:$E$212,2,FALSE),"")</f>
        <v/>
      </c>
      <c r="D283" s="17" t="str">
        <f>IFERROR(VLOOKUP(B283,'MASTER DATA'!$A$1:$E$212,5,FALSE),"")</f>
        <v/>
      </c>
      <c r="E283" s="17"/>
      <c r="F283" s="17" t="str">
        <f>IFERROR(VLOOKUP(B283,'MASTER DATA'!$A$1:$E$212,4,FALSE),"")</f>
        <v/>
      </c>
      <c r="G283" s="17"/>
      <c r="H283" s="17"/>
      <c r="I283" s="17"/>
      <c r="J283" s="17" t="b">
        <v>0</v>
      </c>
    </row>
    <row r="284">
      <c r="A284" s="17"/>
      <c r="B284" s="17"/>
      <c r="C284" s="17" t="str">
        <f>IFERROR(VLOOKUP(B284,'MASTER DATA'!$A$1:$E$212,2,FALSE),"")</f>
        <v/>
      </c>
      <c r="D284" s="17" t="str">
        <f>IFERROR(VLOOKUP(B284,'MASTER DATA'!$A$1:$E$212,5,FALSE),"")</f>
        <v/>
      </c>
      <c r="E284" s="17"/>
      <c r="F284" s="17" t="str">
        <f>IFERROR(VLOOKUP(B284,'MASTER DATA'!$A$1:$E$212,4,FALSE),"")</f>
        <v/>
      </c>
      <c r="G284" s="17"/>
      <c r="H284" s="17"/>
      <c r="I284" s="17"/>
      <c r="J284" s="17" t="b">
        <v>0</v>
      </c>
    </row>
    <row r="285">
      <c r="A285" s="17"/>
      <c r="B285" s="17"/>
      <c r="C285" s="17" t="str">
        <f>IFERROR(VLOOKUP(B285,'MASTER DATA'!$A$1:$E$212,2,FALSE),"")</f>
        <v/>
      </c>
      <c r="D285" s="17" t="str">
        <f>IFERROR(VLOOKUP(B285,'MASTER DATA'!$A$1:$E$212,5,FALSE),"")</f>
        <v/>
      </c>
      <c r="E285" s="17"/>
      <c r="F285" s="17" t="str">
        <f>IFERROR(VLOOKUP(B285,'MASTER DATA'!$A$1:$E$212,4,FALSE),"")</f>
        <v/>
      </c>
      <c r="G285" s="17"/>
      <c r="H285" s="17"/>
      <c r="I285" s="17"/>
      <c r="J285" s="17" t="b">
        <v>0</v>
      </c>
    </row>
    <row r="286">
      <c r="A286" s="17"/>
      <c r="B286" s="17"/>
      <c r="C286" s="17" t="str">
        <f>IFERROR(VLOOKUP(B286,'MASTER DATA'!$A$1:$E$212,2,FALSE),"")</f>
        <v/>
      </c>
      <c r="D286" s="17" t="str">
        <f>IFERROR(VLOOKUP(B286,'MASTER DATA'!$A$1:$E$212,5,FALSE),"")</f>
        <v/>
      </c>
      <c r="E286" s="17"/>
      <c r="F286" s="17" t="str">
        <f>IFERROR(VLOOKUP(B286,'MASTER DATA'!$A$1:$E$212,4,FALSE),"")</f>
        <v/>
      </c>
      <c r="G286" s="17"/>
      <c r="H286" s="17"/>
      <c r="I286" s="17"/>
      <c r="J286" s="17" t="b">
        <v>0</v>
      </c>
    </row>
    <row r="287">
      <c r="A287" s="17"/>
      <c r="B287" s="17"/>
      <c r="C287" s="17" t="str">
        <f>IFERROR(VLOOKUP(B287,'MASTER DATA'!$A$1:$E$212,2,FALSE),"")</f>
        <v/>
      </c>
      <c r="D287" s="17" t="str">
        <f>IFERROR(VLOOKUP(B287,'MASTER DATA'!$A$1:$E$212,5,FALSE),"")</f>
        <v/>
      </c>
      <c r="E287" s="17"/>
      <c r="F287" s="17" t="str">
        <f>IFERROR(VLOOKUP(B287,'MASTER DATA'!$A$1:$E$212,4,FALSE),"")</f>
        <v/>
      </c>
      <c r="G287" s="17"/>
      <c r="H287" s="17"/>
      <c r="I287" s="17"/>
      <c r="J287" s="17" t="b">
        <v>0</v>
      </c>
    </row>
    <row r="288">
      <c r="A288" s="17"/>
      <c r="B288" s="17"/>
      <c r="C288" s="17" t="str">
        <f>IFERROR(VLOOKUP(B288,'MASTER DATA'!$A$1:$E$212,2,FALSE),"")</f>
        <v/>
      </c>
      <c r="D288" s="17" t="str">
        <f>IFERROR(VLOOKUP(B288,'MASTER DATA'!$A$1:$E$212,5,FALSE),"")</f>
        <v/>
      </c>
      <c r="E288" s="17"/>
      <c r="F288" s="17" t="str">
        <f>IFERROR(VLOOKUP(B288,'MASTER DATA'!$A$1:$E$212,4,FALSE),"")</f>
        <v/>
      </c>
      <c r="G288" s="17"/>
      <c r="H288" s="17"/>
      <c r="I288" s="17"/>
      <c r="J288" s="17" t="b">
        <v>0</v>
      </c>
    </row>
    <row r="289">
      <c r="A289" s="17"/>
      <c r="B289" s="17"/>
      <c r="C289" s="17" t="str">
        <f>IFERROR(VLOOKUP(B289,'MASTER DATA'!$A$1:$E$212,2,FALSE),"")</f>
        <v/>
      </c>
      <c r="D289" s="17" t="str">
        <f>IFERROR(VLOOKUP(B289,'MASTER DATA'!$A$1:$E$212,5,FALSE),"")</f>
        <v/>
      </c>
      <c r="E289" s="17"/>
      <c r="F289" s="17" t="str">
        <f>IFERROR(VLOOKUP(B289,'MASTER DATA'!$A$1:$E$212,4,FALSE),"")</f>
        <v/>
      </c>
      <c r="G289" s="17"/>
      <c r="H289" s="17"/>
      <c r="I289" s="17"/>
      <c r="J289" s="17" t="b">
        <v>0</v>
      </c>
    </row>
    <row r="290">
      <c r="A290" s="17"/>
      <c r="B290" s="17"/>
      <c r="C290" s="17" t="str">
        <f>IFERROR(VLOOKUP(B290,'MASTER DATA'!$A$1:$E$212,2,FALSE),"")</f>
        <v/>
      </c>
      <c r="D290" s="17" t="str">
        <f>IFERROR(VLOOKUP(B290,'MASTER DATA'!$A$1:$E$212,5,FALSE),"")</f>
        <v/>
      </c>
      <c r="E290" s="17"/>
      <c r="F290" s="17" t="str">
        <f>IFERROR(VLOOKUP(B290,'MASTER DATA'!$A$1:$E$212,4,FALSE),"")</f>
        <v/>
      </c>
      <c r="G290" s="17"/>
      <c r="H290" s="17"/>
      <c r="I290" s="17"/>
      <c r="J290" s="17" t="b">
        <v>0</v>
      </c>
    </row>
    <row r="291">
      <c r="A291" s="17"/>
      <c r="B291" s="17"/>
      <c r="C291" s="17" t="str">
        <f>IFERROR(VLOOKUP(B291,'MASTER DATA'!$A$1:$E$212,2,FALSE),"")</f>
        <v/>
      </c>
      <c r="D291" s="17" t="str">
        <f>IFERROR(VLOOKUP(B291,'MASTER DATA'!$A$1:$E$212,5,FALSE),"")</f>
        <v/>
      </c>
      <c r="E291" s="17"/>
      <c r="F291" s="17" t="str">
        <f>IFERROR(VLOOKUP(B291,'MASTER DATA'!$A$1:$E$212,4,FALSE),"")</f>
        <v/>
      </c>
      <c r="G291" s="17"/>
      <c r="H291" s="17"/>
      <c r="I291" s="17"/>
      <c r="J291" s="17" t="b">
        <v>0</v>
      </c>
    </row>
    <row r="292">
      <c r="A292" s="17"/>
      <c r="B292" s="17"/>
      <c r="C292" s="17" t="str">
        <f>IFERROR(VLOOKUP(B292,'MASTER DATA'!$A$1:$E$212,2,FALSE),"")</f>
        <v/>
      </c>
      <c r="D292" s="17" t="str">
        <f>IFERROR(VLOOKUP(B292,'MASTER DATA'!$A$1:$E$212,5,FALSE),"")</f>
        <v/>
      </c>
      <c r="E292" s="17"/>
      <c r="F292" s="17" t="str">
        <f>IFERROR(VLOOKUP(B292,'MASTER DATA'!$A$1:$E$212,4,FALSE),"")</f>
        <v/>
      </c>
      <c r="G292" s="17"/>
      <c r="H292" s="17"/>
      <c r="I292" s="17"/>
      <c r="J292" s="17" t="b">
        <v>0</v>
      </c>
    </row>
    <row r="293">
      <c r="A293" s="17"/>
      <c r="B293" s="17"/>
      <c r="C293" s="17" t="str">
        <f>IFERROR(VLOOKUP(B293,'MASTER DATA'!$A$1:$E$212,2,FALSE),"")</f>
        <v/>
      </c>
      <c r="D293" s="17" t="str">
        <f>IFERROR(VLOOKUP(B293,'MASTER DATA'!$A$1:$E$212,5,FALSE),"")</f>
        <v/>
      </c>
      <c r="E293" s="17"/>
      <c r="F293" s="17" t="str">
        <f>IFERROR(VLOOKUP(B293,'MASTER DATA'!$A$1:$E$212,4,FALSE),"")</f>
        <v/>
      </c>
      <c r="G293" s="17"/>
      <c r="H293" s="17"/>
      <c r="I293" s="17"/>
      <c r="J293" s="17" t="b">
        <v>0</v>
      </c>
    </row>
    <row r="294">
      <c r="A294" s="17"/>
      <c r="B294" s="17"/>
      <c r="C294" s="17" t="str">
        <f>IFERROR(VLOOKUP(B294,'MASTER DATA'!$A$1:$E$212,2,FALSE),"")</f>
        <v/>
      </c>
      <c r="D294" s="17" t="str">
        <f>IFERROR(VLOOKUP(B294,'MASTER DATA'!$A$1:$E$212,5,FALSE),"")</f>
        <v/>
      </c>
      <c r="E294" s="17"/>
      <c r="F294" s="17" t="str">
        <f>IFERROR(VLOOKUP(B294,'MASTER DATA'!$A$1:$E$212,4,FALSE),"")</f>
        <v/>
      </c>
      <c r="G294" s="17"/>
      <c r="H294" s="17"/>
      <c r="I294" s="17"/>
      <c r="J294" s="17" t="b">
        <v>0</v>
      </c>
    </row>
    <row r="295">
      <c r="A295" s="17"/>
      <c r="B295" s="17"/>
      <c r="C295" s="17" t="str">
        <f>IFERROR(VLOOKUP(B295,'MASTER DATA'!$A$1:$E$212,2,FALSE),"")</f>
        <v/>
      </c>
      <c r="D295" s="17" t="str">
        <f>IFERROR(VLOOKUP(B295,'MASTER DATA'!$A$1:$E$212,5,FALSE),"")</f>
        <v/>
      </c>
      <c r="E295" s="17"/>
      <c r="F295" s="17" t="str">
        <f>IFERROR(VLOOKUP(B295,'MASTER DATA'!$A$1:$E$212,4,FALSE),"")</f>
        <v/>
      </c>
      <c r="G295" s="17"/>
      <c r="H295" s="17"/>
      <c r="I295" s="17"/>
      <c r="J295" s="17" t="b">
        <v>0</v>
      </c>
    </row>
    <row r="296">
      <c r="A296" s="17"/>
      <c r="B296" s="17"/>
      <c r="C296" s="17" t="str">
        <f>IFERROR(VLOOKUP(B296,'MASTER DATA'!$A$1:$E$212,2,FALSE),"")</f>
        <v/>
      </c>
      <c r="D296" s="17" t="str">
        <f>IFERROR(VLOOKUP(B296,'MASTER DATA'!$A$1:$E$212,5,FALSE),"")</f>
        <v/>
      </c>
      <c r="E296" s="17"/>
      <c r="F296" s="17" t="str">
        <f>IFERROR(VLOOKUP(B296,'MASTER DATA'!$A$1:$E$212,4,FALSE),"")</f>
        <v/>
      </c>
      <c r="G296" s="17"/>
      <c r="H296" s="17"/>
      <c r="I296" s="17"/>
      <c r="J296" s="17" t="b">
        <v>0</v>
      </c>
    </row>
    <row r="297">
      <c r="A297" s="17"/>
      <c r="B297" s="17"/>
      <c r="C297" s="17" t="str">
        <f>IFERROR(VLOOKUP(B297,'MASTER DATA'!$A$1:$E$212,2,FALSE),"")</f>
        <v/>
      </c>
      <c r="D297" s="17" t="str">
        <f>IFERROR(VLOOKUP(B297,'MASTER DATA'!$A$1:$E$212,5,FALSE),"")</f>
        <v/>
      </c>
      <c r="E297" s="17"/>
      <c r="F297" s="17" t="str">
        <f>IFERROR(VLOOKUP(B297,'MASTER DATA'!$A$1:$E$212,4,FALSE),"")</f>
        <v/>
      </c>
      <c r="G297" s="17"/>
      <c r="H297" s="17"/>
      <c r="I297" s="17"/>
      <c r="J297" s="17" t="b">
        <v>0</v>
      </c>
    </row>
    <row r="298">
      <c r="A298" s="17"/>
      <c r="B298" s="17"/>
      <c r="C298" s="17" t="str">
        <f>IFERROR(VLOOKUP(B298,'MASTER DATA'!$A$1:$E$212,2,FALSE),"")</f>
        <v/>
      </c>
      <c r="D298" s="17" t="str">
        <f>IFERROR(VLOOKUP(B298,'MASTER DATA'!$A$1:$E$212,5,FALSE),"")</f>
        <v/>
      </c>
      <c r="E298" s="17"/>
      <c r="F298" s="17" t="str">
        <f>IFERROR(VLOOKUP(B298,'MASTER DATA'!$A$1:$E$212,4,FALSE),"")</f>
        <v/>
      </c>
      <c r="G298" s="17"/>
      <c r="H298" s="17"/>
      <c r="I298" s="17"/>
      <c r="J298" s="17" t="b">
        <v>0</v>
      </c>
    </row>
    <row r="299">
      <c r="A299" s="17"/>
      <c r="B299" s="17"/>
      <c r="C299" s="17" t="str">
        <f>IFERROR(VLOOKUP(B299,'MASTER DATA'!$A$1:$E$212,2,FALSE),"")</f>
        <v/>
      </c>
      <c r="D299" s="17" t="str">
        <f>IFERROR(VLOOKUP(B299,'MASTER DATA'!$A$1:$E$212,5,FALSE),"")</f>
        <v/>
      </c>
      <c r="E299" s="17"/>
      <c r="F299" s="17" t="str">
        <f>IFERROR(VLOOKUP(B299,'MASTER DATA'!$A$1:$E$212,4,FALSE),"")</f>
        <v/>
      </c>
      <c r="G299" s="17"/>
      <c r="H299" s="17"/>
      <c r="I299" s="17"/>
      <c r="J299" s="17" t="b">
        <v>0</v>
      </c>
    </row>
    <row r="300">
      <c r="A300" s="17"/>
      <c r="B300" s="17"/>
      <c r="C300" s="17" t="str">
        <f>IFERROR(VLOOKUP(B300,'MASTER DATA'!$A$1:$E$212,2,FALSE),"")</f>
        <v/>
      </c>
      <c r="D300" s="17" t="str">
        <f>IFERROR(VLOOKUP(B300,'MASTER DATA'!$A$1:$E$212,5,FALSE),"")</f>
        <v/>
      </c>
      <c r="E300" s="17"/>
      <c r="F300" s="17" t="str">
        <f>IFERROR(VLOOKUP(B300,'MASTER DATA'!$A$1:$E$212,4,FALSE),"")</f>
        <v/>
      </c>
      <c r="G300" s="17"/>
      <c r="H300" s="17"/>
      <c r="I300" s="17"/>
      <c r="J300" s="17" t="b">
        <v>0</v>
      </c>
    </row>
    <row r="301">
      <c r="A301" s="17"/>
      <c r="B301" s="17"/>
      <c r="C301" s="17" t="str">
        <f>IFERROR(VLOOKUP(B301,'MASTER DATA'!$A$1:$E$212,2,FALSE),"")</f>
        <v/>
      </c>
      <c r="D301" s="17" t="str">
        <f>IFERROR(VLOOKUP(B301,'MASTER DATA'!$A$1:$E$212,5,FALSE),"")</f>
        <v/>
      </c>
      <c r="E301" s="17"/>
      <c r="F301" s="17" t="str">
        <f>IFERROR(VLOOKUP(B301,'MASTER DATA'!$A$1:$E$212,4,FALSE),"")</f>
        <v/>
      </c>
      <c r="G301" s="17"/>
      <c r="H301" s="17"/>
      <c r="I301" s="17"/>
      <c r="J301" s="17" t="b">
        <v>0</v>
      </c>
    </row>
    <row r="302">
      <c r="A302" s="17"/>
      <c r="B302" s="17"/>
      <c r="C302" s="17" t="str">
        <f>IFERROR(VLOOKUP(B302,'MASTER DATA'!$A$1:$E$212,2,FALSE),"")</f>
        <v/>
      </c>
      <c r="D302" s="17" t="str">
        <f>IFERROR(VLOOKUP(B302,'MASTER DATA'!$A$1:$E$212,5,FALSE),"")</f>
        <v/>
      </c>
      <c r="E302" s="17"/>
      <c r="F302" s="17" t="str">
        <f>IFERROR(VLOOKUP(B302,'MASTER DATA'!$A$1:$E$212,4,FALSE),"")</f>
        <v/>
      </c>
      <c r="G302" s="17"/>
      <c r="H302" s="17"/>
      <c r="I302" s="17"/>
      <c r="J302" s="17" t="b">
        <v>0</v>
      </c>
    </row>
    <row r="303">
      <c r="A303" s="17"/>
      <c r="B303" s="17"/>
      <c r="C303" s="17" t="str">
        <f>IFERROR(VLOOKUP(B303,'MASTER DATA'!$A$1:$E$212,2,FALSE),"")</f>
        <v/>
      </c>
      <c r="D303" s="17" t="str">
        <f>IFERROR(VLOOKUP(B303,'MASTER DATA'!$A$1:$E$212,5,FALSE),"")</f>
        <v/>
      </c>
      <c r="E303" s="17"/>
      <c r="F303" s="17" t="str">
        <f>IFERROR(VLOOKUP(B303,'MASTER DATA'!$A$1:$E$212,4,FALSE),"")</f>
        <v/>
      </c>
      <c r="G303" s="17"/>
      <c r="H303" s="17"/>
      <c r="I303" s="17"/>
      <c r="J303" s="17" t="b">
        <v>0</v>
      </c>
    </row>
    <row r="304">
      <c r="A304" s="17"/>
      <c r="B304" s="17"/>
      <c r="C304" s="17" t="str">
        <f>IFERROR(VLOOKUP(B304,'MASTER DATA'!$A$1:$E$212,2,FALSE),"")</f>
        <v/>
      </c>
      <c r="D304" s="17" t="str">
        <f>IFERROR(VLOOKUP(B304,'MASTER DATA'!$A$1:$E$212,5,FALSE),"")</f>
        <v/>
      </c>
      <c r="E304" s="17"/>
      <c r="F304" s="17" t="str">
        <f>IFERROR(VLOOKUP(B304,'MASTER DATA'!$A$1:$E$212,4,FALSE),"")</f>
        <v/>
      </c>
      <c r="G304" s="17"/>
      <c r="H304" s="17"/>
      <c r="I304" s="17"/>
      <c r="J304" s="17" t="b">
        <v>0</v>
      </c>
    </row>
    <row r="305">
      <c r="A305" s="17"/>
      <c r="B305" s="17"/>
      <c r="C305" s="17" t="str">
        <f>IFERROR(VLOOKUP(B305,'MASTER DATA'!$A$1:$E$212,2,FALSE),"")</f>
        <v/>
      </c>
      <c r="D305" s="17" t="str">
        <f>IFERROR(VLOOKUP(B305,'MASTER DATA'!$A$1:$E$212,5,FALSE),"")</f>
        <v/>
      </c>
      <c r="E305" s="17"/>
      <c r="F305" s="17" t="str">
        <f>IFERROR(VLOOKUP(B305,'MASTER DATA'!$A$1:$E$212,4,FALSE),"")</f>
        <v/>
      </c>
      <c r="G305" s="17"/>
      <c r="H305" s="17"/>
      <c r="I305" s="17"/>
      <c r="J305" s="17" t="b">
        <v>0</v>
      </c>
    </row>
    <row r="306">
      <c r="A306" s="17"/>
      <c r="B306" s="17"/>
      <c r="C306" s="17" t="str">
        <f>IFERROR(VLOOKUP(B306,'MASTER DATA'!$A$1:$E$212,2,FALSE),"")</f>
        <v/>
      </c>
      <c r="D306" s="17" t="str">
        <f>IFERROR(VLOOKUP(B306,'MASTER DATA'!$A$1:$E$212,5,FALSE),"")</f>
        <v/>
      </c>
      <c r="E306" s="17"/>
      <c r="F306" s="17" t="str">
        <f>IFERROR(VLOOKUP(B306,'MASTER DATA'!$A$1:$E$212,4,FALSE),"")</f>
        <v/>
      </c>
      <c r="G306" s="17"/>
      <c r="H306" s="17"/>
      <c r="I306" s="17"/>
      <c r="J306" s="17" t="b">
        <v>0</v>
      </c>
    </row>
    <row r="307">
      <c r="A307" s="17"/>
      <c r="B307" s="17"/>
      <c r="C307" s="17" t="str">
        <f>IFERROR(VLOOKUP(B307,'MASTER DATA'!$A$1:$E$212,2,FALSE),"")</f>
        <v/>
      </c>
      <c r="D307" s="17" t="str">
        <f>IFERROR(VLOOKUP(B307,'MASTER DATA'!$A$1:$E$212,5,FALSE),"")</f>
        <v/>
      </c>
      <c r="E307" s="17"/>
      <c r="F307" s="17" t="str">
        <f>IFERROR(VLOOKUP(B307,'MASTER DATA'!$A$1:$E$212,4,FALSE),"")</f>
        <v/>
      </c>
      <c r="G307" s="17"/>
      <c r="H307" s="17"/>
      <c r="I307" s="17"/>
      <c r="J307" s="17" t="b">
        <v>0</v>
      </c>
    </row>
    <row r="308">
      <c r="A308" s="17"/>
      <c r="B308" s="17"/>
      <c r="C308" s="17" t="str">
        <f>IFERROR(VLOOKUP(B308,'MASTER DATA'!$A$1:$E$212,2,FALSE),"")</f>
        <v/>
      </c>
      <c r="D308" s="17" t="str">
        <f>IFERROR(VLOOKUP(B308,'MASTER DATA'!$A$1:$E$212,5,FALSE),"")</f>
        <v/>
      </c>
      <c r="E308" s="17"/>
      <c r="F308" s="17" t="str">
        <f>IFERROR(VLOOKUP(B308,'MASTER DATA'!$A$1:$E$212,4,FALSE),"")</f>
        <v/>
      </c>
      <c r="G308" s="17"/>
      <c r="H308" s="17"/>
      <c r="I308" s="17"/>
      <c r="J308" s="17" t="b">
        <v>0</v>
      </c>
    </row>
    <row r="309">
      <c r="A309" s="17"/>
      <c r="B309" s="17"/>
      <c r="C309" s="17" t="str">
        <f>IFERROR(VLOOKUP(B309,'MASTER DATA'!$A$1:$E$212,2,FALSE),"")</f>
        <v/>
      </c>
      <c r="D309" s="17" t="str">
        <f>IFERROR(VLOOKUP(B309,'MASTER DATA'!$A$1:$E$212,5,FALSE),"")</f>
        <v/>
      </c>
      <c r="E309" s="17"/>
      <c r="F309" s="17" t="str">
        <f>IFERROR(VLOOKUP(B309,'MASTER DATA'!$A$1:$E$212,4,FALSE),"")</f>
        <v/>
      </c>
      <c r="G309" s="17"/>
      <c r="H309" s="17"/>
      <c r="I309" s="17"/>
      <c r="J309" s="17" t="b">
        <v>0</v>
      </c>
    </row>
    <row r="310">
      <c r="A310" s="17"/>
      <c r="B310" s="17"/>
      <c r="C310" s="17" t="str">
        <f>IFERROR(VLOOKUP(B310,'MASTER DATA'!$A$1:$E$212,2,FALSE),"")</f>
        <v/>
      </c>
      <c r="D310" s="17" t="str">
        <f>IFERROR(VLOOKUP(B310,'MASTER DATA'!$A$1:$E$212,5,FALSE),"")</f>
        <v/>
      </c>
      <c r="E310" s="17"/>
      <c r="F310" s="17" t="str">
        <f>IFERROR(VLOOKUP(B310,'MASTER DATA'!$A$1:$E$212,4,FALSE),"")</f>
        <v/>
      </c>
      <c r="G310" s="17"/>
      <c r="H310" s="17"/>
      <c r="I310" s="17"/>
      <c r="J310" s="17" t="b">
        <v>0</v>
      </c>
    </row>
    <row r="311">
      <c r="A311" s="17"/>
      <c r="B311" s="17"/>
      <c r="C311" s="17" t="str">
        <f>IFERROR(VLOOKUP(B311,'MASTER DATA'!$A$1:$E$212,2,FALSE),"")</f>
        <v/>
      </c>
      <c r="D311" s="17" t="str">
        <f>IFERROR(VLOOKUP(B311,'MASTER DATA'!$A$1:$E$212,5,FALSE),"")</f>
        <v/>
      </c>
      <c r="E311" s="17"/>
      <c r="F311" s="17" t="str">
        <f>IFERROR(VLOOKUP(B311,'MASTER DATA'!$A$1:$E$212,4,FALSE),"")</f>
        <v/>
      </c>
      <c r="G311" s="17"/>
      <c r="H311" s="17"/>
      <c r="I311" s="17"/>
      <c r="J311" s="17" t="b">
        <v>0</v>
      </c>
    </row>
    <row r="312">
      <c r="A312" s="17"/>
      <c r="B312" s="17"/>
      <c r="C312" s="17" t="str">
        <f>IFERROR(VLOOKUP(B312,'MASTER DATA'!$A$1:$E$212,2,FALSE),"")</f>
        <v/>
      </c>
      <c r="D312" s="17" t="str">
        <f>IFERROR(VLOOKUP(B312,'MASTER DATA'!$A$1:$E$212,5,FALSE),"")</f>
        <v/>
      </c>
      <c r="E312" s="17"/>
      <c r="F312" s="17" t="str">
        <f>IFERROR(VLOOKUP(B312,'MASTER DATA'!$A$1:$E$212,4,FALSE),"")</f>
        <v/>
      </c>
      <c r="G312" s="17"/>
      <c r="H312" s="17"/>
      <c r="I312" s="17"/>
      <c r="J312" s="17" t="b">
        <v>0</v>
      </c>
    </row>
    <row r="313">
      <c r="A313" s="17"/>
      <c r="B313" s="17"/>
      <c r="C313" s="17" t="str">
        <f>IFERROR(VLOOKUP(B313,'MASTER DATA'!$A$1:$E$212,2,FALSE),"")</f>
        <v/>
      </c>
      <c r="D313" s="17" t="str">
        <f>IFERROR(VLOOKUP(B313,'MASTER DATA'!$A$1:$E$212,5,FALSE),"")</f>
        <v/>
      </c>
      <c r="E313" s="17"/>
      <c r="F313" s="17" t="str">
        <f>IFERROR(VLOOKUP(B313,'MASTER DATA'!$A$1:$E$212,4,FALSE),"")</f>
        <v/>
      </c>
      <c r="G313" s="17"/>
      <c r="H313" s="17"/>
      <c r="I313" s="17"/>
      <c r="J313" s="17" t="b">
        <v>0</v>
      </c>
    </row>
    <row r="314">
      <c r="A314" s="17"/>
      <c r="B314" s="17"/>
      <c r="C314" s="17" t="str">
        <f>IFERROR(VLOOKUP(B314,'MASTER DATA'!$A$1:$E$212,2,FALSE),"")</f>
        <v/>
      </c>
      <c r="D314" s="17" t="str">
        <f>IFERROR(VLOOKUP(B314,'MASTER DATA'!$A$1:$E$212,5,FALSE),"")</f>
        <v/>
      </c>
      <c r="E314" s="17"/>
      <c r="F314" s="17" t="str">
        <f>IFERROR(VLOOKUP(B314,'MASTER DATA'!$A$1:$E$212,4,FALSE),"")</f>
        <v/>
      </c>
      <c r="G314" s="17"/>
      <c r="H314" s="17"/>
      <c r="I314" s="17"/>
      <c r="J314" s="17" t="b">
        <v>0</v>
      </c>
    </row>
    <row r="315">
      <c r="A315" s="17"/>
      <c r="B315" s="17"/>
      <c r="C315" s="17" t="str">
        <f>IFERROR(VLOOKUP(B315,'MASTER DATA'!$A$1:$E$212,2,FALSE),"")</f>
        <v/>
      </c>
      <c r="D315" s="17" t="str">
        <f>IFERROR(VLOOKUP(B315,'MASTER DATA'!$A$1:$E$212,5,FALSE),"")</f>
        <v/>
      </c>
      <c r="E315" s="17"/>
      <c r="F315" s="17" t="str">
        <f>IFERROR(VLOOKUP(B315,'MASTER DATA'!$A$1:$E$212,4,FALSE),"")</f>
        <v/>
      </c>
      <c r="G315" s="17"/>
      <c r="H315" s="17"/>
      <c r="I315" s="17"/>
      <c r="J315" s="17" t="b">
        <v>0</v>
      </c>
    </row>
    <row r="316">
      <c r="A316" s="17"/>
      <c r="B316" s="17"/>
      <c r="C316" s="17" t="str">
        <f>IFERROR(VLOOKUP(B316,'MASTER DATA'!$A$1:$E$212,2,FALSE),"")</f>
        <v/>
      </c>
      <c r="D316" s="17" t="str">
        <f>IFERROR(VLOOKUP(B316,'MASTER DATA'!$A$1:$E$212,5,FALSE),"")</f>
        <v/>
      </c>
      <c r="E316" s="17"/>
      <c r="F316" s="17" t="str">
        <f>IFERROR(VLOOKUP(B316,'MASTER DATA'!$A$1:$E$212,4,FALSE),"")</f>
        <v/>
      </c>
      <c r="G316" s="17"/>
      <c r="H316" s="17"/>
      <c r="I316" s="17"/>
      <c r="J316" s="17" t="b">
        <v>0</v>
      </c>
    </row>
    <row r="317">
      <c r="A317" s="17"/>
      <c r="B317" s="17"/>
      <c r="C317" s="17" t="str">
        <f>IFERROR(VLOOKUP(B317,'MASTER DATA'!$A$1:$E$212,2,FALSE),"")</f>
        <v/>
      </c>
      <c r="D317" s="17" t="str">
        <f>IFERROR(VLOOKUP(B317,'MASTER DATA'!$A$1:$E$212,5,FALSE),"")</f>
        <v/>
      </c>
      <c r="E317" s="17"/>
      <c r="F317" s="17" t="str">
        <f>IFERROR(VLOOKUP(B317,'MASTER DATA'!$A$1:$E$212,4,FALSE),"")</f>
        <v/>
      </c>
      <c r="G317" s="17"/>
      <c r="H317" s="17"/>
      <c r="I317" s="17"/>
      <c r="J317" s="17" t="b">
        <v>0</v>
      </c>
    </row>
    <row r="318">
      <c r="A318" s="17"/>
      <c r="B318" s="17"/>
      <c r="C318" s="17" t="str">
        <f>IFERROR(VLOOKUP(B318,'MASTER DATA'!$A$1:$E$212,2,FALSE),"")</f>
        <v/>
      </c>
      <c r="D318" s="17" t="str">
        <f>IFERROR(VLOOKUP(B318,'MASTER DATA'!$A$1:$E$212,5,FALSE),"")</f>
        <v/>
      </c>
      <c r="E318" s="17"/>
      <c r="F318" s="17" t="str">
        <f>IFERROR(VLOOKUP(B318,'MASTER DATA'!$A$1:$E$212,4,FALSE),"")</f>
        <v/>
      </c>
      <c r="G318" s="17"/>
      <c r="H318" s="17"/>
      <c r="I318" s="17"/>
      <c r="J318" s="17" t="b">
        <v>0</v>
      </c>
    </row>
    <row r="319">
      <c r="A319" s="17"/>
      <c r="B319" s="17"/>
      <c r="C319" s="17" t="str">
        <f>IFERROR(VLOOKUP(B319,'MASTER DATA'!$A$1:$E$212,2,FALSE),"")</f>
        <v/>
      </c>
      <c r="D319" s="17" t="str">
        <f>IFERROR(VLOOKUP(B319,'MASTER DATA'!$A$1:$E$212,5,FALSE),"")</f>
        <v/>
      </c>
      <c r="E319" s="17"/>
      <c r="F319" s="17" t="str">
        <f>IFERROR(VLOOKUP(B319,'MASTER DATA'!$A$1:$E$212,4,FALSE),"")</f>
        <v/>
      </c>
      <c r="G319" s="17"/>
      <c r="H319" s="17"/>
      <c r="I319" s="17"/>
      <c r="J319" s="17" t="b">
        <v>0</v>
      </c>
    </row>
    <row r="320">
      <c r="A320" s="17"/>
      <c r="B320" s="17"/>
      <c r="C320" s="17" t="str">
        <f>IFERROR(VLOOKUP(B320,'MASTER DATA'!$A$1:$E$212,2,FALSE),"")</f>
        <v/>
      </c>
      <c r="D320" s="17" t="str">
        <f>IFERROR(VLOOKUP(B320,'MASTER DATA'!$A$1:$E$212,5,FALSE),"")</f>
        <v/>
      </c>
      <c r="E320" s="17"/>
      <c r="F320" s="17" t="str">
        <f>IFERROR(VLOOKUP(B320,'MASTER DATA'!$A$1:$E$212,4,FALSE),"")</f>
        <v/>
      </c>
      <c r="G320" s="17"/>
      <c r="H320" s="17"/>
      <c r="I320" s="17"/>
      <c r="J320" s="17" t="b">
        <v>0</v>
      </c>
    </row>
    <row r="321">
      <c r="A321" s="17"/>
      <c r="B321" s="17"/>
      <c r="C321" s="17" t="str">
        <f>IFERROR(VLOOKUP(B321,'MASTER DATA'!$A$1:$E$212,2,FALSE),"")</f>
        <v/>
      </c>
      <c r="D321" s="17" t="str">
        <f>IFERROR(VLOOKUP(B321,'MASTER DATA'!$A$1:$E$212,5,FALSE),"")</f>
        <v/>
      </c>
      <c r="E321" s="17"/>
      <c r="F321" s="17" t="str">
        <f>IFERROR(VLOOKUP(B321,'MASTER DATA'!$A$1:$E$212,4,FALSE),"")</f>
        <v/>
      </c>
      <c r="G321" s="17"/>
      <c r="H321" s="17"/>
      <c r="I321" s="17"/>
      <c r="J321" s="17" t="b">
        <v>0</v>
      </c>
    </row>
    <row r="322">
      <c r="A322" s="17"/>
      <c r="B322" s="17"/>
      <c r="C322" s="17" t="str">
        <f>IFERROR(VLOOKUP(B322,'MASTER DATA'!$A$1:$E$212,2,FALSE),"")</f>
        <v/>
      </c>
      <c r="D322" s="17" t="str">
        <f>IFERROR(VLOOKUP(B322,'MASTER DATA'!$A$1:$E$212,5,FALSE),"")</f>
        <v/>
      </c>
      <c r="E322" s="17"/>
      <c r="F322" s="17" t="str">
        <f>IFERROR(VLOOKUP(B322,'MASTER DATA'!$A$1:$E$212,4,FALSE),"")</f>
        <v/>
      </c>
      <c r="G322" s="17"/>
      <c r="H322" s="17"/>
      <c r="I322" s="17"/>
      <c r="J322" s="17" t="b">
        <v>0</v>
      </c>
    </row>
    <row r="323">
      <c r="A323" s="17"/>
      <c r="B323" s="17"/>
      <c r="C323" s="17" t="str">
        <f>IFERROR(VLOOKUP(B323,'MASTER DATA'!$A$1:$E$212,2,FALSE),"")</f>
        <v/>
      </c>
      <c r="D323" s="17" t="str">
        <f>IFERROR(VLOOKUP(B323,'MASTER DATA'!$A$1:$E$212,5,FALSE),"")</f>
        <v/>
      </c>
      <c r="E323" s="17"/>
      <c r="F323" s="17" t="str">
        <f>IFERROR(VLOOKUP(B323,'MASTER DATA'!$A$1:$E$212,4,FALSE),"")</f>
        <v/>
      </c>
      <c r="G323" s="17"/>
      <c r="H323" s="17"/>
      <c r="I323" s="17"/>
      <c r="J323" s="17" t="b">
        <v>0</v>
      </c>
    </row>
    <row r="324">
      <c r="A324" s="17"/>
      <c r="B324" s="17"/>
      <c r="C324" s="17" t="str">
        <f>IFERROR(VLOOKUP(B324,'MASTER DATA'!$A$1:$E$212,2,FALSE),"")</f>
        <v/>
      </c>
      <c r="D324" s="17" t="str">
        <f>IFERROR(VLOOKUP(B324,'MASTER DATA'!$A$1:$E$212,5,FALSE),"")</f>
        <v/>
      </c>
      <c r="E324" s="17"/>
      <c r="F324" s="17" t="str">
        <f>IFERROR(VLOOKUP(B324,'MASTER DATA'!$A$1:$E$212,4,FALSE),"")</f>
        <v/>
      </c>
      <c r="G324" s="17"/>
      <c r="H324" s="17"/>
      <c r="I324" s="17"/>
      <c r="J324" s="17" t="b">
        <v>0</v>
      </c>
    </row>
    <row r="325">
      <c r="A325" s="17"/>
      <c r="B325" s="17"/>
      <c r="C325" s="17" t="str">
        <f>IFERROR(VLOOKUP(B325,'MASTER DATA'!$A$1:$E$212,2,FALSE),"")</f>
        <v/>
      </c>
      <c r="D325" s="17" t="str">
        <f>IFERROR(VLOOKUP(B325,'MASTER DATA'!$A$1:$E$212,5,FALSE),"")</f>
        <v/>
      </c>
      <c r="E325" s="17"/>
      <c r="F325" s="17" t="str">
        <f>IFERROR(VLOOKUP(B325,'MASTER DATA'!$A$1:$E$212,4,FALSE),"")</f>
        <v/>
      </c>
      <c r="G325" s="17"/>
      <c r="H325" s="17"/>
      <c r="I325" s="17"/>
      <c r="J325" s="17" t="b">
        <v>0</v>
      </c>
    </row>
    <row r="326">
      <c r="A326" s="17"/>
      <c r="B326" s="17"/>
      <c r="C326" s="17" t="str">
        <f>IFERROR(VLOOKUP(B326,'MASTER DATA'!$A$1:$E$212,2,FALSE),"")</f>
        <v/>
      </c>
      <c r="D326" s="17" t="str">
        <f>IFERROR(VLOOKUP(B326,'MASTER DATA'!$A$1:$E$212,5,FALSE),"")</f>
        <v/>
      </c>
      <c r="E326" s="17"/>
      <c r="F326" s="17" t="str">
        <f>IFERROR(VLOOKUP(B326,'MASTER DATA'!$A$1:$E$212,4,FALSE),"")</f>
        <v/>
      </c>
      <c r="G326" s="17"/>
      <c r="H326" s="17"/>
      <c r="I326" s="17"/>
      <c r="J326" s="17" t="b">
        <v>0</v>
      </c>
    </row>
    <row r="327">
      <c r="A327" s="17"/>
      <c r="B327" s="17"/>
      <c r="C327" s="17" t="str">
        <f>IFERROR(VLOOKUP(B327,'MASTER DATA'!$A$1:$E$212,2,FALSE),"")</f>
        <v/>
      </c>
      <c r="D327" s="17" t="str">
        <f>IFERROR(VLOOKUP(B327,'MASTER DATA'!$A$1:$E$212,5,FALSE),"")</f>
        <v/>
      </c>
      <c r="E327" s="17"/>
      <c r="F327" s="17" t="str">
        <f>IFERROR(VLOOKUP(B327,'MASTER DATA'!$A$1:$E$212,4,FALSE),"")</f>
        <v/>
      </c>
      <c r="G327" s="17"/>
      <c r="H327" s="17"/>
      <c r="I327" s="17"/>
      <c r="J327" s="17" t="b">
        <v>0</v>
      </c>
    </row>
    <row r="328">
      <c r="A328" s="17"/>
      <c r="B328" s="17"/>
      <c r="C328" s="17" t="str">
        <f>IFERROR(VLOOKUP(B328,'MASTER DATA'!$A$1:$E$212,2,FALSE),"")</f>
        <v/>
      </c>
      <c r="D328" s="17" t="str">
        <f>IFERROR(VLOOKUP(B328,'MASTER DATA'!$A$1:$E$212,5,FALSE),"")</f>
        <v/>
      </c>
      <c r="E328" s="17"/>
      <c r="F328" s="17" t="str">
        <f>IFERROR(VLOOKUP(B328,'MASTER DATA'!$A$1:$E$212,4,FALSE),"")</f>
        <v/>
      </c>
      <c r="G328" s="17"/>
      <c r="H328" s="17"/>
      <c r="I328" s="17"/>
      <c r="J328" s="17" t="b">
        <v>0</v>
      </c>
    </row>
    <row r="329">
      <c r="A329" s="17"/>
      <c r="B329" s="17"/>
      <c r="C329" s="17" t="str">
        <f>IFERROR(VLOOKUP(B329,'MASTER DATA'!$A$1:$E$212,2,FALSE),"")</f>
        <v/>
      </c>
      <c r="D329" s="17" t="str">
        <f>IFERROR(VLOOKUP(B329,'MASTER DATA'!$A$1:$E$212,5,FALSE),"")</f>
        <v/>
      </c>
      <c r="E329" s="17"/>
      <c r="F329" s="17" t="str">
        <f>IFERROR(VLOOKUP(B329,'MASTER DATA'!$A$1:$E$212,4,FALSE),"")</f>
        <v/>
      </c>
      <c r="G329" s="17"/>
      <c r="H329" s="17"/>
      <c r="I329" s="17"/>
      <c r="J329" s="17" t="b">
        <v>0</v>
      </c>
    </row>
    <row r="330">
      <c r="A330" s="17"/>
      <c r="B330" s="17"/>
      <c r="C330" s="17" t="str">
        <f>IFERROR(VLOOKUP(B330,'MASTER DATA'!$A$1:$E$212,2,FALSE),"")</f>
        <v/>
      </c>
      <c r="D330" s="17" t="str">
        <f>IFERROR(VLOOKUP(B330,'MASTER DATA'!$A$1:$E$212,5,FALSE),"")</f>
        <v/>
      </c>
      <c r="E330" s="17"/>
      <c r="F330" s="17" t="str">
        <f>IFERROR(VLOOKUP(B330,'MASTER DATA'!$A$1:$E$212,4,FALSE),"")</f>
        <v/>
      </c>
      <c r="G330" s="17"/>
      <c r="H330" s="17"/>
      <c r="I330" s="17"/>
      <c r="J330" s="17" t="b">
        <v>0</v>
      </c>
    </row>
    <row r="331">
      <c r="A331" s="17"/>
      <c r="B331" s="17"/>
      <c r="C331" s="17" t="str">
        <f>IFERROR(VLOOKUP(B331,'MASTER DATA'!$A$1:$E$212,2,FALSE),"")</f>
        <v/>
      </c>
      <c r="D331" s="17" t="str">
        <f>IFERROR(VLOOKUP(B331,'MASTER DATA'!$A$1:$E$212,5,FALSE),"")</f>
        <v/>
      </c>
      <c r="E331" s="17"/>
      <c r="F331" s="17" t="str">
        <f>IFERROR(VLOOKUP(B331,'MASTER DATA'!$A$1:$E$212,4,FALSE),"")</f>
        <v/>
      </c>
      <c r="G331" s="17"/>
      <c r="H331" s="17"/>
      <c r="I331" s="17"/>
      <c r="J331" s="17" t="b">
        <v>0</v>
      </c>
    </row>
    <row r="332">
      <c r="A332" s="17"/>
      <c r="B332" s="17"/>
      <c r="C332" s="17" t="str">
        <f>IFERROR(VLOOKUP(B332,'MASTER DATA'!$A$1:$E$212,2,FALSE),"")</f>
        <v/>
      </c>
      <c r="D332" s="17" t="str">
        <f>IFERROR(VLOOKUP(B332,'MASTER DATA'!$A$1:$E$212,5,FALSE),"")</f>
        <v/>
      </c>
      <c r="E332" s="17"/>
      <c r="F332" s="17" t="str">
        <f>IFERROR(VLOOKUP(B332,'MASTER DATA'!$A$1:$E$212,4,FALSE),"")</f>
        <v/>
      </c>
      <c r="G332" s="17"/>
      <c r="H332" s="17"/>
      <c r="I332" s="17"/>
      <c r="J332" s="17" t="b">
        <v>0</v>
      </c>
    </row>
    <row r="333">
      <c r="A333" s="17"/>
      <c r="B333" s="17"/>
      <c r="C333" s="17" t="str">
        <f>IFERROR(VLOOKUP(B333,'MASTER DATA'!$A$1:$E$212,2,FALSE),"")</f>
        <v/>
      </c>
      <c r="D333" s="17" t="str">
        <f>IFERROR(VLOOKUP(B333,'MASTER DATA'!$A$1:$E$212,5,FALSE),"")</f>
        <v/>
      </c>
      <c r="E333" s="17"/>
      <c r="F333" s="17" t="str">
        <f>IFERROR(VLOOKUP(B333,'MASTER DATA'!$A$1:$E$212,4,FALSE),"")</f>
        <v/>
      </c>
      <c r="G333" s="17"/>
      <c r="H333" s="17"/>
      <c r="I333" s="17"/>
      <c r="J333" s="17" t="b">
        <v>0</v>
      </c>
    </row>
    <row r="334">
      <c r="A334" s="17"/>
      <c r="B334" s="17"/>
      <c r="C334" s="17" t="str">
        <f>IFERROR(VLOOKUP(B334,'MASTER DATA'!$A$1:$E$212,2,FALSE),"")</f>
        <v/>
      </c>
      <c r="D334" s="17" t="str">
        <f>IFERROR(VLOOKUP(B334,'MASTER DATA'!$A$1:$E$212,5,FALSE),"")</f>
        <v/>
      </c>
      <c r="E334" s="17"/>
      <c r="F334" s="17" t="str">
        <f>IFERROR(VLOOKUP(B334,'MASTER DATA'!$A$1:$E$212,4,FALSE),"")</f>
        <v/>
      </c>
      <c r="G334" s="17"/>
      <c r="H334" s="17"/>
      <c r="I334" s="17"/>
      <c r="J334" s="17" t="b">
        <v>0</v>
      </c>
    </row>
    <row r="335">
      <c r="A335" s="17"/>
      <c r="B335" s="17"/>
      <c r="C335" s="17" t="str">
        <f>IFERROR(VLOOKUP(B335,'MASTER DATA'!$A$1:$E$212,2,FALSE),"")</f>
        <v/>
      </c>
      <c r="D335" s="17" t="str">
        <f>IFERROR(VLOOKUP(B335,'MASTER DATA'!$A$1:$E$212,5,FALSE),"")</f>
        <v/>
      </c>
      <c r="E335" s="17"/>
      <c r="F335" s="17" t="str">
        <f>IFERROR(VLOOKUP(B335,'MASTER DATA'!$A$1:$E$212,4,FALSE),"")</f>
        <v/>
      </c>
      <c r="G335" s="17"/>
      <c r="H335" s="17"/>
      <c r="I335" s="17"/>
      <c r="J335" s="17" t="b">
        <v>0</v>
      </c>
    </row>
    <row r="336">
      <c r="A336" s="17"/>
      <c r="B336" s="17"/>
      <c r="C336" s="17" t="str">
        <f>IFERROR(VLOOKUP(B336,'MASTER DATA'!$A$1:$E$212,2,FALSE),"")</f>
        <v/>
      </c>
      <c r="D336" s="17" t="str">
        <f>IFERROR(VLOOKUP(B336,'MASTER DATA'!$A$1:$E$212,5,FALSE),"")</f>
        <v/>
      </c>
      <c r="E336" s="17"/>
      <c r="F336" s="17" t="str">
        <f>IFERROR(VLOOKUP(B336,'MASTER DATA'!$A$1:$E$212,4,FALSE),"")</f>
        <v/>
      </c>
      <c r="G336" s="17"/>
      <c r="H336" s="17"/>
      <c r="I336" s="17"/>
      <c r="J336" s="17" t="b">
        <v>0</v>
      </c>
    </row>
    <row r="337">
      <c r="A337" s="17"/>
      <c r="B337" s="17"/>
      <c r="C337" s="17" t="str">
        <f>IFERROR(VLOOKUP(B337,'MASTER DATA'!$A$1:$E$212,2,FALSE),"")</f>
        <v/>
      </c>
      <c r="D337" s="17" t="str">
        <f>IFERROR(VLOOKUP(B337,'MASTER DATA'!$A$1:$E$212,5,FALSE),"")</f>
        <v/>
      </c>
      <c r="E337" s="17"/>
      <c r="F337" s="17" t="str">
        <f>IFERROR(VLOOKUP(B337,'MASTER DATA'!$A$1:$E$212,4,FALSE),"")</f>
        <v/>
      </c>
      <c r="G337" s="17"/>
      <c r="H337" s="17"/>
      <c r="I337" s="17"/>
      <c r="J337" s="17" t="b">
        <v>0</v>
      </c>
    </row>
    <row r="338">
      <c r="A338" s="17"/>
      <c r="B338" s="17"/>
      <c r="C338" s="17" t="str">
        <f>IFERROR(VLOOKUP(B338,'MASTER DATA'!$A$1:$E$212,2,FALSE),"")</f>
        <v/>
      </c>
      <c r="D338" s="17" t="str">
        <f>IFERROR(VLOOKUP(B338,'MASTER DATA'!$A$1:$E$212,5,FALSE),"")</f>
        <v/>
      </c>
      <c r="E338" s="17"/>
      <c r="F338" s="17" t="str">
        <f>IFERROR(VLOOKUP(B338,'MASTER DATA'!$A$1:$E$212,4,FALSE),"")</f>
        <v/>
      </c>
      <c r="G338" s="17"/>
      <c r="H338" s="17"/>
      <c r="I338" s="17"/>
      <c r="J338" s="17" t="b">
        <v>0</v>
      </c>
    </row>
    <row r="339">
      <c r="A339" s="17"/>
      <c r="B339" s="17"/>
      <c r="C339" s="17" t="str">
        <f>IFERROR(VLOOKUP(B339,'MASTER DATA'!$A$1:$E$212,2,FALSE),"")</f>
        <v/>
      </c>
      <c r="D339" s="17" t="str">
        <f>IFERROR(VLOOKUP(B339,'MASTER DATA'!$A$1:$E$212,5,FALSE),"")</f>
        <v/>
      </c>
      <c r="E339" s="17"/>
      <c r="F339" s="17" t="str">
        <f>IFERROR(VLOOKUP(B339,'MASTER DATA'!$A$1:$E$212,4,FALSE),"")</f>
        <v/>
      </c>
      <c r="G339" s="17"/>
      <c r="H339" s="17"/>
      <c r="I339" s="17"/>
      <c r="J339" s="17" t="b">
        <v>0</v>
      </c>
    </row>
    <row r="340">
      <c r="A340" s="17"/>
      <c r="B340" s="17"/>
      <c r="C340" s="17" t="str">
        <f>IFERROR(VLOOKUP(B340,'MASTER DATA'!$A$1:$E$212,2,FALSE),"")</f>
        <v/>
      </c>
      <c r="D340" s="17" t="str">
        <f>IFERROR(VLOOKUP(B340,'MASTER DATA'!$A$1:$E$212,5,FALSE),"")</f>
        <v/>
      </c>
      <c r="E340" s="17"/>
      <c r="F340" s="17" t="str">
        <f>IFERROR(VLOOKUP(B340,'MASTER DATA'!$A$1:$E$212,4,FALSE),"")</f>
        <v/>
      </c>
      <c r="G340" s="17"/>
      <c r="H340" s="17"/>
      <c r="I340" s="17"/>
      <c r="J340" s="17" t="b">
        <v>0</v>
      </c>
    </row>
    <row r="341">
      <c r="A341" s="17"/>
      <c r="B341" s="17"/>
      <c r="C341" s="17" t="str">
        <f>IFERROR(VLOOKUP(B341,'MASTER DATA'!$A$1:$E$212,2,FALSE),"")</f>
        <v/>
      </c>
      <c r="D341" s="17" t="str">
        <f>IFERROR(VLOOKUP(B341,'MASTER DATA'!$A$1:$E$212,5,FALSE),"")</f>
        <v/>
      </c>
      <c r="E341" s="17"/>
      <c r="F341" s="17" t="str">
        <f>IFERROR(VLOOKUP(B341,'MASTER DATA'!$A$1:$E$212,4,FALSE),"")</f>
        <v/>
      </c>
      <c r="G341" s="17"/>
      <c r="H341" s="17"/>
      <c r="I341" s="17"/>
      <c r="J341" s="17" t="b">
        <v>0</v>
      </c>
    </row>
    <row r="342">
      <c r="A342" s="17"/>
      <c r="B342" s="17"/>
      <c r="C342" s="17" t="str">
        <f>IFERROR(VLOOKUP(B342,'MASTER DATA'!$A$1:$E$212,2,FALSE),"")</f>
        <v/>
      </c>
      <c r="D342" s="17" t="str">
        <f>IFERROR(VLOOKUP(B342,'MASTER DATA'!$A$1:$E$212,5,FALSE),"")</f>
        <v/>
      </c>
      <c r="E342" s="17"/>
      <c r="F342" s="17" t="str">
        <f>IFERROR(VLOOKUP(B342,'MASTER DATA'!$A$1:$E$212,4,FALSE),"")</f>
        <v/>
      </c>
      <c r="G342" s="17"/>
      <c r="H342" s="17"/>
      <c r="I342" s="17"/>
      <c r="J342" s="17" t="b">
        <v>0</v>
      </c>
    </row>
    <row r="343">
      <c r="A343" s="17"/>
      <c r="B343" s="17"/>
      <c r="C343" s="17" t="str">
        <f>IFERROR(VLOOKUP(B343,'MASTER DATA'!$A$1:$E$212,2,FALSE),"")</f>
        <v/>
      </c>
      <c r="D343" s="17" t="str">
        <f>IFERROR(VLOOKUP(B343,'MASTER DATA'!$A$1:$E$212,5,FALSE),"")</f>
        <v/>
      </c>
      <c r="E343" s="17"/>
      <c r="F343" s="17" t="str">
        <f>IFERROR(VLOOKUP(B343,'MASTER DATA'!$A$1:$E$212,4,FALSE),"")</f>
        <v/>
      </c>
      <c r="G343" s="17"/>
      <c r="H343" s="17"/>
      <c r="I343" s="17"/>
      <c r="J343" s="17" t="b">
        <v>0</v>
      </c>
    </row>
    <row r="344">
      <c r="A344" s="17"/>
      <c r="B344" s="17"/>
      <c r="C344" s="17" t="str">
        <f>IFERROR(VLOOKUP(B344,'MASTER DATA'!$A$1:$E$212,2,FALSE),"")</f>
        <v/>
      </c>
      <c r="D344" s="17" t="str">
        <f>IFERROR(VLOOKUP(B344,'MASTER DATA'!$A$1:$E$212,5,FALSE),"")</f>
        <v/>
      </c>
      <c r="E344" s="17"/>
      <c r="F344" s="17" t="str">
        <f>IFERROR(VLOOKUP(B344,'MASTER DATA'!$A$1:$E$212,4,FALSE),"")</f>
        <v/>
      </c>
      <c r="G344" s="17"/>
      <c r="H344" s="17"/>
      <c r="I344" s="17"/>
      <c r="J344" s="17" t="b">
        <v>0</v>
      </c>
    </row>
    <row r="345">
      <c r="A345" s="17"/>
      <c r="B345" s="17"/>
      <c r="C345" s="17" t="str">
        <f>IFERROR(VLOOKUP(B345,'MASTER DATA'!$A$1:$E$212,2,FALSE),"")</f>
        <v/>
      </c>
      <c r="D345" s="17" t="str">
        <f>IFERROR(VLOOKUP(B345,'MASTER DATA'!$A$1:$E$212,5,FALSE),"")</f>
        <v/>
      </c>
      <c r="E345" s="17"/>
      <c r="F345" s="17" t="str">
        <f>IFERROR(VLOOKUP(B345,'MASTER DATA'!$A$1:$E$212,4,FALSE),"")</f>
        <v/>
      </c>
      <c r="G345" s="17"/>
      <c r="H345" s="17"/>
      <c r="I345" s="17"/>
      <c r="J345" s="17" t="b">
        <v>0</v>
      </c>
    </row>
    <row r="346">
      <c r="A346" s="17"/>
      <c r="B346" s="17"/>
      <c r="C346" s="17" t="str">
        <f>IFERROR(VLOOKUP(B346,'MASTER DATA'!$A$1:$E$212,2,FALSE),"")</f>
        <v/>
      </c>
      <c r="D346" s="17" t="str">
        <f>IFERROR(VLOOKUP(B346,'MASTER DATA'!$A$1:$E$212,5,FALSE),"")</f>
        <v/>
      </c>
      <c r="E346" s="17"/>
      <c r="F346" s="17" t="str">
        <f>IFERROR(VLOOKUP(B346,'MASTER DATA'!$A$1:$E$212,4,FALSE),"")</f>
        <v/>
      </c>
      <c r="G346" s="17"/>
      <c r="H346" s="17"/>
      <c r="I346" s="17"/>
      <c r="J346" s="17" t="b">
        <v>0</v>
      </c>
    </row>
    <row r="347">
      <c r="A347" s="17"/>
      <c r="B347" s="17"/>
      <c r="C347" s="17" t="str">
        <f>IFERROR(VLOOKUP(B347,'MASTER DATA'!$A$1:$E$212,2,FALSE),"")</f>
        <v/>
      </c>
      <c r="D347" s="17" t="str">
        <f>IFERROR(VLOOKUP(B347,'MASTER DATA'!$A$1:$E$212,5,FALSE),"")</f>
        <v/>
      </c>
      <c r="E347" s="17"/>
      <c r="F347" s="17" t="str">
        <f>IFERROR(VLOOKUP(B347,'MASTER DATA'!$A$1:$E$212,4,FALSE),"")</f>
        <v/>
      </c>
      <c r="G347" s="17"/>
      <c r="H347" s="17"/>
      <c r="I347" s="17"/>
      <c r="J347" s="17" t="b">
        <v>0</v>
      </c>
    </row>
    <row r="348">
      <c r="A348" s="17"/>
      <c r="B348" s="17"/>
      <c r="C348" s="17" t="str">
        <f>IFERROR(VLOOKUP(B348,'MASTER DATA'!$A$1:$E$212,2,FALSE),"")</f>
        <v/>
      </c>
      <c r="D348" s="17" t="str">
        <f>IFERROR(VLOOKUP(B348,'MASTER DATA'!$A$1:$E$212,5,FALSE),"")</f>
        <v/>
      </c>
      <c r="E348" s="17"/>
      <c r="F348" s="17" t="str">
        <f>IFERROR(VLOOKUP(B348,'MASTER DATA'!$A$1:$E$212,4,FALSE),"")</f>
        <v/>
      </c>
      <c r="G348" s="17"/>
      <c r="H348" s="17"/>
      <c r="I348" s="17"/>
      <c r="J348" s="17" t="b">
        <v>0</v>
      </c>
    </row>
    <row r="349">
      <c r="A349" s="17"/>
      <c r="B349" s="17"/>
      <c r="C349" s="17" t="str">
        <f>IFERROR(VLOOKUP(B349,'MASTER DATA'!$A$1:$E$212,2,FALSE),"")</f>
        <v/>
      </c>
      <c r="D349" s="17" t="str">
        <f>IFERROR(VLOOKUP(B349,'MASTER DATA'!$A$1:$E$212,5,FALSE),"")</f>
        <v/>
      </c>
      <c r="E349" s="17"/>
      <c r="F349" s="17" t="str">
        <f>IFERROR(VLOOKUP(B349,'MASTER DATA'!$A$1:$E$212,4,FALSE),"")</f>
        <v/>
      </c>
      <c r="G349" s="17"/>
      <c r="H349" s="17"/>
      <c r="I349" s="17"/>
      <c r="J349" s="17" t="b">
        <v>0</v>
      </c>
    </row>
    <row r="350">
      <c r="A350" s="17"/>
      <c r="B350" s="17"/>
      <c r="C350" s="17" t="str">
        <f>IFERROR(VLOOKUP(B350,'MASTER DATA'!$A$1:$E$212,2,FALSE),"")</f>
        <v/>
      </c>
      <c r="D350" s="17" t="str">
        <f>IFERROR(VLOOKUP(B350,'MASTER DATA'!$A$1:$E$212,5,FALSE),"")</f>
        <v/>
      </c>
      <c r="E350" s="17"/>
      <c r="F350" s="17" t="str">
        <f>IFERROR(VLOOKUP(B350,'MASTER DATA'!$A$1:$E$212,4,FALSE),"")</f>
        <v/>
      </c>
      <c r="G350" s="17"/>
      <c r="H350" s="17"/>
      <c r="I350" s="17"/>
      <c r="J350" s="17" t="b">
        <v>0</v>
      </c>
    </row>
    <row r="351">
      <c r="A351" s="17"/>
      <c r="B351" s="17"/>
      <c r="C351" s="17" t="str">
        <f>IFERROR(VLOOKUP(B351,'MASTER DATA'!$A$1:$E$212,2,FALSE),"")</f>
        <v/>
      </c>
      <c r="D351" s="17" t="str">
        <f>IFERROR(VLOOKUP(B351,'MASTER DATA'!$A$1:$E$212,5,FALSE),"")</f>
        <v/>
      </c>
      <c r="E351" s="17"/>
      <c r="F351" s="17" t="str">
        <f>IFERROR(VLOOKUP(B351,'MASTER DATA'!$A$1:$E$212,4,FALSE),"")</f>
        <v/>
      </c>
      <c r="G351" s="17"/>
      <c r="H351" s="17"/>
      <c r="I351" s="17"/>
      <c r="J351" s="17" t="b">
        <v>0</v>
      </c>
    </row>
    <row r="352">
      <c r="A352" s="17"/>
      <c r="B352" s="17"/>
      <c r="C352" s="17" t="str">
        <f>IFERROR(VLOOKUP(B352,'MASTER DATA'!$A$1:$E$212,2,FALSE),"")</f>
        <v/>
      </c>
      <c r="D352" s="17" t="str">
        <f>IFERROR(VLOOKUP(B352,'MASTER DATA'!$A$1:$E$212,5,FALSE),"")</f>
        <v/>
      </c>
      <c r="E352" s="17"/>
      <c r="F352" s="17" t="str">
        <f>IFERROR(VLOOKUP(B352,'MASTER DATA'!$A$1:$E$212,4,FALSE),"")</f>
        <v/>
      </c>
      <c r="G352" s="17"/>
      <c r="H352" s="17"/>
      <c r="I352" s="17"/>
      <c r="J352" s="17" t="b">
        <v>0</v>
      </c>
    </row>
    <row r="353">
      <c r="A353" s="17"/>
      <c r="B353" s="17"/>
      <c r="C353" s="17" t="str">
        <f>IFERROR(VLOOKUP(B353,'MASTER DATA'!$A$1:$E$212,2,FALSE),"")</f>
        <v/>
      </c>
      <c r="D353" s="17" t="str">
        <f>IFERROR(VLOOKUP(B353,'MASTER DATA'!$A$1:$E$212,5,FALSE),"")</f>
        <v/>
      </c>
      <c r="E353" s="17"/>
      <c r="F353" s="17" t="str">
        <f>IFERROR(VLOOKUP(B353,'MASTER DATA'!$A$1:$E$212,4,FALSE),"")</f>
        <v/>
      </c>
      <c r="G353" s="17"/>
      <c r="H353" s="17"/>
      <c r="I353" s="17"/>
      <c r="J353" s="17" t="b">
        <v>0</v>
      </c>
    </row>
    <row r="354">
      <c r="A354" s="17"/>
      <c r="B354" s="17"/>
      <c r="C354" s="17" t="str">
        <f>IFERROR(VLOOKUP(B354,'MASTER DATA'!$A$1:$E$212,2,FALSE),"")</f>
        <v/>
      </c>
      <c r="D354" s="17" t="str">
        <f>IFERROR(VLOOKUP(B354,'MASTER DATA'!$A$1:$E$212,5,FALSE),"")</f>
        <v/>
      </c>
      <c r="E354" s="17"/>
      <c r="F354" s="17" t="str">
        <f>IFERROR(VLOOKUP(B354,'MASTER DATA'!$A$1:$E$212,4,FALSE),"")</f>
        <v/>
      </c>
      <c r="G354" s="17"/>
      <c r="H354" s="17"/>
      <c r="I354" s="17"/>
      <c r="J354" s="17" t="b">
        <v>0</v>
      </c>
    </row>
    <row r="355">
      <c r="A355" s="17"/>
      <c r="B355" s="17"/>
      <c r="C355" s="17" t="str">
        <f>IFERROR(VLOOKUP(B355,'MASTER DATA'!$A$1:$E$212,2,FALSE),"")</f>
        <v/>
      </c>
      <c r="D355" s="17" t="str">
        <f>IFERROR(VLOOKUP(B355,'MASTER DATA'!$A$1:$E$212,5,FALSE),"")</f>
        <v/>
      </c>
      <c r="E355" s="17"/>
      <c r="F355" s="17" t="str">
        <f>IFERROR(VLOOKUP(B355,'MASTER DATA'!$A$1:$E$212,4,FALSE),"")</f>
        <v/>
      </c>
      <c r="G355" s="17"/>
      <c r="H355" s="17"/>
      <c r="I355" s="17"/>
      <c r="J355" s="17" t="b">
        <v>0</v>
      </c>
    </row>
    <row r="356">
      <c r="A356" s="17"/>
      <c r="B356" s="17"/>
      <c r="C356" s="17" t="str">
        <f>IFERROR(VLOOKUP(B356,'MASTER DATA'!$A$1:$E$212,2,FALSE),"")</f>
        <v/>
      </c>
      <c r="D356" s="17" t="str">
        <f>IFERROR(VLOOKUP(B356,'MASTER DATA'!$A$1:$E$212,5,FALSE),"")</f>
        <v/>
      </c>
      <c r="E356" s="17"/>
      <c r="F356" s="17" t="str">
        <f>IFERROR(VLOOKUP(B356,'MASTER DATA'!$A$1:$E$212,4,FALSE),"")</f>
        <v/>
      </c>
      <c r="G356" s="17"/>
      <c r="H356" s="17"/>
      <c r="I356" s="17"/>
      <c r="J356" s="17" t="b">
        <v>0</v>
      </c>
    </row>
    <row r="357">
      <c r="A357" s="17"/>
      <c r="B357" s="17"/>
      <c r="C357" s="17" t="str">
        <f>IFERROR(VLOOKUP(B357,'MASTER DATA'!$A$1:$E$212,2,FALSE),"")</f>
        <v/>
      </c>
      <c r="D357" s="17" t="str">
        <f>IFERROR(VLOOKUP(B357,'MASTER DATA'!$A$1:$E$212,5,FALSE),"")</f>
        <v/>
      </c>
      <c r="E357" s="17"/>
      <c r="F357" s="17" t="str">
        <f>IFERROR(VLOOKUP(B357,'MASTER DATA'!$A$1:$E$212,4,FALSE),"")</f>
        <v/>
      </c>
      <c r="G357" s="17"/>
      <c r="H357" s="17"/>
      <c r="I357" s="17"/>
      <c r="J357" s="17" t="b">
        <v>0</v>
      </c>
    </row>
    <row r="358">
      <c r="A358" s="17"/>
      <c r="B358" s="17"/>
      <c r="C358" s="17" t="str">
        <f>IFERROR(VLOOKUP(B358,'MASTER DATA'!$A$1:$E$212,2,FALSE),"")</f>
        <v/>
      </c>
      <c r="D358" s="17" t="str">
        <f>IFERROR(VLOOKUP(B358,'MASTER DATA'!$A$1:$E$212,5,FALSE),"")</f>
        <v/>
      </c>
      <c r="E358" s="17"/>
      <c r="F358" s="17" t="str">
        <f>IFERROR(VLOOKUP(B358,'MASTER DATA'!$A$1:$E$212,4,FALSE),"")</f>
        <v/>
      </c>
      <c r="G358" s="17"/>
      <c r="H358" s="17"/>
      <c r="I358" s="17"/>
      <c r="J358" s="17" t="b">
        <v>0</v>
      </c>
    </row>
    <row r="359">
      <c r="A359" s="17"/>
      <c r="B359" s="17"/>
      <c r="C359" s="17" t="str">
        <f>IFERROR(VLOOKUP(B359,'MASTER DATA'!$A$1:$E$212,2,FALSE),"")</f>
        <v/>
      </c>
      <c r="D359" s="17" t="str">
        <f>IFERROR(VLOOKUP(B359,'MASTER DATA'!$A$1:$E$212,5,FALSE),"")</f>
        <v/>
      </c>
      <c r="E359" s="17"/>
      <c r="F359" s="17" t="str">
        <f>IFERROR(VLOOKUP(B359,'MASTER DATA'!$A$1:$E$212,4,FALSE),"")</f>
        <v/>
      </c>
      <c r="G359" s="17"/>
      <c r="H359" s="17"/>
      <c r="I359" s="17"/>
      <c r="J359" s="17" t="b">
        <v>0</v>
      </c>
    </row>
    <row r="360">
      <c r="A360" s="17"/>
      <c r="B360" s="17"/>
      <c r="C360" s="17" t="str">
        <f>IFERROR(VLOOKUP(B360,'MASTER DATA'!$A$1:$E$212,2,FALSE),"")</f>
        <v/>
      </c>
      <c r="D360" s="17" t="str">
        <f>IFERROR(VLOOKUP(B360,'MASTER DATA'!$A$1:$E$212,5,FALSE),"")</f>
        <v/>
      </c>
      <c r="E360" s="17"/>
      <c r="F360" s="17" t="str">
        <f>IFERROR(VLOOKUP(B360,'MASTER DATA'!$A$1:$E$212,4,FALSE),"")</f>
        <v/>
      </c>
      <c r="G360" s="17"/>
      <c r="H360" s="17"/>
      <c r="I360" s="17"/>
      <c r="J360" s="17" t="b">
        <v>0</v>
      </c>
    </row>
    <row r="361">
      <c r="A361" s="17"/>
      <c r="B361" s="17"/>
      <c r="C361" s="17" t="str">
        <f>IFERROR(VLOOKUP(B361,'MASTER DATA'!$A$1:$E$212,2,FALSE),"")</f>
        <v/>
      </c>
      <c r="D361" s="17" t="str">
        <f>IFERROR(VLOOKUP(B361,'MASTER DATA'!$A$1:$E$212,5,FALSE),"")</f>
        <v/>
      </c>
      <c r="E361" s="17"/>
      <c r="F361" s="17" t="str">
        <f>IFERROR(VLOOKUP(B361,'MASTER DATA'!$A$1:$E$212,4,FALSE),"")</f>
        <v/>
      </c>
      <c r="G361" s="17"/>
      <c r="H361" s="17"/>
      <c r="I361" s="17"/>
      <c r="J361" s="17" t="b">
        <v>0</v>
      </c>
    </row>
    <row r="362">
      <c r="A362" s="17"/>
      <c r="B362" s="17"/>
      <c r="C362" s="17" t="str">
        <f>IFERROR(VLOOKUP(B362,'MASTER DATA'!$A$1:$E$212,2,FALSE),"")</f>
        <v/>
      </c>
      <c r="D362" s="17" t="str">
        <f>IFERROR(VLOOKUP(B362,'MASTER DATA'!$A$1:$E$212,5,FALSE),"")</f>
        <v/>
      </c>
      <c r="E362" s="17"/>
      <c r="F362" s="17" t="str">
        <f>IFERROR(VLOOKUP(B362,'MASTER DATA'!$A$1:$E$212,4,FALSE),"")</f>
        <v/>
      </c>
      <c r="G362" s="17"/>
      <c r="H362" s="17"/>
      <c r="I362" s="17"/>
      <c r="J362" s="17" t="b">
        <v>0</v>
      </c>
    </row>
    <row r="363">
      <c r="A363" s="17"/>
      <c r="B363" s="17"/>
      <c r="C363" s="17" t="str">
        <f>IFERROR(VLOOKUP(B363,'MASTER DATA'!$A$1:$E$212,2,FALSE),"")</f>
        <v/>
      </c>
      <c r="D363" s="17" t="str">
        <f>IFERROR(VLOOKUP(B363,'MASTER DATA'!$A$1:$E$212,5,FALSE),"")</f>
        <v/>
      </c>
      <c r="E363" s="17"/>
      <c r="F363" s="17" t="str">
        <f>IFERROR(VLOOKUP(B363,'MASTER DATA'!$A$1:$E$212,4,FALSE),"")</f>
        <v/>
      </c>
      <c r="G363" s="17"/>
      <c r="H363" s="17"/>
      <c r="I363" s="17"/>
      <c r="J363" s="17" t="b">
        <v>0</v>
      </c>
    </row>
    <row r="364">
      <c r="A364" s="17"/>
      <c r="B364" s="17"/>
      <c r="C364" s="17" t="str">
        <f>IFERROR(VLOOKUP(B364,'MASTER DATA'!$A$1:$E$212,2,FALSE),"")</f>
        <v/>
      </c>
      <c r="D364" s="17" t="str">
        <f>IFERROR(VLOOKUP(B364,'MASTER DATA'!$A$1:$E$212,5,FALSE),"")</f>
        <v/>
      </c>
      <c r="E364" s="17"/>
      <c r="F364" s="17" t="str">
        <f>IFERROR(VLOOKUP(B364,'MASTER DATA'!$A$1:$E$212,4,FALSE),"")</f>
        <v/>
      </c>
      <c r="G364" s="17"/>
      <c r="H364" s="17"/>
      <c r="I364" s="17"/>
      <c r="J364" s="17" t="b">
        <v>0</v>
      </c>
    </row>
    <row r="365">
      <c r="A365" s="17"/>
      <c r="B365" s="17"/>
      <c r="C365" s="17" t="str">
        <f>IFERROR(VLOOKUP(B365,'MASTER DATA'!$A$1:$E$212,2,FALSE),"")</f>
        <v/>
      </c>
      <c r="D365" s="17" t="str">
        <f>IFERROR(VLOOKUP(B365,'MASTER DATA'!$A$1:$E$212,5,FALSE),"")</f>
        <v/>
      </c>
      <c r="E365" s="17"/>
      <c r="F365" s="17" t="str">
        <f>IFERROR(VLOOKUP(B365,'MASTER DATA'!$A$1:$E$212,4,FALSE),"")</f>
        <v/>
      </c>
      <c r="G365" s="17"/>
      <c r="H365" s="17"/>
      <c r="I365" s="17"/>
      <c r="J365" s="17" t="b">
        <v>0</v>
      </c>
    </row>
    <row r="366">
      <c r="A366" s="17"/>
      <c r="B366" s="17"/>
      <c r="C366" s="17" t="str">
        <f>IFERROR(VLOOKUP(B366,'MASTER DATA'!$A$1:$E$212,2,FALSE),"")</f>
        <v/>
      </c>
      <c r="D366" s="17" t="str">
        <f>IFERROR(VLOOKUP(B366,'MASTER DATA'!$A$1:$E$212,5,FALSE),"")</f>
        <v/>
      </c>
      <c r="E366" s="17"/>
      <c r="F366" s="17" t="str">
        <f>IFERROR(VLOOKUP(B366,'MASTER DATA'!$A$1:$E$212,4,FALSE),"")</f>
        <v/>
      </c>
      <c r="G366" s="17"/>
      <c r="H366" s="17"/>
      <c r="I366" s="17"/>
      <c r="J366" s="17" t="b">
        <v>0</v>
      </c>
    </row>
    <row r="367">
      <c r="A367" s="17"/>
      <c r="B367" s="17"/>
      <c r="C367" s="17" t="str">
        <f>IFERROR(VLOOKUP(B367,'MASTER DATA'!$A$1:$E$212,2,FALSE),"")</f>
        <v/>
      </c>
      <c r="D367" s="17" t="str">
        <f>IFERROR(VLOOKUP(B367,'MASTER DATA'!$A$1:$E$212,5,FALSE),"")</f>
        <v/>
      </c>
      <c r="E367" s="17"/>
      <c r="F367" s="17" t="str">
        <f>IFERROR(VLOOKUP(B367,'MASTER DATA'!$A$1:$E$212,4,FALSE),"")</f>
        <v/>
      </c>
      <c r="G367" s="17"/>
      <c r="H367" s="17"/>
      <c r="I367" s="17"/>
      <c r="J367" s="17" t="b">
        <v>0</v>
      </c>
    </row>
    <row r="368">
      <c r="A368" s="17"/>
      <c r="B368" s="17"/>
      <c r="C368" s="17" t="str">
        <f>IFERROR(VLOOKUP(B368,'MASTER DATA'!$A$1:$E$212,2,FALSE),"")</f>
        <v/>
      </c>
      <c r="D368" s="17" t="str">
        <f>IFERROR(VLOOKUP(B368,'MASTER DATA'!$A$1:$E$212,5,FALSE),"")</f>
        <v/>
      </c>
      <c r="E368" s="17"/>
      <c r="F368" s="17" t="str">
        <f>IFERROR(VLOOKUP(B368,'MASTER DATA'!$A$1:$E$212,4,FALSE),"")</f>
        <v/>
      </c>
      <c r="G368" s="17"/>
      <c r="H368" s="17"/>
      <c r="I368" s="17"/>
      <c r="J368" s="17" t="b">
        <v>0</v>
      </c>
    </row>
    <row r="369">
      <c r="A369" s="17"/>
      <c r="B369" s="17"/>
      <c r="C369" s="17" t="str">
        <f>IFERROR(VLOOKUP(B369,'MASTER DATA'!$A$1:$E$212,2,FALSE),"")</f>
        <v/>
      </c>
      <c r="D369" s="17" t="str">
        <f>IFERROR(VLOOKUP(B369,'MASTER DATA'!$A$1:$E$212,5,FALSE),"")</f>
        <v/>
      </c>
      <c r="E369" s="17"/>
      <c r="F369" s="17" t="str">
        <f>IFERROR(VLOOKUP(B369,'MASTER DATA'!$A$1:$E$212,4,FALSE),"")</f>
        <v/>
      </c>
      <c r="G369" s="17"/>
      <c r="H369" s="17"/>
      <c r="I369" s="17"/>
      <c r="J369" s="17" t="b">
        <v>0</v>
      </c>
    </row>
    <row r="370">
      <c r="A370" s="17"/>
      <c r="B370" s="17"/>
      <c r="C370" s="17" t="str">
        <f>IFERROR(VLOOKUP(B370,'MASTER DATA'!$A$1:$E$212,2,FALSE),"")</f>
        <v/>
      </c>
      <c r="D370" s="17" t="str">
        <f>IFERROR(VLOOKUP(B370,'MASTER DATA'!$A$1:$E$212,5,FALSE),"")</f>
        <v/>
      </c>
      <c r="E370" s="17"/>
      <c r="F370" s="17" t="str">
        <f>IFERROR(VLOOKUP(B370,'MASTER DATA'!$A$1:$E$212,4,FALSE),"")</f>
        <v/>
      </c>
      <c r="G370" s="17"/>
      <c r="H370" s="17"/>
      <c r="I370" s="17"/>
      <c r="J370" s="17" t="b">
        <v>0</v>
      </c>
    </row>
    <row r="371">
      <c r="A371" s="17"/>
      <c r="B371" s="17"/>
      <c r="C371" s="17" t="str">
        <f>IFERROR(VLOOKUP(B371,'MASTER DATA'!$A$1:$E$212,2,FALSE),"")</f>
        <v/>
      </c>
      <c r="D371" s="17" t="str">
        <f>IFERROR(VLOOKUP(B371,'MASTER DATA'!$A$1:$E$212,5,FALSE),"")</f>
        <v/>
      </c>
      <c r="E371" s="17"/>
      <c r="F371" s="17" t="str">
        <f>IFERROR(VLOOKUP(B371,'MASTER DATA'!$A$1:$E$212,4,FALSE),"")</f>
        <v/>
      </c>
      <c r="G371" s="17"/>
      <c r="H371" s="17"/>
      <c r="I371" s="17"/>
      <c r="J371" s="17" t="b">
        <v>0</v>
      </c>
    </row>
    <row r="372">
      <c r="A372" s="17"/>
      <c r="B372" s="17"/>
      <c r="C372" s="17" t="str">
        <f>IFERROR(VLOOKUP(B372,'MASTER DATA'!$A$1:$E$212,2,FALSE),"")</f>
        <v/>
      </c>
      <c r="D372" s="17" t="str">
        <f>IFERROR(VLOOKUP(B372,'MASTER DATA'!$A$1:$E$212,5,FALSE),"")</f>
        <v/>
      </c>
      <c r="E372" s="17"/>
      <c r="F372" s="17" t="str">
        <f>IFERROR(VLOOKUP(B372,'MASTER DATA'!$A$1:$E$212,4,FALSE),"")</f>
        <v/>
      </c>
      <c r="G372" s="17"/>
      <c r="H372" s="17"/>
      <c r="I372" s="17"/>
      <c r="J372" s="17" t="b">
        <v>0</v>
      </c>
    </row>
    <row r="373">
      <c r="A373" s="17"/>
      <c r="B373" s="17"/>
      <c r="C373" s="17" t="str">
        <f>IFERROR(VLOOKUP(B373,'MASTER DATA'!$A$1:$E$212,2,FALSE),"")</f>
        <v/>
      </c>
      <c r="D373" s="17" t="str">
        <f>IFERROR(VLOOKUP(B373,'MASTER DATA'!$A$1:$E$212,5,FALSE),"")</f>
        <v/>
      </c>
      <c r="E373" s="17"/>
      <c r="F373" s="17" t="str">
        <f>IFERROR(VLOOKUP(B373,'MASTER DATA'!$A$1:$E$212,4,FALSE),"")</f>
        <v/>
      </c>
      <c r="G373" s="17"/>
      <c r="H373" s="17"/>
      <c r="I373" s="17"/>
      <c r="J373" s="17" t="b">
        <v>0</v>
      </c>
    </row>
    <row r="374">
      <c r="A374" s="17"/>
      <c r="B374" s="17"/>
      <c r="C374" s="17" t="str">
        <f>IFERROR(VLOOKUP(B374,'MASTER DATA'!$A$1:$E$212,2,FALSE),"")</f>
        <v/>
      </c>
      <c r="D374" s="17" t="str">
        <f>IFERROR(VLOOKUP(B374,'MASTER DATA'!$A$1:$E$212,5,FALSE),"")</f>
        <v/>
      </c>
      <c r="E374" s="17"/>
      <c r="F374" s="17" t="str">
        <f>IFERROR(VLOOKUP(B374,'MASTER DATA'!$A$1:$E$212,4,FALSE),"")</f>
        <v/>
      </c>
      <c r="G374" s="17"/>
      <c r="H374" s="17"/>
      <c r="I374" s="17"/>
      <c r="J374" s="17" t="b">
        <v>0</v>
      </c>
    </row>
    <row r="375">
      <c r="A375" s="17"/>
      <c r="B375" s="17"/>
      <c r="C375" s="17" t="str">
        <f>IFERROR(VLOOKUP(B375,'MASTER DATA'!$A$1:$E$212,2,FALSE),"")</f>
        <v/>
      </c>
      <c r="D375" s="17" t="str">
        <f>IFERROR(VLOOKUP(B375,'MASTER DATA'!$A$1:$E$212,5,FALSE),"")</f>
        <v/>
      </c>
      <c r="E375" s="17"/>
      <c r="F375" s="17" t="str">
        <f>IFERROR(VLOOKUP(B375,'MASTER DATA'!$A$1:$E$212,4,FALSE),"")</f>
        <v/>
      </c>
      <c r="G375" s="17"/>
      <c r="H375" s="17"/>
      <c r="I375" s="17"/>
      <c r="J375" s="17" t="b">
        <v>0</v>
      </c>
    </row>
    <row r="376">
      <c r="A376" s="17"/>
      <c r="B376" s="17"/>
      <c r="C376" s="17" t="str">
        <f>IFERROR(VLOOKUP(B376,'MASTER DATA'!$A$1:$E$212,2,FALSE),"")</f>
        <v/>
      </c>
      <c r="D376" s="17" t="str">
        <f>IFERROR(VLOOKUP(B376,'MASTER DATA'!$A$1:$E$212,5,FALSE),"")</f>
        <v/>
      </c>
      <c r="E376" s="17"/>
      <c r="F376" s="17" t="str">
        <f>IFERROR(VLOOKUP(B376,'MASTER DATA'!$A$1:$E$212,4,FALSE),"")</f>
        <v/>
      </c>
      <c r="G376" s="17"/>
      <c r="H376" s="17"/>
      <c r="I376" s="17"/>
      <c r="J376" s="17" t="b">
        <v>0</v>
      </c>
    </row>
    <row r="377">
      <c r="A377" s="17"/>
      <c r="B377" s="17"/>
      <c r="C377" s="17" t="str">
        <f>IFERROR(VLOOKUP(B377,'MASTER DATA'!$A$1:$E$212,2,FALSE),"")</f>
        <v/>
      </c>
      <c r="D377" s="17" t="str">
        <f>IFERROR(VLOOKUP(B377,'MASTER DATA'!$A$1:$E$212,5,FALSE),"")</f>
        <v/>
      </c>
      <c r="E377" s="17"/>
      <c r="F377" s="17" t="str">
        <f>IFERROR(VLOOKUP(B377,'MASTER DATA'!$A$1:$E$212,4,FALSE),"")</f>
        <v/>
      </c>
      <c r="G377" s="17"/>
      <c r="H377" s="17"/>
      <c r="I377" s="17"/>
      <c r="J377" s="17" t="b">
        <v>0</v>
      </c>
    </row>
    <row r="378">
      <c r="A378" s="17"/>
      <c r="B378" s="17"/>
      <c r="C378" s="17" t="str">
        <f>IFERROR(VLOOKUP(B378,'MASTER DATA'!$A$1:$E$212,2,FALSE),"")</f>
        <v/>
      </c>
      <c r="D378" s="17" t="str">
        <f>IFERROR(VLOOKUP(B378,'MASTER DATA'!$A$1:$E$212,5,FALSE),"")</f>
        <v/>
      </c>
      <c r="E378" s="17"/>
      <c r="F378" s="17" t="str">
        <f>IFERROR(VLOOKUP(B378,'MASTER DATA'!$A$1:$E$212,4,FALSE),"")</f>
        <v/>
      </c>
      <c r="G378" s="17"/>
      <c r="H378" s="17"/>
      <c r="I378" s="17"/>
      <c r="J378" s="17" t="b">
        <v>0</v>
      </c>
    </row>
    <row r="379">
      <c r="A379" s="17"/>
      <c r="B379" s="17"/>
      <c r="C379" s="17" t="str">
        <f>IFERROR(VLOOKUP(B379,'MASTER DATA'!$A$1:$E$212,2,FALSE),"")</f>
        <v/>
      </c>
      <c r="D379" s="17" t="str">
        <f>IFERROR(VLOOKUP(B379,'MASTER DATA'!$A$1:$E$212,5,FALSE),"")</f>
        <v/>
      </c>
      <c r="E379" s="17"/>
      <c r="F379" s="17" t="str">
        <f>IFERROR(VLOOKUP(B379,'MASTER DATA'!$A$1:$E$212,4,FALSE),"")</f>
        <v/>
      </c>
      <c r="G379" s="17"/>
      <c r="H379" s="17"/>
      <c r="I379" s="17"/>
      <c r="J379" s="17" t="b">
        <v>0</v>
      </c>
    </row>
    <row r="380">
      <c r="A380" s="17"/>
      <c r="B380" s="17"/>
      <c r="C380" s="17" t="str">
        <f>IFERROR(VLOOKUP(B380,'MASTER DATA'!$A$1:$E$212,2,FALSE),"")</f>
        <v/>
      </c>
      <c r="D380" s="17" t="str">
        <f>IFERROR(VLOOKUP(B380,'MASTER DATA'!$A$1:$E$212,5,FALSE),"")</f>
        <v/>
      </c>
      <c r="E380" s="17"/>
      <c r="F380" s="17" t="str">
        <f>IFERROR(VLOOKUP(B380,'MASTER DATA'!$A$1:$E$212,4,FALSE),"")</f>
        <v/>
      </c>
      <c r="G380" s="17"/>
      <c r="H380" s="17"/>
      <c r="I380" s="17"/>
      <c r="J380" s="17" t="b">
        <v>0</v>
      </c>
    </row>
    <row r="381">
      <c r="A381" s="17"/>
      <c r="B381" s="17"/>
      <c r="C381" s="17" t="str">
        <f>IFERROR(VLOOKUP(B381,'MASTER DATA'!$A$1:$E$212,2,FALSE),"")</f>
        <v/>
      </c>
      <c r="D381" s="17" t="str">
        <f>IFERROR(VLOOKUP(B381,'MASTER DATA'!$A$1:$E$212,5,FALSE),"")</f>
        <v/>
      </c>
      <c r="E381" s="17"/>
      <c r="F381" s="17" t="str">
        <f>IFERROR(VLOOKUP(B381,'MASTER DATA'!$A$1:$E$212,4,FALSE),"")</f>
        <v/>
      </c>
      <c r="G381" s="17"/>
      <c r="H381" s="17"/>
      <c r="I381" s="17"/>
      <c r="J381" s="17" t="b">
        <v>0</v>
      </c>
    </row>
    <row r="382">
      <c r="A382" s="17"/>
      <c r="B382" s="17"/>
      <c r="C382" s="17" t="str">
        <f>IFERROR(VLOOKUP(B382,'MASTER DATA'!$A$1:$E$212,2,FALSE),"")</f>
        <v/>
      </c>
      <c r="D382" s="17" t="str">
        <f>IFERROR(VLOOKUP(B382,'MASTER DATA'!$A$1:$E$212,5,FALSE),"")</f>
        <v/>
      </c>
      <c r="E382" s="17"/>
      <c r="F382" s="17" t="str">
        <f>IFERROR(VLOOKUP(B382,'MASTER DATA'!$A$1:$E$212,4,FALSE),"")</f>
        <v/>
      </c>
      <c r="G382" s="17"/>
      <c r="H382" s="17"/>
      <c r="I382" s="17"/>
      <c r="J382" s="17" t="b">
        <v>0</v>
      </c>
    </row>
    <row r="383">
      <c r="A383" s="17"/>
      <c r="B383" s="17"/>
      <c r="C383" s="17" t="str">
        <f>IFERROR(VLOOKUP(B383,'MASTER DATA'!$A$1:$E$212,2,FALSE),"")</f>
        <v/>
      </c>
      <c r="D383" s="17" t="str">
        <f>IFERROR(VLOOKUP(B383,'MASTER DATA'!$A$1:$E$212,5,FALSE),"")</f>
        <v/>
      </c>
      <c r="E383" s="17"/>
      <c r="F383" s="17" t="str">
        <f>IFERROR(VLOOKUP(B383,'MASTER DATA'!$A$1:$E$212,4,FALSE),"")</f>
        <v/>
      </c>
      <c r="G383" s="17"/>
      <c r="H383" s="17"/>
      <c r="I383" s="17"/>
      <c r="J383" s="17" t="b">
        <v>0</v>
      </c>
    </row>
    <row r="384">
      <c r="A384" s="17"/>
      <c r="B384" s="17"/>
      <c r="C384" s="17" t="str">
        <f>IFERROR(VLOOKUP(B384,'MASTER DATA'!$A$1:$E$212,2,FALSE),"")</f>
        <v/>
      </c>
      <c r="D384" s="17" t="str">
        <f>IFERROR(VLOOKUP(B384,'MASTER DATA'!$A$1:$E$212,5,FALSE),"")</f>
        <v/>
      </c>
      <c r="E384" s="17"/>
      <c r="F384" s="17" t="str">
        <f>IFERROR(VLOOKUP(B384,'MASTER DATA'!$A$1:$E$212,4,FALSE),"")</f>
        <v/>
      </c>
      <c r="G384" s="17"/>
      <c r="H384" s="17"/>
      <c r="I384" s="17"/>
      <c r="J384" s="17" t="b">
        <v>0</v>
      </c>
    </row>
    <row r="385">
      <c r="A385" s="17"/>
      <c r="B385" s="17"/>
      <c r="C385" s="17" t="str">
        <f>IFERROR(VLOOKUP(B385,'MASTER DATA'!$A$1:$E$212,2,FALSE),"")</f>
        <v/>
      </c>
      <c r="D385" s="17" t="str">
        <f>IFERROR(VLOOKUP(B385,'MASTER DATA'!$A$1:$E$212,5,FALSE),"")</f>
        <v/>
      </c>
      <c r="E385" s="17"/>
      <c r="F385" s="17" t="str">
        <f>IFERROR(VLOOKUP(B385,'MASTER DATA'!$A$1:$E$212,4,FALSE),"")</f>
        <v/>
      </c>
      <c r="G385" s="17"/>
      <c r="H385" s="17"/>
      <c r="I385" s="17"/>
      <c r="J385" s="17" t="b">
        <v>0</v>
      </c>
    </row>
    <row r="386">
      <c r="A386" s="17"/>
      <c r="B386" s="17"/>
      <c r="C386" s="17" t="str">
        <f>IFERROR(VLOOKUP(B386,'MASTER DATA'!$A$1:$E$212,2,FALSE),"")</f>
        <v/>
      </c>
      <c r="D386" s="17" t="str">
        <f>IFERROR(VLOOKUP(B386,'MASTER DATA'!$A$1:$E$212,5,FALSE),"")</f>
        <v/>
      </c>
      <c r="E386" s="17"/>
      <c r="F386" s="17" t="str">
        <f>IFERROR(VLOOKUP(B386,'MASTER DATA'!$A$1:$E$212,4,FALSE),"")</f>
        <v/>
      </c>
      <c r="G386" s="17"/>
      <c r="H386" s="17"/>
      <c r="I386" s="17"/>
      <c r="J386" s="17" t="b">
        <v>0</v>
      </c>
    </row>
    <row r="387">
      <c r="A387" s="17"/>
      <c r="B387" s="17"/>
      <c r="C387" s="17" t="str">
        <f>IFERROR(VLOOKUP(B387,'MASTER DATA'!$A$1:$E$212,2,FALSE),"")</f>
        <v/>
      </c>
      <c r="D387" s="17" t="str">
        <f>IFERROR(VLOOKUP(B387,'MASTER DATA'!$A$1:$E$212,5,FALSE),"")</f>
        <v/>
      </c>
      <c r="E387" s="17"/>
      <c r="F387" s="17" t="str">
        <f>IFERROR(VLOOKUP(B387,'MASTER DATA'!$A$1:$E$212,4,FALSE),"")</f>
        <v/>
      </c>
      <c r="G387" s="17"/>
      <c r="H387" s="17"/>
      <c r="I387" s="17"/>
      <c r="J387" s="17" t="b">
        <v>0</v>
      </c>
    </row>
    <row r="388">
      <c r="A388" s="17"/>
      <c r="B388" s="17"/>
      <c r="C388" s="17" t="str">
        <f>IFERROR(VLOOKUP(B388,'MASTER DATA'!$A$1:$E$212,2,FALSE),"")</f>
        <v/>
      </c>
      <c r="D388" s="17" t="str">
        <f>IFERROR(VLOOKUP(B388,'MASTER DATA'!$A$1:$E$212,5,FALSE),"")</f>
        <v/>
      </c>
      <c r="E388" s="17"/>
      <c r="F388" s="17" t="str">
        <f>IFERROR(VLOOKUP(B388,'MASTER DATA'!$A$1:$E$212,4,FALSE),"")</f>
        <v/>
      </c>
      <c r="G388" s="17"/>
      <c r="H388" s="17"/>
      <c r="I388" s="17"/>
      <c r="J388" s="17" t="b">
        <v>0</v>
      </c>
    </row>
    <row r="389">
      <c r="A389" s="17"/>
      <c r="B389" s="17"/>
      <c r="C389" s="17" t="str">
        <f>IFERROR(VLOOKUP(B389,'MASTER DATA'!$A$1:$E$212,2,FALSE),"")</f>
        <v/>
      </c>
      <c r="D389" s="17" t="str">
        <f>IFERROR(VLOOKUP(B389,'MASTER DATA'!$A$1:$E$212,5,FALSE),"")</f>
        <v/>
      </c>
      <c r="E389" s="17"/>
      <c r="F389" s="17" t="str">
        <f>IFERROR(VLOOKUP(B389,'MASTER DATA'!$A$1:$E$212,4,FALSE),"")</f>
        <v/>
      </c>
      <c r="G389" s="17"/>
      <c r="H389" s="17"/>
      <c r="I389" s="17"/>
      <c r="J389" s="17" t="b">
        <v>0</v>
      </c>
    </row>
    <row r="390">
      <c r="A390" s="17"/>
      <c r="B390" s="17"/>
      <c r="C390" s="17" t="str">
        <f>IFERROR(VLOOKUP(B390,'MASTER DATA'!$A$1:$E$212,2,FALSE),"")</f>
        <v/>
      </c>
      <c r="D390" s="17" t="str">
        <f>IFERROR(VLOOKUP(B390,'MASTER DATA'!$A$1:$E$212,5,FALSE),"")</f>
        <v/>
      </c>
      <c r="E390" s="17"/>
      <c r="F390" s="17" t="str">
        <f>IFERROR(VLOOKUP(B390,'MASTER DATA'!$A$1:$E$212,4,FALSE),"")</f>
        <v/>
      </c>
      <c r="G390" s="17"/>
      <c r="H390" s="17"/>
      <c r="I390" s="17"/>
      <c r="J390" s="17" t="b">
        <v>0</v>
      </c>
    </row>
    <row r="391">
      <c r="A391" s="17"/>
      <c r="B391" s="17"/>
      <c r="C391" s="17" t="str">
        <f>IFERROR(VLOOKUP(B391,'MASTER DATA'!$A$1:$E$212,2,FALSE),"")</f>
        <v/>
      </c>
      <c r="D391" s="17" t="str">
        <f>IFERROR(VLOOKUP(B391,'MASTER DATA'!$A$1:$E$212,5,FALSE),"")</f>
        <v/>
      </c>
      <c r="E391" s="17"/>
      <c r="F391" s="17" t="str">
        <f>IFERROR(VLOOKUP(B391,'MASTER DATA'!$A$1:$E$212,4,FALSE),"")</f>
        <v/>
      </c>
      <c r="G391" s="17"/>
      <c r="H391" s="17"/>
      <c r="I391" s="17"/>
      <c r="J391" s="17" t="b">
        <v>0</v>
      </c>
    </row>
    <row r="392">
      <c r="A392" s="17"/>
      <c r="B392" s="17"/>
      <c r="C392" s="17" t="str">
        <f>IFERROR(VLOOKUP(B392,'MASTER DATA'!$A$1:$E$212,2,FALSE),"")</f>
        <v/>
      </c>
      <c r="D392" s="17" t="str">
        <f>IFERROR(VLOOKUP(B392,'MASTER DATA'!$A$1:$E$212,5,FALSE),"")</f>
        <v/>
      </c>
      <c r="E392" s="17"/>
      <c r="F392" s="17" t="str">
        <f>IFERROR(VLOOKUP(B392,'MASTER DATA'!$A$1:$E$212,4,FALSE),"")</f>
        <v/>
      </c>
      <c r="G392" s="17"/>
      <c r="H392" s="17"/>
      <c r="I392" s="17"/>
      <c r="J392" s="17" t="b">
        <v>0</v>
      </c>
    </row>
    <row r="393">
      <c r="A393" s="17"/>
      <c r="B393" s="17"/>
      <c r="C393" s="17" t="str">
        <f>IFERROR(VLOOKUP(B393,'MASTER DATA'!$A$1:$E$212,2,FALSE),"")</f>
        <v/>
      </c>
      <c r="D393" s="17" t="str">
        <f>IFERROR(VLOOKUP(B393,'MASTER DATA'!$A$1:$E$212,5,FALSE),"")</f>
        <v/>
      </c>
      <c r="E393" s="17"/>
      <c r="F393" s="17" t="str">
        <f>IFERROR(VLOOKUP(B393,'MASTER DATA'!$A$1:$E$212,4,FALSE),"")</f>
        <v/>
      </c>
      <c r="G393" s="17"/>
      <c r="H393" s="17"/>
      <c r="I393" s="17"/>
      <c r="J393" s="17" t="b">
        <v>0</v>
      </c>
    </row>
    <row r="394">
      <c r="A394" s="17"/>
      <c r="B394" s="17"/>
      <c r="C394" s="17" t="str">
        <f>IFERROR(VLOOKUP(B394,'MASTER DATA'!$A$1:$E$212,2,FALSE),"")</f>
        <v/>
      </c>
      <c r="D394" s="17" t="str">
        <f>IFERROR(VLOOKUP(B394,'MASTER DATA'!$A$1:$E$212,5,FALSE),"")</f>
        <v/>
      </c>
      <c r="E394" s="17"/>
      <c r="F394" s="17" t="str">
        <f>IFERROR(VLOOKUP(B394,'MASTER DATA'!$A$1:$E$212,4,FALSE),"")</f>
        <v/>
      </c>
      <c r="G394" s="17"/>
      <c r="H394" s="17"/>
      <c r="I394" s="17"/>
      <c r="J394" s="17" t="b">
        <v>0</v>
      </c>
    </row>
    <row r="395">
      <c r="A395" s="17"/>
      <c r="B395" s="17"/>
      <c r="C395" s="17" t="str">
        <f>IFERROR(VLOOKUP(B395,'MASTER DATA'!$A$1:$E$212,2,FALSE),"")</f>
        <v/>
      </c>
      <c r="D395" s="17" t="str">
        <f>IFERROR(VLOOKUP(B395,'MASTER DATA'!$A$1:$E$212,5,FALSE),"")</f>
        <v/>
      </c>
      <c r="E395" s="17"/>
      <c r="F395" s="17" t="str">
        <f>IFERROR(VLOOKUP(B395,'MASTER DATA'!$A$1:$E$212,4,FALSE),"")</f>
        <v/>
      </c>
      <c r="G395" s="17"/>
      <c r="H395" s="17"/>
      <c r="I395" s="17"/>
      <c r="J395" s="17" t="b">
        <v>0</v>
      </c>
    </row>
    <row r="396">
      <c r="A396" s="17"/>
      <c r="B396" s="17"/>
      <c r="C396" s="17" t="str">
        <f>IFERROR(VLOOKUP(B396,'MASTER DATA'!$A$1:$E$212,2,FALSE),"")</f>
        <v/>
      </c>
      <c r="D396" s="17" t="str">
        <f>IFERROR(VLOOKUP(B396,'MASTER DATA'!$A$1:$E$212,5,FALSE),"")</f>
        <v/>
      </c>
      <c r="E396" s="17"/>
      <c r="F396" s="17" t="str">
        <f>IFERROR(VLOOKUP(B396,'MASTER DATA'!$A$1:$E$212,4,FALSE),"")</f>
        <v/>
      </c>
      <c r="G396" s="17"/>
      <c r="H396" s="17"/>
      <c r="I396" s="17"/>
      <c r="J396" s="17" t="b">
        <v>0</v>
      </c>
    </row>
    <row r="397">
      <c r="A397" s="17"/>
      <c r="B397" s="17"/>
      <c r="C397" s="17" t="str">
        <f>IFERROR(VLOOKUP(B397,'MASTER DATA'!$A$1:$E$212,2,FALSE),"")</f>
        <v/>
      </c>
      <c r="D397" s="17" t="str">
        <f>IFERROR(VLOOKUP(B397,'MASTER DATA'!$A$1:$E$212,5,FALSE),"")</f>
        <v/>
      </c>
      <c r="E397" s="17"/>
      <c r="F397" s="17" t="str">
        <f>IFERROR(VLOOKUP(B397,'MASTER DATA'!$A$1:$E$212,4,FALSE),"")</f>
        <v/>
      </c>
      <c r="G397" s="17"/>
      <c r="H397" s="17"/>
      <c r="I397" s="17"/>
      <c r="J397" s="17" t="b">
        <v>0</v>
      </c>
    </row>
    <row r="398">
      <c r="A398" s="17"/>
      <c r="B398" s="17"/>
      <c r="C398" s="17" t="str">
        <f>IFERROR(VLOOKUP(B398,'MASTER DATA'!$A$1:$E$212,2,FALSE),"")</f>
        <v/>
      </c>
      <c r="D398" s="17" t="str">
        <f>IFERROR(VLOOKUP(B398,'MASTER DATA'!$A$1:$E$212,5,FALSE),"")</f>
        <v/>
      </c>
      <c r="E398" s="17"/>
      <c r="F398" s="17" t="str">
        <f>IFERROR(VLOOKUP(B398,'MASTER DATA'!$A$1:$E$212,4,FALSE),"")</f>
        <v/>
      </c>
      <c r="G398" s="17"/>
      <c r="H398" s="17"/>
      <c r="I398" s="17"/>
      <c r="J398" s="17" t="b">
        <v>0</v>
      </c>
    </row>
    <row r="399">
      <c r="A399" s="17"/>
      <c r="B399" s="17"/>
      <c r="C399" s="17" t="str">
        <f>IFERROR(VLOOKUP(B399,'MASTER DATA'!$A$1:$E$212,2,FALSE),"")</f>
        <v/>
      </c>
      <c r="D399" s="17" t="str">
        <f>IFERROR(VLOOKUP(B399,'MASTER DATA'!$A$1:$E$212,5,FALSE),"")</f>
        <v/>
      </c>
      <c r="E399" s="17"/>
      <c r="F399" s="17" t="str">
        <f>IFERROR(VLOOKUP(B399,'MASTER DATA'!$A$1:$E$212,4,FALSE),"")</f>
        <v/>
      </c>
      <c r="G399" s="17"/>
      <c r="H399" s="17"/>
      <c r="I399" s="17"/>
      <c r="J399" s="17" t="b">
        <v>0</v>
      </c>
    </row>
    <row r="400">
      <c r="A400" s="17"/>
      <c r="B400" s="17"/>
      <c r="C400" s="17" t="str">
        <f>IFERROR(VLOOKUP(B400,'MASTER DATA'!$A$1:$E$212,2,FALSE),"")</f>
        <v/>
      </c>
      <c r="D400" s="17" t="str">
        <f>IFERROR(VLOOKUP(B400,'MASTER DATA'!$A$1:$E$212,5,FALSE),"")</f>
        <v/>
      </c>
      <c r="E400" s="17"/>
      <c r="F400" s="17" t="str">
        <f>IFERROR(VLOOKUP(B400,'MASTER DATA'!$A$1:$E$212,4,FALSE),"")</f>
        <v/>
      </c>
      <c r="G400" s="17"/>
      <c r="H400" s="17"/>
      <c r="I400" s="17"/>
      <c r="J400" s="17" t="b">
        <v>0</v>
      </c>
    </row>
    <row r="401">
      <c r="A401" s="17"/>
      <c r="B401" s="17"/>
      <c r="C401" s="17" t="str">
        <f>IFERROR(VLOOKUP(B401,'MASTER DATA'!$A$1:$E$212,2,FALSE),"")</f>
        <v/>
      </c>
      <c r="D401" s="17" t="str">
        <f>IFERROR(VLOOKUP(B401,'MASTER DATA'!$A$1:$E$212,5,FALSE),"")</f>
        <v/>
      </c>
      <c r="E401" s="17"/>
      <c r="F401" s="17" t="str">
        <f>IFERROR(VLOOKUP(B401,'MASTER DATA'!$A$1:$E$212,4,FALSE),"")</f>
        <v/>
      </c>
      <c r="G401" s="17"/>
      <c r="H401" s="17"/>
      <c r="I401" s="17"/>
      <c r="J401" s="17" t="b">
        <v>0</v>
      </c>
    </row>
    <row r="402">
      <c r="A402" s="17"/>
      <c r="B402" s="17"/>
      <c r="C402" s="17" t="str">
        <f>IFERROR(VLOOKUP(B402,'MASTER DATA'!$A$1:$E$212,2,FALSE),"")</f>
        <v/>
      </c>
      <c r="D402" s="17" t="str">
        <f>IFERROR(VLOOKUP(B402,'MASTER DATA'!$A$1:$E$212,5,FALSE),"")</f>
        <v/>
      </c>
      <c r="E402" s="17"/>
      <c r="F402" s="17" t="str">
        <f>IFERROR(VLOOKUP(B402,'MASTER DATA'!$A$1:$E$212,4,FALSE),"")</f>
        <v/>
      </c>
      <c r="G402" s="17"/>
      <c r="H402" s="17"/>
      <c r="I402" s="17"/>
      <c r="J402" s="17" t="b">
        <v>0</v>
      </c>
    </row>
    <row r="403">
      <c r="A403" s="17"/>
      <c r="B403" s="17"/>
      <c r="C403" s="17" t="str">
        <f>IFERROR(VLOOKUP(B403,'MASTER DATA'!$A$1:$E$212,2,FALSE),"")</f>
        <v/>
      </c>
      <c r="D403" s="17" t="str">
        <f>IFERROR(VLOOKUP(B403,'MASTER DATA'!$A$1:$E$212,5,FALSE),"")</f>
        <v/>
      </c>
      <c r="E403" s="17"/>
      <c r="F403" s="17" t="str">
        <f>IFERROR(VLOOKUP(B403,'MASTER DATA'!$A$1:$E$212,4,FALSE),"")</f>
        <v/>
      </c>
      <c r="G403" s="17"/>
      <c r="H403" s="17"/>
      <c r="I403" s="17"/>
      <c r="J403" s="17" t="b">
        <v>0</v>
      </c>
    </row>
    <row r="404">
      <c r="A404" s="17"/>
      <c r="B404" s="17"/>
      <c r="C404" s="17" t="str">
        <f>IFERROR(VLOOKUP(B404,'MASTER DATA'!$A$1:$E$212,2,FALSE),"")</f>
        <v/>
      </c>
      <c r="D404" s="17" t="str">
        <f>IFERROR(VLOOKUP(B404,'MASTER DATA'!$A$1:$E$212,5,FALSE),"")</f>
        <v/>
      </c>
      <c r="E404" s="17"/>
      <c r="F404" s="17" t="str">
        <f>IFERROR(VLOOKUP(B404,'MASTER DATA'!$A$1:$E$212,4,FALSE),"")</f>
        <v/>
      </c>
      <c r="G404" s="17"/>
      <c r="H404" s="17"/>
      <c r="I404" s="17"/>
      <c r="J404" s="17" t="b">
        <v>0</v>
      </c>
    </row>
    <row r="405">
      <c r="A405" s="17"/>
      <c r="B405" s="17"/>
      <c r="C405" s="17" t="str">
        <f>IFERROR(VLOOKUP(B405,'MASTER DATA'!$A$1:$E$212,2,FALSE),"")</f>
        <v/>
      </c>
      <c r="D405" s="17" t="str">
        <f>IFERROR(VLOOKUP(B405,'MASTER DATA'!$A$1:$E$212,5,FALSE),"")</f>
        <v/>
      </c>
      <c r="E405" s="17"/>
      <c r="F405" s="17" t="str">
        <f>IFERROR(VLOOKUP(B405,'MASTER DATA'!$A$1:$E$212,4,FALSE),"")</f>
        <v/>
      </c>
      <c r="G405" s="17"/>
      <c r="H405" s="17"/>
      <c r="I405" s="17"/>
      <c r="J405" s="17" t="b">
        <v>0</v>
      </c>
    </row>
    <row r="406">
      <c r="A406" s="17"/>
      <c r="B406" s="17"/>
      <c r="C406" s="17" t="str">
        <f>IFERROR(VLOOKUP(B406,'MASTER DATA'!$A$1:$E$212,2,FALSE),"")</f>
        <v/>
      </c>
      <c r="D406" s="17" t="str">
        <f>IFERROR(VLOOKUP(B406,'MASTER DATA'!$A$1:$E$212,5,FALSE),"")</f>
        <v/>
      </c>
      <c r="E406" s="17"/>
      <c r="F406" s="17" t="str">
        <f>IFERROR(VLOOKUP(B406,'MASTER DATA'!$A$1:$E$212,4,FALSE),"")</f>
        <v/>
      </c>
      <c r="G406" s="17"/>
      <c r="H406" s="17"/>
      <c r="I406" s="17"/>
      <c r="J406" s="17" t="b">
        <v>0</v>
      </c>
    </row>
    <row r="407">
      <c r="A407" s="17"/>
      <c r="B407" s="17"/>
      <c r="C407" s="17" t="str">
        <f>IFERROR(VLOOKUP(B407,'MASTER DATA'!$A$1:$E$212,2,FALSE),"")</f>
        <v/>
      </c>
      <c r="D407" s="17" t="str">
        <f>IFERROR(VLOOKUP(B407,'MASTER DATA'!$A$1:$E$212,5,FALSE),"")</f>
        <v/>
      </c>
      <c r="E407" s="17"/>
      <c r="F407" s="17" t="str">
        <f>IFERROR(VLOOKUP(B407,'MASTER DATA'!$A$1:$E$212,4,FALSE),"")</f>
        <v/>
      </c>
      <c r="G407" s="17"/>
      <c r="H407" s="17"/>
      <c r="I407" s="17"/>
      <c r="J407" s="17" t="b">
        <v>0</v>
      </c>
    </row>
    <row r="408">
      <c r="A408" s="17"/>
      <c r="B408" s="17"/>
      <c r="C408" s="17" t="str">
        <f>IFERROR(VLOOKUP(B408,'MASTER DATA'!$A$1:$E$212,2,FALSE),"")</f>
        <v/>
      </c>
      <c r="D408" s="17" t="str">
        <f>IFERROR(VLOOKUP(B408,'MASTER DATA'!$A$1:$E$212,5,FALSE),"")</f>
        <v/>
      </c>
      <c r="E408" s="17"/>
      <c r="F408" s="17" t="str">
        <f>IFERROR(VLOOKUP(B408,'MASTER DATA'!$A$1:$E$212,4,FALSE),"")</f>
        <v/>
      </c>
      <c r="G408" s="17"/>
      <c r="H408" s="17"/>
      <c r="I408" s="17"/>
      <c r="J408" s="17" t="b">
        <v>0</v>
      </c>
    </row>
    <row r="409">
      <c r="A409" s="17"/>
      <c r="B409" s="17"/>
      <c r="C409" s="17" t="str">
        <f>IFERROR(VLOOKUP(B409,'MASTER DATA'!$A$1:$E$212,2,FALSE),"")</f>
        <v/>
      </c>
      <c r="D409" s="17" t="str">
        <f>IFERROR(VLOOKUP(B409,'MASTER DATA'!$A$1:$E$212,5,FALSE),"")</f>
        <v/>
      </c>
      <c r="E409" s="17"/>
      <c r="F409" s="17" t="str">
        <f>IFERROR(VLOOKUP(B409,'MASTER DATA'!$A$1:$E$212,4,FALSE),"")</f>
        <v/>
      </c>
      <c r="G409" s="17"/>
      <c r="H409" s="17"/>
      <c r="I409" s="17"/>
      <c r="J409" s="17" t="b">
        <v>0</v>
      </c>
    </row>
    <row r="410">
      <c r="A410" s="17"/>
      <c r="B410" s="17"/>
      <c r="C410" s="17" t="str">
        <f>IFERROR(VLOOKUP(B410,'MASTER DATA'!$A$1:$E$212,2,FALSE),"")</f>
        <v/>
      </c>
      <c r="D410" s="17" t="str">
        <f>IFERROR(VLOOKUP(B410,'MASTER DATA'!$A$1:$E$212,5,FALSE),"")</f>
        <v/>
      </c>
      <c r="E410" s="17"/>
      <c r="F410" s="17" t="str">
        <f>IFERROR(VLOOKUP(B410,'MASTER DATA'!$A$1:$E$212,4,FALSE),"")</f>
        <v/>
      </c>
      <c r="G410" s="17"/>
      <c r="H410" s="17"/>
      <c r="I410" s="17"/>
      <c r="J410" s="17" t="b">
        <v>0</v>
      </c>
    </row>
    <row r="411">
      <c r="A411" s="17"/>
      <c r="B411" s="17"/>
      <c r="C411" s="17" t="str">
        <f>IFERROR(VLOOKUP(B411,'MASTER DATA'!$A$1:$E$212,2,FALSE),"")</f>
        <v/>
      </c>
      <c r="D411" s="17" t="str">
        <f>IFERROR(VLOOKUP(B411,'MASTER DATA'!$A$1:$E$212,5,FALSE),"")</f>
        <v/>
      </c>
      <c r="E411" s="17"/>
      <c r="F411" s="17" t="str">
        <f>IFERROR(VLOOKUP(B411,'MASTER DATA'!$A$1:$E$212,4,FALSE),"")</f>
        <v/>
      </c>
      <c r="G411" s="17"/>
      <c r="H411" s="17"/>
      <c r="I411" s="17"/>
      <c r="J411" s="17" t="b">
        <v>0</v>
      </c>
    </row>
    <row r="412">
      <c r="A412" s="17"/>
      <c r="B412" s="17"/>
      <c r="C412" s="17" t="str">
        <f>IFERROR(VLOOKUP(B412,'MASTER DATA'!$A$1:$E$212,2,FALSE),"")</f>
        <v/>
      </c>
      <c r="D412" s="17" t="str">
        <f>IFERROR(VLOOKUP(B412,'MASTER DATA'!$A$1:$E$212,5,FALSE),"")</f>
        <v/>
      </c>
      <c r="E412" s="17"/>
      <c r="F412" s="17" t="str">
        <f>IFERROR(VLOOKUP(B412,'MASTER DATA'!$A$1:$E$212,4,FALSE),"")</f>
        <v/>
      </c>
      <c r="G412" s="17"/>
      <c r="H412" s="17"/>
      <c r="I412" s="17"/>
      <c r="J412" s="17" t="b">
        <v>0</v>
      </c>
    </row>
    <row r="413">
      <c r="A413" s="17"/>
      <c r="B413" s="17"/>
      <c r="C413" s="17" t="str">
        <f>IFERROR(VLOOKUP(B413,'MASTER DATA'!$A$1:$E$212,2,FALSE),"")</f>
        <v/>
      </c>
      <c r="D413" s="17" t="str">
        <f>IFERROR(VLOOKUP(B413,'MASTER DATA'!$A$1:$E$212,5,FALSE),"")</f>
        <v/>
      </c>
      <c r="E413" s="17"/>
      <c r="F413" s="17" t="str">
        <f>IFERROR(VLOOKUP(B413,'MASTER DATA'!$A$1:$E$212,4,FALSE),"")</f>
        <v/>
      </c>
      <c r="G413" s="17"/>
      <c r="H413" s="17"/>
      <c r="I413" s="17"/>
      <c r="J413" s="17" t="b">
        <v>0</v>
      </c>
    </row>
    <row r="414">
      <c r="A414" s="17"/>
      <c r="B414" s="17"/>
      <c r="C414" s="17" t="str">
        <f>IFERROR(VLOOKUP(B414,'MASTER DATA'!$A$1:$E$212,2,FALSE),"")</f>
        <v/>
      </c>
      <c r="D414" s="17" t="str">
        <f>IFERROR(VLOOKUP(B414,'MASTER DATA'!$A$1:$E$212,5,FALSE),"")</f>
        <v/>
      </c>
      <c r="E414" s="17"/>
      <c r="F414" s="17" t="str">
        <f>IFERROR(VLOOKUP(B414,'MASTER DATA'!$A$1:$E$212,4,FALSE),"")</f>
        <v/>
      </c>
      <c r="G414" s="17"/>
      <c r="H414" s="17"/>
      <c r="I414" s="17"/>
      <c r="J414" s="17" t="b">
        <v>0</v>
      </c>
    </row>
    <row r="415">
      <c r="A415" s="17"/>
      <c r="B415" s="17"/>
      <c r="C415" s="17" t="str">
        <f>IFERROR(VLOOKUP(B415,'MASTER DATA'!$A$1:$E$212,2,FALSE),"")</f>
        <v/>
      </c>
      <c r="D415" s="17" t="str">
        <f>IFERROR(VLOOKUP(B415,'MASTER DATA'!$A$1:$E$212,5,FALSE),"")</f>
        <v/>
      </c>
      <c r="E415" s="17"/>
      <c r="F415" s="17" t="str">
        <f>IFERROR(VLOOKUP(B415,'MASTER DATA'!$A$1:$E$212,4,FALSE),"")</f>
        <v/>
      </c>
      <c r="G415" s="17"/>
      <c r="H415" s="17"/>
      <c r="I415" s="17"/>
      <c r="J415" s="17" t="b">
        <v>0</v>
      </c>
    </row>
    <row r="416">
      <c r="A416" s="17"/>
      <c r="B416" s="17"/>
      <c r="C416" s="17" t="str">
        <f>IFERROR(VLOOKUP(B416,'MASTER DATA'!$A$1:$E$212,2,FALSE),"")</f>
        <v/>
      </c>
      <c r="D416" s="17" t="str">
        <f>IFERROR(VLOOKUP(B416,'MASTER DATA'!$A$1:$E$212,5,FALSE),"")</f>
        <v/>
      </c>
      <c r="E416" s="17"/>
      <c r="F416" s="17" t="str">
        <f>IFERROR(VLOOKUP(B416,'MASTER DATA'!$A$1:$E$212,4,FALSE),"")</f>
        <v/>
      </c>
      <c r="G416" s="17"/>
      <c r="H416" s="17"/>
      <c r="I416" s="17"/>
      <c r="J416" s="17" t="b">
        <v>0</v>
      </c>
    </row>
    <row r="417">
      <c r="A417" s="17"/>
      <c r="B417" s="17"/>
      <c r="C417" s="17" t="str">
        <f>IFERROR(VLOOKUP(B417,'MASTER DATA'!$A$1:$E$212,2,FALSE),"")</f>
        <v/>
      </c>
      <c r="D417" s="17" t="str">
        <f>IFERROR(VLOOKUP(B417,'MASTER DATA'!$A$1:$E$212,5,FALSE),"")</f>
        <v/>
      </c>
      <c r="E417" s="17"/>
      <c r="F417" s="17" t="str">
        <f>IFERROR(VLOOKUP(B417,'MASTER DATA'!$A$1:$E$212,4,FALSE),"")</f>
        <v/>
      </c>
      <c r="G417" s="17"/>
      <c r="H417" s="17"/>
      <c r="I417" s="17"/>
      <c r="J417" s="17" t="b">
        <v>0</v>
      </c>
    </row>
    <row r="418">
      <c r="A418" s="17"/>
      <c r="B418" s="17"/>
      <c r="C418" s="17" t="str">
        <f>IFERROR(VLOOKUP(B418,'MASTER DATA'!$A$1:$E$212,2,FALSE),"")</f>
        <v/>
      </c>
      <c r="D418" s="17" t="str">
        <f>IFERROR(VLOOKUP(B418,'MASTER DATA'!$A$1:$E$212,5,FALSE),"")</f>
        <v/>
      </c>
      <c r="E418" s="17"/>
      <c r="F418" s="17" t="str">
        <f>IFERROR(VLOOKUP(B418,'MASTER DATA'!$A$1:$E$212,4,FALSE),"")</f>
        <v/>
      </c>
      <c r="G418" s="17"/>
      <c r="H418" s="17"/>
      <c r="I418" s="17"/>
      <c r="J418" s="17" t="b">
        <v>0</v>
      </c>
    </row>
    <row r="419">
      <c r="A419" s="17"/>
      <c r="B419" s="17"/>
      <c r="C419" s="17" t="str">
        <f>IFERROR(VLOOKUP(B419,'MASTER DATA'!$A$1:$E$212,2,FALSE),"")</f>
        <v/>
      </c>
      <c r="D419" s="17" t="str">
        <f>IFERROR(VLOOKUP(B419,'MASTER DATA'!$A$1:$E$212,5,FALSE),"")</f>
        <v/>
      </c>
      <c r="E419" s="17"/>
      <c r="F419" s="17" t="str">
        <f>IFERROR(VLOOKUP(B419,'MASTER DATA'!$A$1:$E$212,4,FALSE),"")</f>
        <v/>
      </c>
      <c r="G419" s="17"/>
      <c r="H419" s="17"/>
      <c r="I419" s="17"/>
      <c r="J419" s="17" t="b">
        <v>0</v>
      </c>
    </row>
    <row r="420">
      <c r="A420" s="17"/>
      <c r="B420" s="17"/>
      <c r="C420" s="17" t="str">
        <f>IFERROR(VLOOKUP(B420,'MASTER DATA'!$A$1:$E$212,2,FALSE),"")</f>
        <v/>
      </c>
      <c r="D420" s="17" t="str">
        <f>IFERROR(VLOOKUP(B420,'MASTER DATA'!$A$1:$E$212,5,FALSE),"")</f>
        <v/>
      </c>
      <c r="E420" s="17"/>
      <c r="F420" s="17" t="str">
        <f>IFERROR(VLOOKUP(B420,'MASTER DATA'!$A$1:$E$212,4,FALSE),"")</f>
        <v/>
      </c>
      <c r="G420" s="17"/>
      <c r="H420" s="17"/>
      <c r="I420" s="17"/>
      <c r="J420" s="17" t="b">
        <v>0</v>
      </c>
    </row>
    <row r="421">
      <c r="A421" s="17"/>
      <c r="B421" s="17"/>
      <c r="C421" s="17" t="str">
        <f>IFERROR(VLOOKUP(B421,'MASTER DATA'!$A$1:$E$212,2,FALSE),"")</f>
        <v/>
      </c>
      <c r="D421" s="17" t="str">
        <f>IFERROR(VLOOKUP(B421,'MASTER DATA'!$A$1:$E$212,5,FALSE),"")</f>
        <v/>
      </c>
      <c r="E421" s="17"/>
      <c r="F421" s="17" t="str">
        <f>IFERROR(VLOOKUP(B421,'MASTER DATA'!$A$1:$E$212,4,FALSE),"")</f>
        <v/>
      </c>
      <c r="G421" s="17"/>
      <c r="H421" s="17"/>
      <c r="I421" s="17"/>
      <c r="J421" s="17" t="b">
        <v>0</v>
      </c>
    </row>
    <row r="422">
      <c r="A422" s="17"/>
      <c r="B422" s="17"/>
      <c r="C422" s="17" t="str">
        <f>IFERROR(VLOOKUP(B422,'MASTER DATA'!$A$1:$E$212,2,FALSE),"")</f>
        <v/>
      </c>
      <c r="D422" s="17" t="str">
        <f>IFERROR(VLOOKUP(B422,'MASTER DATA'!$A$1:$E$212,5,FALSE),"")</f>
        <v/>
      </c>
      <c r="E422" s="17"/>
      <c r="F422" s="17" t="str">
        <f>IFERROR(VLOOKUP(B422,'MASTER DATA'!$A$1:$E$212,4,FALSE),"")</f>
        <v/>
      </c>
      <c r="G422" s="17"/>
      <c r="H422" s="17"/>
      <c r="I422" s="17"/>
      <c r="J422" s="17" t="b">
        <v>0</v>
      </c>
    </row>
    <row r="423">
      <c r="A423" s="17"/>
      <c r="B423" s="17"/>
      <c r="C423" s="17" t="str">
        <f>IFERROR(VLOOKUP(B423,'MASTER DATA'!$A$1:$E$212,2,FALSE),"")</f>
        <v/>
      </c>
      <c r="D423" s="17" t="str">
        <f>IFERROR(VLOOKUP(B423,'MASTER DATA'!$A$1:$E$212,5,FALSE),"")</f>
        <v/>
      </c>
      <c r="E423" s="17"/>
      <c r="F423" s="17" t="str">
        <f>IFERROR(VLOOKUP(B423,'MASTER DATA'!$A$1:$E$212,4,FALSE),"")</f>
        <v/>
      </c>
      <c r="G423" s="17"/>
      <c r="H423" s="17"/>
      <c r="I423" s="17"/>
      <c r="J423" s="17" t="b">
        <v>0</v>
      </c>
    </row>
    <row r="424">
      <c r="A424" s="17"/>
      <c r="B424" s="17"/>
      <c r="C424" s="17" t="str">
        <f>IFERROR(VLOOKUP(B424,'MASTER DATA'!$A$1:$E$212,2,FALSE),"")</f>
        <v/>
      </c>
      <c r="D424" s="17" t="str">
        <f>IFERROR(VLOOKUP(B424,'MASTER DATA'!$A$1:$E$212,5,FALSE),"")</f>
        <v/>
      </c>
      <c r="E424" s="17"/>
      <c r="F424" s="17" t="str">
        <f>IFERROR(VLOOKUP(B424,'MASTER DATA'!$A$1:$E$212,4,FALSE),"")</f>
        <v/>
      </c>
      <c r="G424" s="17"/>
      <c r="H424" s="17"/>
      <c r="I424" s="17"/>
      <c r="J424" s="17" t="b">
        <v>0</v>
      </c>
    </row>
    <row r="425">
      <c r="A425" s="17"/>
      <c r="B425" s="17"/>
      <c r="C425" s="17" t="str">
        <f>IFERROR(VLOOKUP(B425,'MASTER DATA'!$A$1:$E$212,2,FALSE),"")</f>
        <v/>
      </c>
      <c r="D425" s="17" t="str">
        <f>IFERROR(VLOOKUP(B425,'MASTER DATA'!$A$1:$E$212,5,FALSE),"")</f>
        <v/>
      </c>
      <c r="E425" s="17"/>
      <c r="F425" s="17" t="str">
        <f>IFERROR(VLOOKUP(B425,'MASTER DATA'!$A$1:$E$212,4,FALSE),"")</f>
        <v/>
      </c>
      <c r="G425" s="17"/>
      <c r="H425" s="17"/>
      <c r="I425" s="17"/>
      <c r="J425" s="17" t="b">
        <v>0</v>
      </c>
    </row>
    <row r="426">
      <c r="A426" s="17"/>
      <c r="B426" s="17"/>
      <c r="C426" s="17" t="str">
        <f>IFERROR(VLOOKUP(B426,'MASTER DATA'!$A$1:$E$212,2,FALSE),"")</f>
        <v/>
      </c>
      <c r="D426" s="17" t="str">
        <f>IFERROR(VLOOKUP(B426,'MASTER DATA'!$A$1:$E$212,5,FALSE),"")</f>
        <v/>
      </c>
      <c r="E426" s="17"/>
      <c r="F426" s="17" t="str">
        <f>IFERROR(VLOOKUP(B426,'MASTER DATA'!$A$1:$E$212,4,FALSE),"")</f>
        <v/>
      </c>
      <c r="G426" s="17"/>
      <c r="H426" s="17"/>
      <c r="I426" s="17"/>
      <c r="J426" s="17" t="b">
        <v>0</v>
      </c>
    </row>
    <row r="427">
      <c r="A427" s="17"/>
      <c r="B427" s="17"/>
      <c r="C427" s="17" t="str">
        <f>IFERROR(VLOOKUP(B427,'MASTER DATA'!$A$1:$E$212,2,FALSE),"")</f>
        <v/>
      </c>
      <c r="D427" s="17" t="str">
        <f>IFERROR(VLOOKUP(B427,'MASTER DATA'!$A$1:$E$212,5,FALSE),"")</f>
        <v/>
      </c>
      <c r="E427" s="17"/>
      <c r="F427" s="17" t="str">
        <f>IFERROR(VLOOKUP(B427,'MASTER DATA'!$A$1:$E$212,4,FALSE),"")</f>
        <v/>
      </c>
      <c r="G427" s="17"/>
      <c r="H427" s="17"/>
      <c r="I427" s="17"/>
      <c r="J427" s="17" t="b">
        <v>0</v>
      </c>
    </row>
    <row r="428">
      <c r="A428" s="17"/>
      <c r="B428" s="17"/>
      <c r="C428" s="17" t="str">
        <f>IFERROR(VLOOKUP(B428,'MASTER DATA'!$A$1:$E$212,2,FALSE),"")</f>
        <v/>
      </c>
      <c r="D428" s="17" t="str">
        <f>IFERROR(VLOOKUP(B428,'MASTER DATA'!$A$1:$E$212,5,FALSE),"")</f>
        <v/>
      </c>
      <c r="E428" s="17"/>
      <c r="F428" s="17" t="str">
        <f>IFERROR(VLOOKUP(B428,'MASTER DATA'!$A$1:$E$212,4,FALSE),"")</f>
        <v/>
      </c>
      <c r="G428" s="17"/>
      <c r="H428" s="17"/>
      <c r="I428" s="17"/>
      <c r="J428" s="17" t="b">
        <v>0</v>
      </c>
    </row>
    <row r="429">
      <c r="A429" s="17"/>
      <c r="B429" s="17"/>
      <c r="C429" s="17" t="str">
        <f>IFERROR(VLOOKUP(B429,'MASTER DATA'!$A$1:$E$212,2,FALSE),"")</f>
        <v/>
      </c>
      <c r="D429" s="17" t="str">
        <f>IFERROR(VLOOKUP(B429,'MASTER DATA'!$A$1:$E$212,5,FALSE),"")</f>
        <v/>
      </c>
      <c r="E429" s="17"/>
      <c r="F429" s="17" t="str">
        <f>IFERROR(VLOOKUP(B429,'MASTER DATA'!$A$1:$E$212,4,FALSE),"")</f>
        <v/>
      </c>
      <c r="G429" s="17"/>
      <c r="H429" s="17"/>
      <c r="I429" s="17"/>
      <c r="J429" s="17" t="b">
        <v>0</v>
      </c>
    </row>
    <row r="430">
      <c r="A430" s="17"/>
      <c r="B430" s="17"/>
      <c r="C430" s="17" t="str">
        <f>IFERROR(VLOOKUP(B430,'MASTER DATA'!$A$1:$E$212,2,FALSE),"")</f>
        <v/>
      </c>
      <c r="D430" s="17" t="str">
        <f>IFERROR(VLOOKUP(B430,'MASTER DATA'!$A$1:$E$212,5,FALSE),"")</f>
        <v/>
      </c>
      <c r="E430" s="17"/>
      <c r="F430" s="17" t="str">
        <f>IFERROR(VLOOKUP(B430,'MASTER DATA'!$A$1:$E$212,4,FALSE),"")</f>
        <v/>
      </c>
      <c r="G430" s="17"/>
      <c r="H430" s="17"/>
      <c r="I430" s="17"/>
      <c r="J430" s="17" t="b">
        <v>0</v>
      </c>
    </row>
    <row r="431">
      <c r="A431" s="17"/>
      <c r="B431" s="17"/>
      <c r="C431" s="17" t="str">
        <f>IFERROR(VLOOKUP(B431,'MASTER DATA'!$A$1:$E$212,2,FALSE),"")</f>
        <v/>
      </c>
      <c r="D431" s="17" t="str">
        <f>IFERROR(VLOOKUP(B431,'MASTER DATA'!$A$1:$E$212,5,FALSE),"")</f>
        <v/>
      </c>
      <c r="E431" s="17"/>
      <c r="F431" s="17" t="str">
        <f>IFERROR(VLOOKUP(B431,'MASTER DATA'!$A$1:$E$212,4,FALSE),"")</f>
        <v/>
      </c>
      <c r="G431" s="17"/>
      <c r="H431" s="17"/>
      <c r="I431" s="17"/>
      <c r="J431" s="17" t="b">
        <v>0</v>
      </c>
    </row>
    <row r="432">
      <c r="A432" s="17"/>
      <c r="B432" s="17"/>
      <c r="C432" s="17" t="str">
        <f>IFERROR(VLOOKUP(B432,'MASTER DATA'!$A$1:$E$212,2,FALSE),"")</f>
        <v/>
      </c>
      <c r="D432" s="17" t="str">
        <f>IFERROR(VLOOKUP(B432,'MASTER DATA'!$A$1:$E$212,5,FALSE),"")</f>
        <v/>
      </c>
      <c r="E432" s="17"/>
      <c r="F432" s="17" t="str">
        <f>IFERROR(VLOOKUP(B432,'MASTER DATA'!$A$1:$E$212,4,FALSE),"")</f>
        <v/>
      </c>
      <c r="G432" s="17"/>
      <c r="H432" s="17"/>
      <c r="I432" s="17"/>
      <c r="J432" s="17" t="b">
        <v>0</v>
      </c>
    </row>
    <row r="433">
      <c r="A433" s="17"/>
      <c r="B433" s="17"/>
      <c r="C433" s="17" t="str">
        <f>IFERROR(VLOOKUP(B433,'MASTER DATA'!$A$1:$E$212,2,FALSE),"")</f>
        <v/>
      </c>
      <c r="D433" s="17" t="str">
        <f>IFERROR(VLOOKUP(B433,'MASTER DATA'!$A$1:$E$212,5,FALSE),"")</f>
        <v/>
      </c>
      <c r="E433" s="17"/>
      <c r="F433" s="17" t="str">
        <f>IFERROR(VLOOKUP(B433,'MASTER DATA'!$A$1:$E$212,4,FALSE),"")</f>
        <v/>
      </c>
      <c r="G433" s="17"/>
      <c r="H433" s="17"/>
      <c r="I433" s="17"/>
      <c r="J433" s="17" t="b">
        <v>0</v>
      </c>
    </row>
    <row r="434">
      <c r="A434" s="17"/>
      <c r="B434" s="17"/>
      <c r="C434" s="17" t="str">
        <f>IFERROR(VLOOKUP(B434,'MASTER DATA'!$A$1:$E$212,2,FALSE),"")</f>
        <v/>
      </c>
      <c r="D434" s="17" t="str">
        <f>IFERROR(VLOOKUP(B434,'MASTER DATA'!$A$1:$E$212,5,FALSE),"")</f>
        <v/>
      </c>
      <c r="E434" s="17"/>
      <c r="F434" s="17" t="str">
        <f>IFERROR(VLOOKUP(B434,'MASTER DATA'!$A$1:$E$212,4,FALSE),"")</f>
        <v/>
      </c>
      <c r="G434" s="17"/>
      <c r="H434" s="17"/>
      <c r="I434" s="17"/>
      <c r="J434" s="17" t="b">
        <v>0</v>
      </c>
    </row>
    <row r="435">
      <c r="A435" s="17"/>
      <c r="B435" s="17"/>
      <c r="C435" s="17" t="str">
        <f>IFERROR(VLOOKUP(B435,'MASTER DATA'!$A$1:$E$212,2,FALSE),"")</f>
        <v/>
      </c>
      <c r="D435" s="17" t="str">
        <f>IFERROR(VLOOKUP(B435,'MASTER DATA'!$A$1:$E$212,5,FALSE),"")</f>
        <v/>
      </c>
      <c r="E435" s="17"/>
      <c r="F435" s="17" t="str">
        <f>IFERROR(VLOOKUP(B435,'MASTER DATA'!$A$1:$E$212,4,FALSE),"")</f>
        <v/>
      </c>
      <c r="G435" s="17"/>
      <c r="H435" s="17"/>
      <c r="I435" s="17"/>
      <c r="J435" s="17" t="b">
        <v>0</v>
      </c>
    </row>
    <row r="436">
      <c r="A436" s="17"/>
      <c r="B436" s="17"/>
      <c r="C436" s="17" t="str">
        <f>IFERROR(VLOOKUP(B436,'MASTER DATA'!$A$1:$E$212,2,FALSE),"")</f>
        <v/>
      </c>
      <c r="D436" s="17" t="str">
        <f>IFERROR(VLOOKUP(B436,'MASTER DATA'!$A$1:$E$212,5,FALSE),"")</f>
        <v/>
      </c>
      <c r="E436" s="17"/>
      <c r="F436" s="17" t="str">
        <f>IFERROR(VLOOKUP(B436,'MASTER DATA'!$A$1:$E$212,4,FALSE),"")</f>
        <v/>
      </c>
      <c r="G436" s="17"/>
      <c r="H436" s="17"/>
      <c r="I436" s="17"/>
      <c r="J436" s="17" t="b">
        <v>0</v>
      </c>
    </row>
    <row r="437">
      <c r="A437" s="17"/>
      <c r="B437" s="17"/>
      <c r="C437" s="17" t="str">
        <f>IFERROR(VLOOKUP(B437,'MASTER DATA'!$A$1:$E$212,2,FALSE),"")</f>
        <v/>
      </c>
      <c r="D437" s="17" t="str">
        <f>IFERROR(VLOOKUP(B437,'MASTER DATA'!$A$1:$E$212,5,FALSE),"")</f>
        <v/>
      </c>
      <c r="E437" s="17"/>
      <c r="F437" s="17" t="str">
        <f>IFERROR(VLOOKUP(B437,'MASTER DATA'!$A$1:$E$212,4,FALSE),"")</f>
        <v/>
      </c>
      <c r="G437" s="17"/>
      <c r="H437" s="17"/>
      <c r="I437" s="17"/>
      <c r="J437" s="17" t="b">
        <v>0</v>
      </c>
    </row>
    <row r="438">
      <c r="A438" s="17"/>
      <c r="B438" s="17"/>
      <c r="C438" s="17" t="str">
        <f>IFERROR(VLOOKUP(B438,'MASTER DATA'!$A$1:$E$212,2,FALSE),"")</f>
        <v/>
      </c>
      <c r="D438" s="17" t="str">
        <f>IFERROR(VLOOKUP(B438,'MASTER DATA'!$A$1:$E$212,5,FALSE),"")</f>
        <v/>
      </c>
      <c r="E438" s="17"/>
      <c r="F438" s="17" t="str">
        <f>IFERROR(VLOOKUP(B438,'MASTER DATA'!$A$1:$E$212,4,FALSE),"")</f>
        <v/>
      </c>
      <c r="G438" s="17"/>
      <c r="H438" s="17"/>
      <c r="I438" s="17"/>
      <c r="J438" s="17" t="b">
        <v>0</v>
      </c>
    </row>
    <row r="439">
      <c r="A439" s="17"/>
      <c r="B439" s="17"/>
      <c r="C439" s="17" t="str">
        <f>IFERROR(VLOOKUP(B439,'MASTER DATA'!$A$1:$E$212,2,FALSE),"")</f>
        <v/>
      </c>
      <c r="D439" s="17" t="str">
        <f>IFERROR(VLOOKUP(B439,'MASTER DATA'!$A$1:$E$212,5,FALSE),"")</f>
        <v/>
      </c>
      <c r="E439" s="17"/>
      <c r="F439" s="17" t="str">
        <f>IFERROR(VLOOKUP(B439,'MASTER DATA'!$A$1:$E$212,4,FALSE),"")</f>
        <v/>
      </c>
      <c r="G439" s="17"/>
      <c r="H439" s="17"/>
      <c r="I439" s="17"/>
      <c r="J439" s="17" t="b">
        <v>0</v>
      </c>
    </row>
    <row r="440">
      <c r="A440" s="17"/>
      <c r="B440" s="17"/>
      <c r="C440" s="17" t="str">
        <f>IFERROR(VLOOKUP(B440,'MASTER DATA'!$A$1:$E$212,2,FALSE),"")</f>
        <v/>
      </c>
      <c r="D440" s="17" t="str">
        <f>IFERROR(VLOOKUP(B440,'MASTER DATA'!$A$1:$E$212,5,FALSE),"")</f>
        <v/>
      </c>
      <c r="E440" s="17"/>
      <c r="F440" s="17" t="str">
        <f>IFERROR(VLOOKUP(B440,'MASTER DATA'!$A$1:$E$212,4,FALSE),"")</f>
        <v/>
      </c>
      <c r="G440" s="17"/>
      <c r="H440" s="17"/>
      <c r="I440" s="17"/>
      <c r="J440" s="17" t="b">
        <v>0</v>
      </c>
    </row>
    <row r="441">
      <c r="A441" s="17"/>
      <c r="B441" s="17"/>
      <c r="C441" s="17" t="str">
        <f>IFERROR(VLOOKUP(B441,'MASTER DATA'!$A$1:$E$212,2,FALSE),"")</f>
        <v/>
      </c>
      <c r="D441" s="17" t="str">
        <f>IFERROR(VLOOKUP(B441,'MASTER DATA'!$A$1:$E$212,5,FALSE),"")</f>
        <v/>
      </c>
      <c r="E441" s="17"/>
      <c r="F441" s="17" t="str">
        <f>IFERROR(VLOOKUP(B441,'MASTER DATA'!$A$1:$E$212,4,FALSE),"")</f>
        <v/>
      </c>
      <c r="G441" s="17"/>
      <c r="H441" s="17"/>
      <c r="I441" s="17"/>
      <c r="J441" s="17" t="b">
        <v>0</v>
      </c>
    </row>
    <row r="442">
      <c r="A442" s="17"/>
      <c r="B442" s="17"/>
      <c r="C442" s="17" t="str">
        <f>IFERROR(VLOOKUP(B442,'MASTER DATA'!$A$1:$E$212,2,FALSE),"")</f>
        <v/>
      </c>
      <c r="D442" s="17" t="str">
        <f>IFERROR(VLOOKUP(B442,'MASTER DATA'!$A$1:$E$212,5,FALSE),"")</f>
        <v/>
      </c>
      <c r="E442" s="17"/>
      <c r="F442" s="17" t="str">
        <f>IFERROR(VLOOKUP(B442,'MASTER DATA'!$A$1:$E$212,4,FALSE),"")</f>
        <v/>
      </c>
      <c r="G442" s="17"/>
      <c r="H442" s="17"/>
      <c r="I442" s="17"/>
      <c r="J442" s="17" t="b">
        <v>0</v>
      </c>
    </row>
    <row r="443">
      <c r="A443" s="17"/>
      <c r="B443" s="17"/>
      <c r="C443" s="17" t="str">
        <f>IFERROR(VLOOKUP(B443,'MASTER DATA'!$A$1:$E$212,2,FALSE),"")</f>
        <v/>
      </c>
      <c r="D443" s="17" t="str">
        <f>IFERROR(VLOOKUP(B443,'MASTER DATA'!$A$1:$E$212,5,FALSE),"")</f>
        <v/>
      </c>
      <c r="E443" s="17"/>
      <c r="F443" s="17" t="str">
        <f>IFERROR(VLOOKUP(B443,'MASTER DATA'!$A$1:$E$212,4,FALSE),"")</f>
        <v/>
      </c>
      <c r="G443" s="17"/>
      <c r="H443" s="17"/>
      <c r="I443" s="17"/>
      <c r="J443" s="17" t="b">
        <v>0</v>
      </c>
    </row>
    <row r="444">
      <c r="A444" s="17"/>
      <c r="B444" s="17"/>
      <c r="C444" s="17" t="str">
        <f>IFERROR(VLOOKUP(B444,'MASTER DATA'!$A$1:$E$212,2,FALSE),"")</f>
        <v/>
      </c>
      <c r="D444" s="17" t="str">
        <f>IFERROR(VLOOKUP(B444,'MASTER DATA'!$A$1:$E$212,5,FALSE),"")</f>
        <v/>
      </c>
      <c r="E444" s="17"/>
      <c r="F444" s="17" t="str">
        <f>IFERROR(VLOOKUP(B444,'MASTER DATA'!$A$1:$E$212,4,FALSE),"")</f>
        <v/>
      </c>
      <c r="G444" s="17"/>
      <c r="H444" s="17"/>
      <c r="I444" s="17"/>
      <c r="J444" s="17" t="b">
        <v>0</v>
      </c>
    </row>
    <row r="445">
      <c r="A445" s="17"/>
      <c r="B445" s="17"/>
      <c r="C445" s="17" t="str">
        <f>IFERROR(VLOOKUP(B445,'MASTER DATA'!$A$1:$E$212,2,FALSE),"")</f>
        <v/>
      </c>
      <c r="D445" s="17" t="str">
        <f>IFERROR(VLOOKUP(B445,'MASTER DATA'!$A$1:$E$212,5,FALSE),"")</f>
        <v/>
      </c>
      <c r="E445" s="17"/>
      <c r="F445" s="17" t="str">
        <f>IFERROR(VLOOKUP(B445,'MASTER DATA'!$A$1:$E$212,4,FALSE),"")</f>
        <v/>
      </c>
      <c r="G445" s="17"/>
      <c r="H445" s="17"/>
      <c r="I445" s="17"/>
      <c r="J445" s="17" t="b">
        <v>0</v>
      </c>
    </row>
    <row r="446">
      <c r="A446" s="17"/>
      <c r="B446" s="17"/>
      <c r="C446" s="17" t="str">
        <f>IFERROR(VLOOKUP(B446,'MASTER DATA'!$A$1:$E$212,2,FALSE),"")</f>
        <v/>
      </c>
      <c r="D446" s="17" t="str">
        <f>IFERROR(VLOOKUP(B446,'MASTER DATA'!$A$1:$E$212,5,FALSE),"")</f>
        <v/>
      </c>
      <c r="E446" s="17"/>
      <c r="F446" s="17" t="str">
        <f>IFERROR(VLOOKUP(B446,'MASTER DATA'!$A$1:$E$212,4,FALSE),"")</f>
        <v/>
      </c>
      <c r="G446" s="17"/>
      <c r="H446" s="17"/>
      <c r="I446" s="17"/>
      <c r="J446" s="17" t="b">
        <v>0</v>
      </c>
    </row>
    <row r="447">
      <c r="A447" s="17"/>
      <c r="B447" s="17"/>
      <c r="C447" s="17" t="str">
        <f>IFERROR(VLOOKUP(B447,'MASTER DATA'!$A$1:$E$212,2,FALSE),"")</f>
        <v/>
      </c>
      <c r="D447" s="17" t="str">
        <f>IFERROR(VLOOKUP(B447,'MASTER DATA'!$A$1:$E$212,5,FALSE),"")</f>
        <v/>
      </c>
      <c r="E447" s="17"/>
      <c r="F447" s="17" t="str">
        <f>IFERROR(VLOOKUP(B447,'MASTER DATA'!$A$1:$E$212,4,FALSE),"")</f>
        <v/>
      </c>
      <c r="G447" s="17"/>
      <c r="H447" s="17"/>
      <c r="I447" s="17"/>
      <c r="J447" s="17" t="b">
        <v>0</v>
      </c>
    </row>
    <row r="448">
      <c r="A448" s="17"/>
      <c r="B448" s="17"/>
      <c r="C448" s="17" t="str">
        <f>IFERROR(VLOOKUP(B448,'MASTER DATA'!$A$1:$E$212,2,FALSE),"")</f>
        <v/>
      </c>
      <c r="D448" s="17" t="str">
        <f>IFERROR(VLOOKUP(B448,'MASTER DATA'!$A$1:$E$212,5,FALSE),"")</f>
        <v/>
      </c>
      <c r="E448" s="17"/>
      <c r="F448" s="17" t="str">
        <f>IFERROR(VLOOKUP(B448,'MASTER DATA'!$A$1:$E$212,4,FALSE),"")</f>
        <v/>
      </c>
      <c r="G448" s="17"/>
      <c r="H448" s="17"/>
      <c r="I448" s="17"/>
      <c r="J448" s="17" t="b">
        <v>0</v>
      </c>
    </row>
    <row r="449">
      <c r="A449" s="17"/>
      <c r="B449" s="17"/>
      <c r="C449" s="17" t="str">
        <f>IFERROR(VLOOKUP(B449,'MASTER DATA'!$A$1:$E$212,2,FALSE),"")</f>
        <v/>
      </c>
      <c r="D449" s="17" t="str">
        <f>IFERROR(VLOOKUP(B449,'MASTER DATA'!$A$1:$E$212,5,FALSE),"")</f>
        <v/>
      </c>
      <c r="E449" s="17"/>
      <c r="F449" s="17" t="str">
        <f>IFERROR(VLOOKUP(B449,'MASTER DATA'!$A$1:$E$212,4,FALSE),"")</f>
        <v/>
      </c>
      <c r="G449" s="17"/>
      <c r="H449" s="17"/>
      <c r="I449" s="17"/>
      <c r="J449" s="17" t="b">
        <v>0</v>
      </c>
    </row>
    <row r="450">
      <c r="A450" s="17"/>
      <c r="B450" s="17"/>
      <c r="C450" s="17" t="str">
        <f>IFERROR(VLOOKUP(B450,'MASTER DATA'!$A$1:$E$212,2,FALSE),"")</f>
        <v/>
      </c>
      <c r="D450" s="17" t="str">
        <f>IFERROR(VLOOKUP(B450,'MASTER DATA'!$A$1:$E$212,5,FALSE),"")</f>
        <v/>
      </c>
      <c r="E450" s="17"/>
      <c r="F450" s="17" t="str">
        <f>IFERROR(VLOOKUP(B450,'MASTER DATA'!$A$1:$E$212,4,FALSE),"")</f>
        <v/>
      </c>
      <c r="G450" s="17"/>
      <c r="H450" s="17"/>
      <c r="I450" s="17"/>
      <c r="J450" s="17" t="b">
        <v>0</v>
      </c>
    </row>
    <row r="451">
      <c r="A451" s="17"/>
      <c r="B451" s="17"/>
      <c r="C451" s="17" t="str">
        <f>IFERROR(VLOOKUP(B451,'MASTER DATA'!$A$1:$E$212,2,FALSE),"")</f>
        <v/>
      </c>
      <c r="D451" s="17" t="str">
        <f>IFERROR(VLOOKUP(B451,'MASTER DATA'!$A$1:$E$212,5,FALSE),"")</f>
        <v/>
      </c>
      <c r="E451" s="17"/>
      <c r="F451" s="17" t="str">
        <f>IFERROR(VLOOKUP(B451,'MASTER DATA'!$A$1:$E$212,4,FALSE),"")</f>
        <v/>
      </c>
      <c r="G451" s="17"/>
      <c r="H451" s="17"/>
      <c r="I451" s="17"/>
      <c r="J451" s="17" t="b">
        <v>0</v>
      </c>
    </row>
    <row r="452">
      <c r="A452" s="17"/>
      <c r="B452" s="17"/>
      <c r="C452" s="17" t="str">
        <f>IFERROR(VLOOKUP(B452,'MASTER DATA'!$A$1:$E$212,2,FALSE),"")</f>
        <v/>
      </c>
      <c r="D452" s="17" t="str">
        <f>IFERROR(VLOOKUP(B452,'MASTER DATA'!$A$1:$E$212,5,FALSE),"")</f>
        <v/>
      </c>
      <c r="E452" s="17"/>
      <c r="F452" s="17" t="str">
        <f>IFERROR(VLOOKUP(B452,'MASTER DATA'!$A$1:$E$212,4,FALSE),"")</f>
        <v/>
      </c>
      <c r="G452" s="17"/>
      <c r="H452" s="17"/>
      <c r="I452" s="17"/>
      <c r="J452" s="17" t="b">
        <v>0</v>
      </c>
    </row>
    <row r="453">
      <c r="A453" s="17"/>
      <c r="B453" s="17"/>
      <c r="C453" s="17" t="str">
        <f>IFERROR(VLOOKUP(B453,'MASTER DATA'!$A$1:$E$212,2,FALSE),"")</f>
        <v/>
      </c>
      <c r="D453" s="17" t="str">
        <f>IFERROR(VLOOKUP(B453,'MASTER DATA'!$A$1:$E$212,5,FALSE),"")</f>
        <v/>
      </c>
      <c r="E453" s="17"/>
      <c r="F453" s="17" t="str">
        <f>IFERROR(VLOOKUP(B453,'MASTER DATA'!$A$1:$E$212,4,FALSE),"")</f>
        <v/>
      </c>
      <c r="G453" s="17"/>
      <c r="H453" s="17"/>
      <c r="I453" s="17"/>
      <c r="J453" s="17" t="b">
        <v>0</v>
      </c>
    </row>
    <row r="454">
      <c r="A454" s="17"/>
      <c r="B454" s="17"/>
      <c r="C454" s="17" t="str">
        <f>IFERROR(VLOOKUP(B454,'MASTER DATA'!$A$1:$E$212,2,FALSE),"")</f>
        <v/>
      </c>
      <c r="D454" s="17" t="str">
        <f>IFERROR(VLOOKUP(B454,'MASTER DATA'!$A$1:$E$212,5,FALSE),"")</f>
        <v/>
      </c>
      <c r="E454" s="17"/>
      <c r="F454" s="17" t="str">
        <f>IFERROR(VLOOKUP(B454,'MASTER DATA'!$A$1:$E$212,4,FALSE),"")</f>
        <v/>
      </c>
      <c r="G454" s="17"/>
      <c r="H454" s="17"/>
      <c r="I454" s="17"/>
      <c r="J454" s="17" t="b">
        <v>0</v>
      </c>
    </row>
    <row r="455">
      <c r="A455" s="17"/>
      <c r="B455" s="17"/>
      <c r="C455" s="17" t="str">
        <f>IFERROR(VLOOKUP(B455,'MASTER DATA'!$A$1:$E$212,2,FALSE),"")</f>
        <v/>
      </c>
      <c r="D455" s="17" t="str">
        <f>IFERROR(VLOOKUP(B455,'MASTER DATA'!$A$1:$E$212,5,FALSE),"")</f>
        <v/>
      </c>
      <c r="E455" s="17"/>
      <c r="F455" s="17" t="str">
        <f>IFERROR(VLOOKUP(B455,'MASTER DATA'!$A$1:$E$212,4,FALSE),"")</f>
        <v/>
      </c>
      <c r="G455" s="17"/>
      <c r="H455" s="17"/>
      <c r="I455" s="17"/>
      <c r="J455" s="17" t="b">
        <v>0</v>
      </c>
    </row>
    <row r="456">
      <c r="A456" s="17"/>
      <c r="B456" s="17"/>
      <c r="C456" s="17" t="str">
        <f>IFERROR(VLOOKUP(B456,'MASTER DATA'!$A$1:$E$212,2,FALSE),"")</f>
        <v/>
      </c>
      <c r="D456" s="17" t="str">
        <f>IFERROR(VLOOKUP(B456,'MASTER DATA'!$A$1:$E$212,5,FALSE),"")</f>
        <v/>
      </c>
      <c r="E456" s="17"/>
      <c r="F456" s="17" t="str">
        <f>IFERROR(VLOOKUP(B456,'MASTER DATA'!$A$1:$E$212,4,FALSE),"")</f>
        <v/>
      </c>
      <c r="G456" s="17"/>
      <c r="H456" s="17"/>
      <c r="I456" s="17"/>
      <c r="J456" s="17" t="b">
        <v>0</v>
      </c>
    </row>
    <row r="457">
      <c r="A457" s="17"/>
      <c r="B457" s="17"/>
      <c r="C457" s="17" t="str">
        <f>IFERROR(VLOOKUP(B457,'MASTER DATA'!$A$1:$E$212,2,FALSE),"")</f>
        <v/>
      </c>
      <c r="D457" s="17" t="str">
        <f>IFERROR(VLOOKUP(B457,'MASTER DATA'!$A$1:$E$212,5,FALSE),"")</f>
        <v/>
      </c>
      <c r="E457" s="17"/>
      <c r="F457" s="17" t="str">
        <f>IFERROR(VLOOKUP(B457,'MASTER DATA'!$A$1:$E$212,4,FALSE),"")</f>
        <v/>
      </c>
      <c r="G457" s="17"/>
      <c r="H457" s="17"/>
      <c r="I457" s="17"/>
      <c r="J457" s="17" t="b">
        <v>0</v>
      </c>
    </row>
    <row r="458">
      <c r="A458" s="17"/>
      <c r="B458" s="17"/>
      <c r="C458" s="17" t="str">
        <f>IFERROR(VLOOKUP(B458,'MASTER DATA'!$A$1:$E$212,2,FALSE),"")</f>
        <v/>
      </c>
      <c r="D458" s="17" t="str">
        <f>IFERROR(VLOOKUP(B458,'MASTER DATA'!$A$1:$E$212,5,FALSE),"")</f>
        <v/>
      </c>
      <c r="E458" s="17"/>
      <c r="F458" s="17" t="str">
        <f>IFERROR(VLOOKUP(B458,'MASTER DATA'!$A$1:$E$212,4,FALSE),"")</f>
        <v/>
      </c>
      <c r="G458" s="17"/>
      <c r="H458" s="17"/>
      <c r="I458" s="17"/>
      <c r="J458" s="17" t="b">
        <v>0</v>
      </c>
    </row>
    <row r="459">
      <c r="A459" s="17"/>
      <c r="B459" s="17"/>
      <c r="C459" s="17" t="str">
        <f>IFERROR(VLOOKUP(B459,'MASTER DATA'!$A$1:$E$212,2,FALSE),"")</f>
        <v/>
      </c>
      <c r="D459" s="17" t="str">
        <f>IFERROR(VLOOKUP(B459,'MASTER DATA'!$A$1:$E$212,5,FALSE),"")</f>
        <v/>
      </c>
      <c r="E459" s="17"/>
      <c r="F459" s="17" t="str">
        <f>IFERROR(VLOOKUP(B459,'MASTER DATA'!$A$1:$E$212,4,FALSE),"")</f>
        <v/>
      </c>
      <c r="G459" s="17"/>
      <c r="H459" s="17"/>
      <c r="I459" s="17"/>
      <c r="J459" s="17" t="b">
        <v>0</v>
      </c>
    </row>
    <row r="460">
      <c r="A460" s="17"/>
      <c r="B460" s="17"/>
      <c r="C460" s="17" t="str">
        <f>IFERROR(VLOOKUP(B460,'MASTER DATA'!$A$1:$E$212,2,FALSE),"")</f>
        <v/>
      </c>
      <c r="D460" s="17" t="str">
        <f>IFERROR(VLOOKUP(B460,'MASTER DATA'!$A$1:$E$212,5,FALSE),"")</f>
        <v/>
      </c>
      <c r="E460" s="17"/>
      <c r="F460" s="17" t="str">
        <f>IFERROR(VLOOKUP(B460,'MASTER DATA'!$A$1:$E$212,4,FALSE),"")</f>
        <v/>
      </c>
      <c r="G460" s="17"/>
      <c r="H460" s="17"/>
      <c r="I460" s="17"/>
      <c r="J460" s="17" t="b">
        <v>0</v>
      </c>
    </row>
    <row r="461">
      <c r="A461" s="17"/>
      <c r="B461" s="17"/>
      <c r="C461" s="17" t="str">
        <f>IFERROR(VLOOKUP(B461,'MASTER DATA'!$A$1:$E$212,2,FALSE),"")</f>
        <v/>
      </c>
      <c r="D461" s="17" t="str">
        <f>IFERROR(VLOOKUP(B461,'MASTER DATA'!$A$1:$E$212,5,FALSE),"")</f>
        <v/>
      </c>
      <c r="E461" s="17"/>
      <c r="F461" s="17" t="str">
        <f>IFERROR(VLOOKUP(B461,'MASTER DATA'!$A$1:$E$212,4,FALSE),"")</f>
        <v/>
      </c>
      <c r="G461" s="17"/>
      <c r="H461" s="17"/>
      <c r="I461" s="17"/>
      <c r="J461" s="17" t="b">
        <v>0</v>
      </c>
    </row>
    <row r="462">
      <c r="A462" s="17"/>
      <c r="B462" s="17"/>
      <c r="C462" s="17" t="str">
        <f>IFERROR(VLOOKUP(B462,'MASTER DATA'!$A$1:$E$212,2,FALSE),"")</f>
        <v/>
      </c>
      <c r="D462" s="17" t="str">
        <f>IFERROR(VLOOKUP(B462,'MASTER DATA'!$A$1:$E$212,5,FALSE),"")</f>
        <v/>
      </c>
      <c r="E462" s="17"/>
      <c r="F462" s="17" t="str">
        <f>IFERROR(VLOOKUP(B462,'MASTER DATA'!$A$1:$E$212,4,FALSE),"")</f>
        <v/>
      </c>
      <c r="G462" s="17"/>
      <c r="H462" s="17"/>
      <c r="I462" s="17"/>
      <c r="J462" s="17" t="b">
        <v>0</v>
      </c>
    </row>
    <row r="463">
      <c r="A463" s="17"/>
      <c r="B463" s="17"/>
      <c r="C463" s="17" t="str">
        <f>IFERROR(VLOOKUP(B463,'MASTER DATA'!$A$1:$E$212,2,FALSE),"")</f>
        <v/>
      </c>
      <c r="D463" s="17" t="str">
        <f>IFERROR(VLOOKUP(B463,'MASTER DATA'!$A$1:$E$212,5,FALSE),"")</f>
        <v/>
      </c>
      <c r="E463" s="17"/>
      <c r="F463" s="17" t="str">
        <f>IFERROR(VLOOKUP(B463,'MASTER DATA'!$A$1:$E$212,4,FALSE),"")</f>
        <v/>
      </c>
      <c r="G463" s="17"/>
      <c r="H463" s="17"/>
      <c r="I463" s="17"/>
      <c r="J463" s="17" t="b">
        <v>0</v>
      </c>
    </row>
    <row r="464">
      <c r="A464" s="17"/>
      <c r="B464" s="17"/>
      <c r="C464" s="17" t="str">
        <f>IFERROR(VLOOKUP(B464,'MASTER DATA'!$A$1:$E$212,2,FALSE),"")</f>
        <v/>
      </c>
      <c r="D464" s="17" t="str">
        <f>IFERROR(VLOOKUP(B464,'MASTER DATA'!$A$1:$E$212,5,FALSE),"")</f>
        <v/>
      </c>
      <c r="E464" s="17"/>
      <c r="F464" s="17" t="str">
        <f>IFERROR(VLOOKUP(B464,'MASTER DATA'!$A$1:$E$212,4,FALSE),"")</f>
        <v/>
      </c>
      <c r="G464" s="17"/>
      <c r="H464" s="17"/>
      <c r="I464" s="17"/>
      <c r="J464" s="17" t="b">
        <v>0</v>
      </c>
    </row>
    <row r="465">
      <c r="A465" s="17"/>
      <c r="B465" s="17"/>
      <c r="C465" s="17" t="str">
        <f>IFERROR(VLOOKUP(B465,'MASTER DATA'!$A$1:$E$212,2,FALSE),"")</f>
        <v/>
      </c>
      <c r="D465" s="17" t="str">
        <f>IFERROR(VLOOKUP(B465,'MASTER DATA'!$A$1:$E$212,5,FALSE),"")</f>
        <v/>
      </c>
      <c r="E465" s="17"/>
      <c r="F465" s="17" t="str">
        <f>IFERROR(VLOOKUP(B465,'MASTER DATA'!$A$1:$E$212,4,FALSE),"")</f>
        <v/>
      </c>
      <c r="G465" s="17"/>
      <c r="H465" s="17"/>
      <c r="I465" s="17"/>
      <c r="J465" s="17" t="b">
        <v>0</v>
      </c>
    </row>
    <row r="466">
      <c r="A466" s="17"/>
      <c r="B466" s="17"/>
      <c r="C466" s="17" t="str">
        <f>IFERROR(VLOOKUP(B466,'MASTER DATA'!$A$1:$E$212,2,FALSE),"")</f>
        <v/>
      </c>
      <c r="D466" s="17" t="str">
        <f>IFERROR(VLOOKUP(B466,'MASTER DATA'!$A$1:$E$212,5,FALSE),"")</f>
        <v/>
      </c>
      <c r="E466" s="17"/>
      <c r="F466" s="17" t="str">
        <f>IFERROR(VLOOKUP(B466,'MASTER DATA'!$A$1:$E$212,4,FALSE),"")</f>
        <v/>
      </c>
      <c r="G466" s="17"/>
      <c r="H466" s="17"/>
      <c r="I466" s="17"/>
      <c r="J466" s="17" t="b">
        <v>0</v>
      </c>
    </row>
    <row r="467">
      <c r="A467" s="17"/>
      <c r="B467" s="17"/>
      <c r="C467" s="17" t="str">
        <f>IFERROR(VLOOKUP(B467,'MASTER DATA'!$A$1:$E$212,2,FALSE),"")</f>
        <v/>
      </c>
      <c r="D467" s="17" t="str">
        <f>IFERROR(VLOOKUP(B467,'MASTER DATA'!$A$1:$E$212,5,FALSE),"")</f>
        <v/>
      </c>
      <c r="E467" s="17"/>
      <c r="F467" s="17" t="str">
        <f>IFERROR(VLOOKUP(B467,'MASTER DATA'!$A$1:$E$212,4,FALSE),"")</f>
        <v/>
      </c>
      <c r="G467" s="17"/>
      <c r="H467" s="17"/>
      <c r="I467" s="17"/>
      <c r="J467" s="17" t="b">
        <v>0</v>
      </c>
    </row>
    <row r="468">
      <c r="A468" s="17"/>
      <c r="B468" s="17"/>
      <c r="C468" s="17" t="str">
        <f>IFERROR(VLOOKUP(B468,'MASTER DATA'!$A$1:$E$212,2,FALSE),"")</f>
        <v/>
      </c>
      <c r="D468" s="17" t="str">
        <f>IFERROR(VLOOKUP(B468,'MASTER DATA'!$A$1:$E$212,5,FALSE),"")</f>
        <v/>
      </c>
      <c r="E468" s="17"/>
      <c r="F468" s="17" t="str">
        <f>IFERROR(VLOOKUP(B468,'MASTER DATA'!$A$1:$E$212,4,FALSE),"")</f>
        <v/>
      </c>
      <c r="G468" s="17"/>
      <c r="H468" s="17"/>
      <c r="I468" s="17"/>
      <c r="J468" s="17" t="b">
        <v>0</v>
      </c>
    </row>
    <row r="469">
      <c r="A469" s="17"/>
      <c r="B469" s="17"/>
      <c r="C469" s="17" t="str">
        <f>IFERROR(VLOOKUP(B469,'MASTER DATA'!$A$1:$E$212,2,FALSE),"")</f>
        <v/>
      </c>
      <c r="D469" s="17" t="str">
        <f>IFERROR(VLOOKUP(B469,'MASTER DATA'!$A$1:$E$212,5,FALSE),"")</f>
        <v/>
      </c>
      <c r="E469" s="17"/>
      <c r="F469" s="17" t="str">
        <f>IFERROR(VLOOKUP(B469,'MASTER DATA'!$A$1:$E$212,4,FALSE),"")</f>
        <v/>
      </c>
      <c r="G469" s="17"/>
      <c r="H469" s="17"/>
      <c r="I469" s="17"/>
      <c r="J469" s="17" t="b">
        <v>0</v>
      </c>
    </row>
    <row r="470">
      <c r="A470" s="17"/>
      <c r="B470" s="17"/>
      <c r="C470" s="17" t="str">
        <f>IFERROR(VLOOKUP(B470,'MASTER DATA'!$A$1:$E$212,2,FALSE),"")</f>
        <v/>
      </c>
      <c r="D470" s="17" t="str">
        <f>IFERROR(VLOOKUP(B470,'MASTER DATA'!$A$1:$E$212,5,FALSE),"")</f>
        <v/>
      </c>
      <c r="E470" s="17"/>
      <c r="F470" s="17" t="str">
        <f>IFERROR(VLOOKUP(B470,'MASTER DATA'!$A$1:$E$212,4,FALSE),"")</f>
        <v/>
      </c>
      <c r="G470" s="17"/>
      <c r="H470" s="17"/>
      <c r="I470" s="17"/>
      <c r="J470" s="17" t="b">
        <v>0</v>
      </c>
    </row>
    <row r="471">
      <c r="A471" s="17"/>
      <c r="B471" s="17"/>
      <c r="C471" s="17" t="str">
        <f>IFERROR(VLOOKUP(B471,'MASTER DATA'!$A$1:$E$212,2,FALSE),"")</f>
        <v/>
      </c>
      <c r="D471" s="17" t="str">
        <f>IFERROR(VLOOKUP(B471,'MASTER DATA'!$A$1:$E$212,5,FALSE),"")</f>
        <v/>
      </c>
      <c r="E471" s="17"/>
      <c r="F471" s="17" t="str">
        <f>IFERROR(VLOOKUP(B471,'MASTER DATA'!$A$1:$E$212,4,FALSE),"")</f>
        <v/>
      </c>
      <c r="G471" s="17"/>
      <c r="H471" s="17"/>
      <c r="I471" s="17"/>
      <c r="J471" s="17" t="b">
        <v>0</v>
      </c>
    </row>
    <row r="472">
      <c r="A472" s="17"/>
      <c r="B472" s="17"/>
      <c r="C472" s="17" t="str">
        <f>IFERROR(VLOOKUP(B472,'MASTER DATA'!$A$1:$E$212,2,FALSE),"")</f>
        <v/>
      </c>
      <c r="D472" s="17" t="str">
        <f>IFERROR(VLOOKUP(B472,'MASTER DATA'!$A$1:$E$212,5,FALSE),"")</f>
        <v/>
      </c>
      <c r="E472" s="17"/>
      <c r="F472" s="17" t="str">
        <f>IFERROR(VLOOKUP(B472,'MASTER DATA'!$A$1:$E$212,4,FALSE),"")</f>
        <v/>
      </c>
      <c r="G472" s="17"/>
      <c r="H472" s="17"/>
      <c r="I472" s="17"/>
      <c r="J472" s="17" t="b">
        <v>0</v>
      </c>
    </row>
    <row r="473">
      <c r="A473" s="17"/>
      <c r="B473" s="17"/>
      <c r="C473" s="17" t="str">
        <f>IFERROR(VLOOKUP(B473,'MASTER DATA'!$A$1:$E$212,2,FALSE),"")</f>
        <v/>
      </c>
      <c r="D473" s="17" t="str">
        <f>IFERROR(VLOOKUP(B473,'MASTER DATA'!$A$1:$E$212,5,FALSE),"")</f>
        <v/>
      </c>
      <c r="E473" s="17"/>
      <c r="F473" s="17" t="str">
        <f>IFERROR(VLOOKUP(B473,'MASTER DATA'!$A$1:$E$212,4,FALSE),"")</f>
        <v/>
      </c>
      <c r="G473" s="17"/>
      <c r="H473" s="17"/>
      <c r="I473" s="17"/>
      <c r="J473" s="17" t="b">
        <v>0</v>
      </c>
    </row>
    <row r="474">
      <c r="A474" s="17"/>
      <c r="B474" s="17"/>
      <c r="C474" s="17" t="str">
        <f>IFERROR(VLOOKUP(B474,'MASTER DATA'!$A$1:$E$212,2,FALSE),"")</f>
        <v/>
      </c>
      <c r="D474" s="17" t="str">
        <f>IFERROR(VLOOKUP(B474,'MASTER DATA'!$A$1:$E$212,5,FALSE),"")</f>
        <v/>
      </c>
      <c r="E474" s="17"/>
      <c r="F474" s="17" t="str">
        <f>IFERROR(VLOOKUP(B474,'MASTER DATA'!$A$1:$E$212,4,FALSE),"")</f>
        <v/>
      </c>
      <c r="G474" s="17"/>
      <c r="H474" s="17"/>
      <c r="I474" s="17"/>
      <c r="J474" s="17" t="b">
        <v>0</v>
      </c>
    </row>
    <row r="475">
      <c r="A475" s="17"/>
      <c r="B475" s="17"/>
      <c r="C475" s="17" t="str">
        <f>IFERROR(VLOOKUP(B475,'MASTER DATA'!$A$1:$E$212,2,FALSE),"")</f>
        <v/>
      </c>
      <c r="D475" s="17" t="str">
        <f>IFERROR(VLOOKUP(B475,'MASTER DATA'!$A$1:$E$212,5,FALSE),"")</f>
        <v/>
      </c>
      <c r="E475" s="17"/>
      <c r="F475" s="17" t="str">
        <f>IFERROR(VLOOKUP(B475,'MASTER DATA'!$A$1:$E$212,4,FALSE),"")</f>
        <v/>
      </c>
      <c r="G475" s="17"/>
      <c r="H475" s="17"/>
      <c r="I475" s="17"/>
      <c r="J475" s="17" t="b">
        <v>0</v>
      </c>
    </row>
    <row r="476">
      <c r="A476" s="17"/>
      <c r="B476" s="17"/>
      <c r="C476" s="17" t="str">
        <f>IFERROR(VLOOKUP(B476,'MASTER DATA'!$A$1:$E$212,2,FALSE),"")</f>
        <v/>
      </c>
      <c r="D476" s="17" t="str">
        <f>IFERROR(VLOOKUP(B476,'MASTER DATA'!$A$1:$E$212,5,FALSE),"")</f>
        <v/>
      </c>
      <c r="E476" s="17"/>
      <c r="F476" s="17" t="str">
        <f>IFERROR(VLOOKUP(B476,'MASTER DATA'!$A$1:$E$212,4,FALSE),"")</f>
        <v/>
      </c>
      <c r="G476" s="17"/>
      <c r="H476" s="17"/>
      <c r="I476" s="17"/>
      <c r="J476" s="17" t="b">
        <v>0</v>
      </c>
    </row>
    <row r="477">
      <c r="A477" s="17"/>
      <c r="B477" s="17"/>
      <c r="C477" s="17" t="str">
        <f>IFERROR(VLOOKUP(B477,'MASTER DATA'!$A$1:$E$212,2,FALSE),"")</f>
        <v/>
      </c>
      <c r="D477" s="17" t="str">
        <f>IFERROR(VLOOKUP(B477,'MASTER DATA'!$A$1:$E$212,5,FALSE),"")</f>
        <v/>
      </c>
      <c r="E477" s="17"/>
      <c r="F477" s="17" t="str">
        <f>IFERROR(VLOOKUP(B477,'MASTER DATA'!$A$1:$E$212,4,FALSE),"")</f>
        <v/>
      </c>
      <c r="G477" s="17"/>
      <c r="H477" s="17"/>
      <c r="I477" s="17"/>
      <c r="J477" s="17" t="b">
        <v>0</v>
      </c>
    </row>
    <row r="478">
      <c r="A478" s="17"/>
      <c r="B478" s="17"/>
      <c r="C478" s="17" t="str">
        <f>IFERROR(VLOOKUP(B478,'MASTER DATA'!$A$1:$E$212,2,FALSE),"")</f>
        <v/>
      </c>
      <c r="D478" s="17" t="str">
        <f>IFERROR(VLOOKUP(B478,'MASTER DATA'!$A$1:$E$212,5,FALSE),"")</f>
        <v/>
      </c>
      <c r="E478" s="17"/>
      <c r="F478" s="17" t="str">
        <f>IFERROR(VLOOKUP(B478,'MASTER DATA'!$A$1:$E$212,4,FALSE),"")</f>
        <v/>
      </c>
      <c r="G478" s="17"/>
      <c r="H478" s="17"/>
      <c r="I478" s="17"/>
      <c r="J478" s="17" t="b">
        <v>0</v>
      </c>
    </row>
    <row r="479">
      <c r="A479" s="17"/>
      <c r="B479" s="17"/>
      <c r="C479" s="17" t="str">
        <f>IFERROR(VLOOKUP(B479,'MASTER DATA'!$A$1:$E$212,2,FALSE),"")</f>
        <v/>
      </c>
      <c r="D479" s="17" t="str">
        <f>IFERROR(VLOOKUP(B479,'MASTER DATA'!$A$1:$E$212,5,FALSE),"")</f>
        <v/>
      </c>
      <c r="E479" s="17"/>
      <c r="F479" s="17" t="str">
        <f>IFERROR(VLOOKUP(B479,'MASTER DATA'!$A$1:$E$212,4,FALSE),"")</f>
        <v/>
      </c>
      <c r="G479" s="17"/>
      <c r="H479" s="17"/>
      <c r="I479" s="17"/>
      <c r="J479" s="17" t="b">
        <v>0</v>
      </c>
    </row>
    <row r="480">
      <c r="A480" s="17"/>
      <c r="B480" s="17"/>
      <c r="C480" s="17" t="str">
        <f>IFERROR(VLOOKUP(B480,'MASTER DATA'!$A$1:$E$212,2,FALSE),"")</f>
        <v/>
      </c>
      <c r="D480" s="17" t="str">
        <f>IFERROR(VLOOKUP(B480,'MASTER DATA'!$A$1:$E$212,5,FALSE),"")</f>
        <v/>
      </c>
      <c r="E480" s="17"/>
      <c r="F480" s="17" t="str">
        <f>IFERROR(VLOOKUP(B480,'MASTER DATA'!$A$1:$E$212,4,FALSE),"")</f>
        <v/>
      </c>
      <c r="G480" s="17"/>
      <c r="H480" s="17"/>
      <c r="I480" s="17"/>
      <c r="J480" s="17" t="b">
        <v>0</v>
      </c>
    </row>
    <row r="481">
      <c r="A481" s="17"/>
      <c r="B481" s="17"/>
      <c r="C481" s="17" t="str">
        <f>IFERROR(VLOOKUP(B481,'MASTER DATA'!$A$1:$E$212,2,FALSE),"")</f>
        <v/>
      </c>
      <c r="D481" s="17" t="str">
        <f>IFERROR(VLOOKUP(B481,'MASTER DATA'!$A$1:$E$212,5,FALSE),"")</f>
        <v/>
      </c>
      <c r="E481" s="17"/>
      <c r="F481" s="17" t="str">
        <f>IFERROR(VLOOKUP(B481,'MASTER DATA'!$A$1:$E$212,4,FALSE),"")</f>
        <v/>
      </c>
      <c r="G481" s="17"/>
      <c r="H481" s="17"/>
      <c r="I481" s="17"/>
      <c r="J481" s="17" t="b">
        <v>0</v>
      </c>
    </row>
    <row r="482">
      <c r="A482" s="17"/>
      <c r="B482" s="17"/>
      <c r="C482" s="17" t="str">
        <f>IFERROR(VLOOKUP(B482,'MASTER DATA'!$A$1:$E$212,2,FALSE),"")</f>
        <v/>
      </c>
      <c r="D482" s="17" t="str">
        <f>IFERROR(VLOOKUP(B482,'MASTER DATA'!$A$1:$E$212,5,FALSE),"")</f>
        <v/>
      </c>
      <c r="E482" s="17"/>
      <c r="F482" s="17" t="str">
        <f>IFERROR(VLOOKUP(B482,'MASTER DATA'!$A$1:$E$212,4,FALSE),"")</f>
        <v/>
      </c>
      <c r="G482" s="17"/>
      <c r="H482" s="17"/>
      <c r="I482" s="17"/>
      <c r="J482" s="17" t="b">
        <v>0</v>
      </c>
    </row>
    <row r="483">
      <c r="A483" s="17"/>
      <c r="B483" s="17"/>
      <c r="C483" s="17" t="str">
        <f>IFERROR(VLOOKUP(B483,'MASTER DATA'!$A$1:$E$212,2,FALSE),"")</f>
        <v/>
      </c>
      <c r="D483" s="17" t="str">
        <f>IFERROR(VLOOKUP(B483,'MASTER DATA'!$A$1:$E$212,5,FALSE),"")</f>
        <v/>
      </c>
      <c r="E483" s="17"/>
      <c r="F483" s="17" t="str">
        <f>IFERROR(VLOOKUP(B483,'MASTER DATA'!$A$1:$E$212,4,FALSE),"")</f>
        <v/>
      </c>
      <c r="G483" s="17"/>
      <c r="H483" s="17"/>
      <c r="I483" s="17"/>
      <c r="J483" s="17" t="b">
        <v>0</v>
      </c>
    </row>
    <row r="484">
      <c r="A484" s="17"/>
      <c r="B484" s="17"/>
      <c r="C484" s="17" t="str">
        <f>IFERROR(VLOOKUP(B484,'MASTER DATA'!$A$1:$E$212,2,FALSE),"")</f>
        <v/>
      </c>
      <c r="D484" s="17" t="str">
        <f>IFERROR(VLOOKUP(B484,'MASTER DATA'!$A$1:$E$212,5,FALSE),"")</f>
        <v/>
      </c>
      <c r="E484" s="17"/>
      <c r="F484" s="17" t="str">
        <f>IFERROR(VLOOKUP(B484,'MASTER DATA'!$A$1:$E$212,4,FALSE),"")</f>
        <v/>
      </c>
      <c r="G484" s="17"/>
      <c r="H484" s="17"/>
      <c r="I484" s="17"/>
      <c r="J484" s="17" t="b">
        <v>0</v>
      </c>
    </row>
    <row r="485">
      <c r="A485" s="17"/>
      <c r="B485" s="17"/>
      <c r="C485" s="17" t="str">
        <f>IFERROR(VLOOKUP(B485,'MASTER DATA'!$A$1:$E$212,2,FALSE),"")</f>
        <v/>
      </c>
      <c r="D485" s="17" t="str">
        <f>IFERROR(VLOOKUP(B485,'MASTER DATA'!$A$1:$E$212,5,FALSE),"")</f>
        <v/>
      </c>
      <c r="E485" s="17"/>
      <c r="F485" s="17" t="str">
        <f>IFERROR(VLOOKUP(B485,'MASTER DATA'!$A$1:$E$212,4,FALSE),"")</f>
        <v/>
      </c>
      <c r="G485" s="17"/>
      <c r="H485" s="17"/>
      <c r="I485" s="17"/>
      <c r="J485" s="17" t="b">
        <v>0</v>
      </c>
    </row>
    <row r="486">
      <c r="A486" s="17"/>
      <c r="B486" s="17"/>
      <c r="C486" s="17" t="str">
        <f>IFERROR(VLOOKUP(B486,'MASTER DATA'!$A$1:$E$212,2,FALSE),"")</f>
        <v/>
      </c>
      <c r="D486" s="17" t="str">
        <f>IFERROR(VLOOKUP(B486,'MASTER DATA'!$A$1:$E$212,5,FALSE),"")</f>
        <v/>
      </c>
      <c r="E486" s="17"/>
      <c r="F486" s="17" t="str">
        <f>IFERROR(VLOOKUP(B486,'MASTER DATA'!$A$1:$E$212,4,FALSE),"")</f>
        <v/>
      </c>
      <c r="G486" s="17"/>
      <c r="H486" s="17"/>
      <c r="I486" s="17"/>
      <c r="J486" s="17" t="b">
        <v>0</v>
      </c>
    </row>
    <row r="487">
      <c r="A487" s="17"/>
      <c r="B487" s="17"/>
      <c r="C487" s="17" t="str">
        <f>IFERROR(VLOOKUP(B487,'MASTER DATA'!$A$1:$E$212,2,FALSE),"")</f>
        <v/>
      </c>
      <c r="D487" s="17" t="str">
        <f>IFERROR(VLOOKUP(B487,'MASTER DATA'!$A$1:$E$212,5,FALSE),"")</f>
        <v/>
      </c>
      <c r="E487" s="17"/>
      <c r="F487" s="17" t="str">
        <f>IFERROR(VLOOKUP(B487,'MASTER DATA'!$A$1:$E$212,4,FALSE),"")</f>
        <v/>
      </c>
      <c r="G487" s="17"/>
      <c r="H487" s="17"/>
      <c r="I487" s="17"/>
      <c r="J487" s="17" t="b">
        <v>0</v>
      </c>
    </row>
    <row r="488">
      <c r="A488" s="17"/>
      <c r="B488" s="17"/>
      <c r="C488" s="17" t="str">
        <f>IFERROR(VLOOKUP(B488,'MASTER DATA'!$A$1:$E$212,2,FALSE),"")</f>
        <v/>
      </c>
      <c r="D488" s="17" t="str">
        <f>IFERROR(VLOOKUP(B488,'MASTER DATA'!$A$1:$E$212,5,FALSE),"")</f>
        <v/>
      </c>
      <c r="E488" s="17"/>
      <c r="F488" s="17" t="str">
        <f>IFERROR(VLOOKUP(B488,'MASTER DATA'!$A$1:$E$212,4,FALSE),"")</f>
        <v/>
      </c>
      <c r="G488" s="17"/>
      <c r="H488" s="17"/>
      <c r="I488" s="17"/>
      <c r="J488" s="17" t="b">
        <v>0</v>
      </c>
    </row>
    <row r="489">
      <c r="A489" s="17"/>
      <c r="B489" s="17"/>
      <c r="C489" s="17" t="str">
        <f>IFERROR(VLOOKUP(B489,'MASTER DATA'!$A$1:$E$212,2,FALSE),"")</f>
        <v/>
      </c>
      <c r="D489" s="17" t="str">
        <f>IFERROR(VLOOKUP(B489,'MASTER DATA'!$A$1:$E$212,5,FALSE),"")</f>
        <v/>
      </c>
      <c r="E489" s="17"/>
      <c r="F489" s="17" t="str">
        <f>IFERROR(VLOOKUP(B489,'MASTER DATA'!$A$1:$E$212,4,FALSE),"")</f>
        <v/>
      </c>
      <c r="G489" s="17"/>
      <c r="H489" s="17"/>
      <c r="I489" s="17"/>
      <c r="J489" s="17" t="b">
        <v>0</v>
      </c>
    </row>
    <row r="490">
      <c r="A490" s="17"/>
      <c r="B490" s="17"/>
      <c r="C490" s="17" t="str">
        <f>IFERROR(VLOOKUP(B490,'MASTER DATA'!$A$1:$E$212,2,FALSE),"")</f>
        <v/>
      </c>
      <c r="D490" s="17" t="str">
        <f>IFERROR(VLOOKUP(B490,'MASTER DATA'!$A$1:$E$212,5,FALSE),"")</f>
        <v/>
      </c>
      <c r="E490" s="17"/>
      <c r="F490" s="17" t="str">
        <f>IFERROR(VLOOKUP(B490,'MASTER DATA'!$A$1:$E$212,4,FALSE),"")</f>
        <v/>
      </c>
      <c r="G490" s="17"/>
      <c r="H490" s="17"/>
      <c r="I490" s="17"/>
      <c r="J490" s="17" t="b">
        <v>0</v>
      </c>
    </row>
    <row r="491">
      <c r="A491" s="17"/>
      <c r="B491" s="17"/>
      <c r="C491" s="17" t="str">
        <f>IFERROR(VLOOKUP(B491,'MASTER DATA'!$A$1:$E$212,2,FALSE),"")</f>
        <v/>
      </c>
      <c r="D491" s="17" t="str">
        <f>IFERROR(VLOOKUP(B491,'MASTER DATA'!$A$1:$E$212,5,FALSE),"")</f>
        <v/>
      </c>
      <c r="E491" s="17"/>
      <c r="F491" s="17" t="str">
        <f>IFERROR(VLOOKUP(B491,'MASTER DATA'!$A$1:$E$212,4,FALSE),"")</f>
        <v/>
      </c>
      <c r="G491" s="17"/>
      <c r="H491" s="17"/>
      <c r="I491" s="17"/>
      <c r="J491" s="17" t="b">
        <v>0</v>
      </c>
    </row>
    <row r="492">
      <c r="A492" s="17"/>
      <c r="B492" s="17"/>
      <c r="C492" s="17" t="str">
        <f>IFERROR(VLOOKUP(B492,'MASTER DATA'!$A$1:$E$212,2,FALSE),"")</f>
        <v/>
      </c>
      <c r="D492" s="17" t="str">
        <f>IFERROR(VLOOKUP(B492,'MASTER DATA'!$A$1:$E$212,5,FALSE),"")</f>
        <v/>
      </c>
      <c r="E492" s="17"/>
      <c r="F492" s="17" t="str">
        <f>IFERROR(VLOOKUP(B492,'MASTER DATA'!$A$1:$E$212,4,FALSE),"")</f>
        <v/>
      </c>
      <c r="G492" s="17"/>
      <c r="H492" s="17"/>
      <c r="I492" s="17"/>
      <c r="J492" s="17" t="b">
        <v>0</v>
      </c>
    </row>
    <row r="493">
      <c r="A493" s="17"/>
      <c r="B493" s="17"/>
      <c r="C493" s="17" t="str">
        <f>IFERROR(VLOOKUP(B493,'MASTER DATA'!$A$1:$E$212,2,FALSE),"")</f>
        <v/>
      </c>
      <c r="D493" s="17" t="str">
        <f>IFERROR(VLOOKUP(B493,'MASTER DATA'!$A$1:$E$212,5,FALSE),"")</f>
        <v/>
      </c>
      <c r="E493" s="17"/>
      <c r="F493" s="17" t="str">
        <f>IFERROR(VLOOKUP(B493,'MASTER DATA'!$A$1:$E$212,4,FALSE),"")</f>
        <v/>
      </c>
      <c r="G493" s="17"/>
      <c r="H493" s="17"/>
      <c r="I493" s="17"/>
      <c r="J493" s="17" t="b">
        <v>0</v>
      </c>
    </row>
    <row r="494">
      <c r="A494" s="17"/>
      <c r="B494" s="17"/>
      <c r="C494" s="17" t="str">
        <f>IFERROR(VLOOKUP(B494,'MASTER DATA'!$A$1:$E$212,2,FALSE),"")</f>
        <v/>
      </c>
      <c r="D494" s="17" t="str">
        <f>IFERROR(VLOOKUP(B494,'MASTER DATA'!$A$1:$E$212,5,FALSE),"")</f>
        <v/>
      </c>
      <c r="E494" s="17"/>
      <c r="F494" s="17" t="str">
        <f>IFERROR(VLOOKUP(B494,'MASTER DATA'!$A$1:$E$212,4,FALSE),"")</f>
        <v/>
      </c>
      <c r="G494" s="17"/>
      <c r="H494" s="17"/>
      <c r="I494" s="17"/>
      <c r="J494" s="17" t="b">
        <v>0</v>
      </c>
    </row>
    <row r="495">
      <c r="A495" s="17"/>
      <c r="B495" s="17"/>
      <c r="C495" s="17" t="str">
        <f>IFERROR(VLOOKUP(B495,'MASTER DATA'!$A$1:$E$212,2,FALSE),"")</f>
        <v/>
      </c>
      <c r="D495" s="17" t="str">
        <f>IFERROR(VLOOKUP(B495,'MASTER DATA'!$A$1:$E$212,5,FALSE),"")</f>
        <v/>
      </c>
      <c r="E495" s="17"/>
      <c r="F495" s="17" t="str">
        <f>IFERROR(VLOOKUP(B495,'MASTER DATA'!$A$1:$E$212,4,FALSE),"")</f>
        <v/>
      </c>
      <c r="G495" s="17"/>
      <c r="H495" s="17"/>
      <c r="I495" s="17"/>
      <c r="J495" s="17" t="b">
        <v>0</v>
      </c>
    </row>
    <row r="496">
      <c r="A496" s="17"/>
      <c r="B496" s="17"/>
      <c r="C496" s="17" t="str">
        <f>IFERROR(VLOOKUP(B496,'MASTER DATA'!$A$1:$E$212,2,FALSE),"")</f>
        <v/>
      </c>
      <c r="D496" s="17" t="str">
        <f>IFERROR(VLOOKUP(B496,'MASTER DATA'!$A$1:$E$212,5,FALSE),"")</f>
        <v/>
      </c>
      <c r="E496" s="17"/>
      <c r="F496" s="17" t="str">
        <f>IFERROR(VLOOKUP(B496,'MASTER DATA'!$A$1:$E$212,4,FALSE),"")</f>
        <v/>
      </c>
      <c r="G496" s="17"/>
      <c r="H496" s="17"/>
      <c r="I496" s="17"/>
      <c r="J496" s="17" t="b">
        <v>0</v>
      </c>
    </row>
    <row r="497">
      <c r="A497" s="17"/>
      <c r="B497" s="17"/>
      <c r="C497" s="17" t="str">
        <f>IFERROR(VLOOKUP(B497,'MASTER DATA'!$A$1:$E$212,2,FALSE),"")</f>
        <v/>
      </c>
      <c r="D497" s="17" t="str">
        <f>IFERROR(VLOOKUP(B497,'MASTER DATA'!$A$1:$E$212,5,FALSE),"")</f>
        <v/>
      </c>
      <c r="E497" s="17"/>
      <c r="F497" s="17" t="str">
        <f>IFERROR(VLOOKUP(B497,'MASTER DATA'!$A$1:$E$212,4,FALSE),"")</f>
        <v/>
      </c>
      <c r="G497" s="17"/>
      <c r="H497" s="17"/>
      <c r="I497" s="17"/>
      <c r="J497" s="17" t="b">
        <v>0</v>
      </c>
    </row>
    <row r="498">
      <c r="A498" s="17"/>
      <c r="B498" s="17"/>
      <c r="C498" s="17" t="str">
        <f>IFERROR(VLOOKUP(B498,'MASTER DATA'!$A$1:$E$212,2,FALSE),"")</f>
        <v/>
      </c>
      <c r="D498" s="17" t="str">
        <f>IFERROR(VLOOKUP(B498,'MASTER DATA'!$A$1:$E$212,5,FALSE),"")</f>
        <v/>
      </c>
      <c r="E498" s="17"/>
      <c r="F498" s="17" t="str">
        <f>IFERROR(VLOOKUP(B498,'MASTER DATA'!$A$1:$E$212,4,FALSE),"")</f>
        <v/>
      </c>
      <c r="G498" s="17"/>
      <c r="H498" s="17"/>
      <c r="I498" s="17"/>
      <c r="J498" s="17" t="b">
        <v>0</v>
      </c>
    </row>
    <row r="499">
      <c r="A499" s="17"/>
      <c r="B499" s="17"/>
      <c r="C499" s="17" t="str">
        <f>IFERROR(VLOOKUP(B499,'MASTER DATA'!$A$1:$E$212,2,FALSE),"")</f>
        <v/>
      </c>
      <c r="D499" s="17" t="str">
        <f>IFERROR(VLOOKUP(B499,'MASTER DATA'!$A$1:$E$212,5,FALSE),"")</f>
        <v/>
      </c>
      <c r="E499" s="17"/>
      <c r="F499" s="17" t="str">
        <f>IFERROR(VLOOKUP(B499,'MASTER DATA'!$A$1:$E$212,4,FALSE),"")</f>
        <v/>
      </c>
      <c r="G499" s="17"/>
      <c r="H499" s="17"/>
      <c r="I499" s="17"/>
      <c r="J499" s="17" t="b">
        <v>0</v>
      </c>
    </row>
    <row r="500">
      <c r="A500" s="17"/>
      <c r="B500" s="17"/>
      <c r="C500" s="17" t="str">
        <f>IFERROR(VLOOKUP(B500,'MASTER DATA'!$A$1:$E$212,2,FALSE),"")</f>
        <v/>
      </c>
      <c r="D500" s="17" t="str">
        <f>IFERROR(VLOOKUP(B500,'MASTER DATA'!$A$1:$E$212,5,FALSE),"")</f>
        <v/>
      </c>
      <c r="E500" s="17"/>
      <c r="F500" s="17" t="str">
        <f>IFERROR(VLOOKUP(B500,'MASTER DATA'!$A$1:$E$212,4,FALSE),"")</f>
        <v/>
      </c>
      <c r="G500" s="17"/>
      <c r="H500" s="17"/>
      <c r="I500" s="17"/>
      <c r="J500" s="17" t="b">
        <v>0</v>
      </c>
    </row>
    <row r="501">
      <c r="A501" s="17"/>
      <c r="B501" s="17"/>
      <c r="C501" s="17" t="str">
        <f>IFERROR(VLOOKUP(B501,'MASTER DATA'!$A$1:$E$212,2,FALSE),"")</f>
        <v/>
      </c>
      <c r="D501" s="17" t="str">
        <f>IFERROR(VLOOKUP(B501,'MASTER DATA'!$A$1:$E$212,5,FALSE),"")</f>
        <v/>
      </c>
      <c r="E501" s="17"/>
      <c r="F501" s="17" t="str">
        <f>IFERROR(VLOOKUP(B501,'MASTER DATA'!$A$1:$E$212,4,FALSE),"")</f>
        <v/>
      </c>
      <c r="G501" s="17"/>
      <c r="H501" s="17"/>
      <c r="I501" s="17"/>
      <c r="J501" s="17" t="b">
        <v>0</v>
      </c>
    </row>
    <row r="502">
      <c r="A502" s="17"/>
      <c r="B502" s="17"/>
      <c r="C502" s="17" t="str">
        <f>IFERROR(VLOOKUP(B502,'MASTER DATA'!$A$1:$E$212,2,FALSE),"")</f>
        <v/>
      </c>
      <c r="D502" s="17" t="str">
        <f>IFERROR(VLOOKUP(B502,'MASTER DATA'!$A$1:$E$212,5,FALSE),"")</f>
        <v/>
      </c>
      <c r="E502" s="17"/>
      <c r="F502" s="17" t="str">
        <f>IFERROR(VLOOKUP(B502,'MASTER DATA'!$A$1:$E$212,4,FALSE),"")</f>
        <v/>
      </c>
      <c r="G502" s="17"/>
      <c r="H502" s="17"/>
      <c r="I502" s="17"/>
      <c r="J502" s="17" t="b">
        <v>0</v>
      </c>
    </row>
    <row r="503">
      <c r="A503" s="17"/>
      <c r="B503" s="17"/>
      <c r="C503" s="17" t="str">
        <f>IFERROR(VLOOKUP(B503,'MASTER DATA'!$A$1:$E$212,2,FALSE),"")</f>
        <v/>
      </c>
      <c r="D503" s="17" t="str">
        <f>IFERROR(VLOOKUP(B503,'MASTER DATA'!$A$1:$E$212,5,FALSE),"")</f>
        <v/>
      </c>
      <c r="E503" s="17"/>
      <c r="F503" s="17" t="str">
        <f>IFERROR(VLOOKUP(B503,'MASTER DATA'!$A$1:$E$212,4,FALSE),"")</f>
        <v/>
      </c>
      <c r="G503" s="17"/>
      <c r="H503" s="17"/>
      <c r="I503" s="17"/>
      <c r="J503" s="17" t="b">
        <v>0</v>
      </c>
    </row>
    <row r="504">
      <c r="A504" s="17"/>
      <c r="B504" s="17"/>
      <c r="C504" s="17" t="str">
        <f>IFERROR(VLOOKUP(B504,'MASTER DATA'!$A$1:$E$212,2,FALSE),"")</f>
        <v/>
      </c>
      <c r="D504" s="17" t="str">
        <f>IFERROR(VLOOKUP(B504,'MASTER DATA'!$A$1:$E$212,5,FALSE),"")</f>
        <v/>
      </c>
      <c r="E504" s="17"/>
      <c r="F504" s="17" t="str">
        <f>IFERROR(VLOOKUP(B504,'MASTER DATA'!$A$1:$E$212,4,FALSE),"")</f>
        <v/>
      </c>
      <c r="G504" s="17"/>
      <c r="H504" s="17"/>
      <c r="I504" s="17"/>
      <c r="J504" s="17" t="b">
        <v>0</v>
      </c>
    </row>
    <row r="505">
      <c r="A505" s="17"/>
      <c r="B505" s="17"/>
      <c r="C505" s="17" t="str">
        <f>IFERROR(VLOOKUP(B505,'MASTER DATA'!$A$1:$E$212,2,FALSE),"")</f>
        <v/>
      </c>
      <c r="D505" s="17" t="str">
        <f>IFERROR(VLOOKUP(B505,'MASTER DATA'!$A$1:$E$212,5,FALSE),"")</f>
        <v/>
      </c>
      <c r="E505" s="17"/>
      <c r="F505" s="17" t="str">
        <f>IFERROR(VLOOKUP(B505,'MASTER DATA'!$A$1:$E$212,4,FALSE),"")</f>
        <v/>
      </c>
      <c r="G505" s="17"/>
      <c r="H505" s="17"/>
      <c r="I505" s="17"/>
      <c r="J505" s="17" t="b">
        <v>0</v>
      </c>
    </row>
    <row r="506">
      <c r="A506" s="17"/>
      <c r="B506" s="17"/>
      <c r="C506" s="17" t="str">
        <f>IFERROR(VLOOKUP(B506,'MASTER DATA'!$A$1:$E$212,2,FALSE),"")</f>
        <v/>
      </c>
      <c r="D506" s="17" t="str">
        <f>IFERROR(VLOOKUP(B506,'MASTER DATA'!$A$1:$E$212,5,FALSE),"")</f>
        <v/>
      </c>
      <c r="E506" s="17"/>
      <c r="F506" s="17" t="str">
        <f>IFERROR(VLOOKUP(B506,'MASTER DATA'!$A$1:$E$212,4,FALSE),"")</f>
        <v/>
      </c>
      <c r="G506" s="17"/>
      <c r="H506" s="17"/>
      <c r="I506" s="17"/>
      <c r="J506" s="17" t="b">
        <v>0</v>
      </c>
    </row>
    <row r="507">
      <c r="A507" s="17"/>
      <c r="B507" s="17"/>
      <c r="C507" s="17" t="str">
        <f>IFERROR(VLOOKUP(B507,'MASTER DATA'!$A$1:$E$212,2,FALSE),"")</f>
        <v/>
      </c>
      <c r="D507" s="17" t="str">
        <f>IFERROR(VLOOKUP(B507,'MASTER DATA'!$A$1:$E$212,5,FALSE),"")</f>
        <v/>
      </c>
      <c r="E507" s="17"/>
      <c r="F507" s="17" t="str">
        <f>IFERROR(VLOOKUP(B507,'MASTER DATA'!$A$1:$E$212,4,FALSE),"")</f>
        <v/>
      </c>
      <c r="G507" s="17"/>
      <c r="H507" s="17"/>
      <c r="I507" s="17"/>
      <c r="J507" s="17" t="b">
        <v>0</v>
      </c>
    </row>
    <row r="508">
      <c r="A508" s="17"/>
      <c r="B508" s="17"/>
      <c r="C508" s="17" t="str">
        <f>IFERROR(VLOOKUP(B508,'MASTER DATA'!$A$1:$E$212,2,FALSE),"")</f>
        <v/>
      </c>
      <c r="D508" s="17" t="str">
        <f>IFERROR(VLOOKUP(B508,'MASTER DATA'!$A$1:$E$212,5,FALSE),"")</f>
        <v/>
      </c>
      <c r="E508" s="17"/>
      <c r="F508" s="17" t="str">
        <f>IFERROR(VLOOKUP(B508,'MASTER DATA'!$A$1:$E$212,4,FALSE),"")</f>
        <v/>
      </c>
      <c r="G508" s="17"/>
      <c r="H508" s="17"/>
      <c r="I508" s="17"/>
      <c r="J508" s="17" t="b">
        <v>0</v>
      </c>
    </row>
    <row r="509">
      <c r="A509" s="17"/>
      <c r="B509" s="17"/>
      <c r="C509" s="17" t="str">
        <f>IFERROR(VLOOKUP(B509,'MASTER DATA'!$A$1:$E$212,2,FALSE),"")</f>
        <v/>
      </c>
      <c r="D509" s="17" t="str">
        <f>IFERROR(VLOOKUP(B509,'MASTER DATA'!$A$1:$E$212,5,FALSE),"")</f>
        <v/>
      </c>
      <c r="E509" s="17"/>
      <c r="F509" s="17" t="str">
        <f>IFERROR(VLOOKUP(B509,'MASTER DATA'!$A$1:$E$212,4,FALSE),"")</f>
        <v/>
      </c>
      <c r="G509" s="17"/>
      <c r="H509" s="17"/>
      <c r="I509" s="17"/>
      <c r="J509" s="17" t="b">
        <v>0</v>
      </c>
    </row>
    <row r="510">
      <c r="A510" s="17"/>
      <c r="B510" s="17"/>
      <c r="C510" s="17" t="str">
        <f>IFERROR(VLOOKUP(B510,'MASTER DATA'!$A$1:$E$212,2,FALSE),"")</f>
        <v/>
      </c>
      <c r="D510" s="17" t="str">
        <f>IFERROR(VLOOKUP(B510,'MASTER DATA'!$A$1:$E$212,5,FALSE),"")</f>
        <v/>
      </c>
      <c r="E510" s="17"/>
      <c r="F510" s="17" t="str">
        <f>IFERROR(VLOOKUP(B510,'MASTER DATA'!$A$1:$E$212,4,FALSE),"")</f>
        <v/>
      </c>
      <c r="G510" s="17"/>
      <c r="H510" s="17"/>
      <c r="I510" s="17"/>
      <c r="J510" s="17" t="b">
        <v>0</v>
      </c>
    </row>
    <row r="511">
      <c r="A511" s="17"/>
      <c r="B511" s="17"/>
      <c r="C511" s="17" t="str">
        <f>IFERROR(VLOOKUP(B511,'MASTER DATA'!$A$1:$E$212,2,FALSE),"")</f>
        <v/>
      </c>
      <c r="D511" s="17" t="str">
        <f>IFERROR(VLOOKUP(B511,'MASTER DATA'!$A$1:$E$212,5,FALSE),"")</f>
        <v/>
      </c>
      <c r="E511" s="17"/>
      <c r="F511" s="17" t="str">
        <f>IFERROR(VLOOKUP(B511,'MASTER DATA'!$A$1:$E$212,4,FALSE),"")</f>
        <v/>
      </c>
      <c r="G511" s="17"/>
      <c r="H511" s="17"/>
      <c r="I511" s="17"/>
      <c r="J511" s="17" t="b">
        <v>0</v>
      </c>
    </row>
    <row r="512">
      <c r="A512" s="17"/>
      <c r="B512" s="17"/>
      <c r="C512" s="17" t="str">
        <f>IFERROR(VLOOKUP(B512,'MASTER DATA'!$A$1:$E$212,2,FALSE),"")</f>
        <v/>
      </c>
      <c r="D512" s="17" t="str">
        <f>IFERROR(VLOOKUP(B512,'MASTER DATA'!$A$1:$E$212,5,FALSE),"")</f>
        <v/>
      </c>
      <c r="E512" s="17"/>
      <c r="F512" s="17" t="str">
        <f>IFERROR(VLOOKUP(B512,'MASTER DATA'!$A$1:$E$212,4,FALSE),"")</f>
        <v/>
      </c>
      <c r="G512" s="17"/>
      <c r="H512" s="17"/>
      <c r="I512" s="17"/>
      <c r="J512" s="17" t="b">
        <v>0</v>
      </c>
    </row>
    <row r="513">
      <c r="A513" s="17"/>
      <c r="B513" s="17"/>
      <c r="C513" s="17" t="str">
        <f>IFERROR(VLOOKUP(B513,'MASTER DATA'!$A$1:$E$212,2,FALSE),"")</f>
        <v/>
      </c>
      <c r="D513" s="17" t="str">
        <f>IFERROR(VLOOKUP(B513,'MASTER DATA'!$A$1:$E$212,5,FALSE),"")</f>
        <v/>
      </c>
      <c r="E513" s="17"/>
      <c r="F513" s="17" t="str">
        <f>IFERROR(VLOOKUP(B513,'MASTER DATA'!$A$1:$E$212,4,FALSE),"")</f>
        <v/>
      </c>
      <c r="G513" s="17"/>
      <c r="H513" s="17"/>
      <c r="I513" s="17"/>
      <c r="J513" s="17" t="b">
        <v>0</v>
      </c>
    </row>
    <row r="514">
      <c r="A514" s="17"/>
      <c r="B514" s="17"/>
      <c r="C514" s="17" t="str">
        <f>IFERROR(VLOOKUP(B514,'MASTER DATA'!$A$1:$E$212,2,FALSE),"")</f>
        <v/>
      </c>
      <c r="D514" s="17" t="str">
        <f>IFERROR(VLOOKUP(B514,'MASTER DATA'!$A$1:$E$212,5,FALSE),"")</f>
        <v/>
      </c>
      <c r="E514" s="17"/>
      <c r="F514" s="17" t="str">
        <f>IFERROR(VLOOKUP(B514,'MASTER DATA'!$A$1:$E$212,4,FALSE),"")</f>
        <v/>
      </c>
      <c r="G514" s="17"/>
      <c r="H514" s="17"/>
      <c r="I514" s="17"/>
      <c r="J514" s="17" t="b">
        <v>0</v>
      </c>
    </row>
    <row r="515">
      <c r="A515" s="17"/>
      <c r="B515" s="17"/>
      <c r="C515" s="17" t="str">
        <f>IFERROR(VLOOKUP(B515,'MASTER DATA'!$A$1:$E$212,2,FALSE),"")</f>
        <v/>
      </c>
      <c r="D515" s="17" t="str">
        <f>IFERROR(VLOOKUP(B515,'MASTER DATA'!$A$1:$E$212,5,FALSE),"")</f>
        <v/>
      </c>
      <c r="E515" s="17"/>
      <c r="F515" s="17" t="str">
        <f>IFERROR(VLOOKUP(B515,'MASTER DATA'!$A$1:$E$212,4,FALSE),"")</f>
        <v/>
      </c>
      <c r="G515" s="17"/>
      <c r="H515" s="17"/>
      <c r="I515" s="17"/>
      <c r="J515" s="17" t="b">
        <v>0</v>
      </c>
    </row>
    <row r="516">
      <c r="A516" s="17"/>
      <c r="B516" s="17"/>
      <c r="C516" s="17" t="str">
        <f>IFERROR(VLOOKUP(B516,'MASTER DATA'!$A$1:$E$212,2,FALSE),"")</f>
        <v/>
      </c>
      <c r="D516" s="17" t="str">
        <f>IFERROR(VLOOKUP(B516,'MASTER DATA'!$A$1:$E$212,5,FALSE),"")</f>
        <v/>
      </c>
      <c r="E516" s="17"/>
      <c r="F516" s="17" t="str">
        <f>IFERROR(VLOOKUP(B516,'MASTER DATA'!$A$1:$E$212,4,FALSE),"")</f>
        <v/>
      </c>
      <c r="G516" s="17"/>
      <c r="H516" s="17"/>
      <c r="I516" s="17"/>
      <c r="J516" s="17" t="b">
        <v>0</v>
      </c>
    </row>
    <row r="517">
      <c r="A517" s="17"/>
      <c r="B517" s="17"/>
      <c r="C517" s="17" t="str">
        <f>IFERROR(VLOOKUP(B517,'MASTER DATA'!$A$1:$E$212,2,FALSE),"")</f>
        <v/>
      </c>
      <c r="D517" s="17" t="str">
        <f>IFERROR(VLOOKUP(B517,'MASTER DATA'!$A$1:$E$212,5,FALSE),"")</f>
        <v/>
      </c>
      <c r="E517" s="17"/>
      <c r="F517" s="17" t="str">
        <f>IFERROR(VLOOKUP(B517,'MASTER DATA'!$A$1:$E$212,4,FALSE),"")</f>
        <v/>
      </c>
      <c r="G517" s="17"/>
      <c r="H517" s="17"/>
      <c r="I517" s="17"/>
      <c r="J517" s="17" t="b">
        <v>0</v>
      </c>
    </row>
    <row r="518">
      <c r="A518" s="17"/>
      <c r="B518" s="17"/>
      <c r="C518" s="17" t="str">
        <f>IFERROR(VLOOKUP(B518,'MASTER DATA'!$A$1:$E$212,2,FALSE),"")</f>
        <v/>
      </c>
      <c r="D518" s="17" t="str">
        <f>IFERROR(VLOOKUP(B518,'MASTER DATA'!$A$1:$E$212,5,FALSE),"")</f>
        <v/>
      </c>
      <c r="E518" s="17"/>
      <c r="F518" s="17" t="str">
        <f>IFERROR(VLOOKUP(B518,'MASTER DATA'!$A$1:$E$212,4,FALSE),"")</f>
        <v/>
      </c>
      <c r="G518" s="17"/>
      <c r="H518" s="17"/>
      <c r="I518" s="17"/>
      <c r="J518" s="17" t="b">
        <v>0</v>
      </c>
    </row>
    <row r="519">
      <c r="A519" s="17"/>
      <c r="B519" s="17"/>
      <c r="C519" s="17" t="str">
        <f>IFERROR(VLOOKUP(B519,'MASTER DATA'!$A$1:$E$212,2,FALSE),"")</f>
        <v/>
      </c>
      <c r="D519" s="17" t="str">
        <f>IFERROR(VLOOKUP(B519,'MASTER DATA'!$A$1:$E$212,5,FALSE),"")</f>
        <v/>
      </c>
      <c r="E519" s="17"/>
      <c r="F519" s="17" t="str">
        <f>IFERROR(VLOOKUP(B519,'MASTER DATA'!$A$1:$E$212,4,FALSE),"")</f>
        <v/>
      </c>
      <c r="G519" s="17"/>
      <c r="H519" s="17"/>
      <c r="I519" s="17"/>
      <c r="J519" s="17" t="b">
        <v>0</v>
      </c>
    </row>
    <row r="520">
      <c r="A520" s="17"/>
      <c r="B520" s="17"/>
      <c r="C520" s="17" t="str">
        <f>IFERROR(VLOOKUP(B520,'MASTER DATA'!$A$1:$E$212,2,FALSE),"")</f>
        <v/>
      </c>
      <c r="D520" s="17" t="str">
        <f>IFERROR(VLOOKUP(B520,'MASTER DATA'!$A$1:$E$212,5,FALSE),"")</f>
        <v/>
      </c>
      <c r="E520" s="17"/>
      <c r="F520" s="17" t="str">
        <f>IFERROR(VLOOKUP(B520,'MASTER DATA'!$A$1:$E$212,4,FALSE),"")</f>
        <v/>
      </c>
      <c r="G520" s="17"/>
      <c r="H520" s="17"/>
      <c r="I520" s="17"/>
      <c r="J520" s="17" t="b">
        <v>0</v>
      </c>
    </row>
    <row r="521">
      <c r="A521" s="17"/>
      <c r="B521" s="17"/>
      <c r="C521" s="17" t="str">
        <f>IFERROR(VLOOKUP(B521,'MASTER DATA'!$A$1:$E$212,2,FALSE),"")</f>
        <v/>
      </c>
      <c r="D521" s="17" t="str">
        <f>IFERROR(VLOOKUP(B521,'MASTER DATA'!$A$1:$E$212,5,FALSE),"")</f>
        <v/>
      </c>
      <c r="E521" s="17"/>
      <c r="F521" s="17" t="str">
        <f>IFERROR(VLOOKUP(B521,'MASTER DATA'!$A$1:$E$212,4,FALSE),"")</f>
        <v/>
      </c>
      <c r="G521" s="17"/>
      <c r="H521" s="17"/>
      <c r="I521" s="17"/>
      <c r="J521" s="17" t="b">
        <v>0</v>
      </c>
    </row>
    <row r="522">
      <c r="A522" s="17"/>
      <c r="B522" s="17"/>
      <c r="C522" s="17" t="str">
        <f>IFERROR(VLOOKUP(B522,'MASTER DATA'!$A$1:$E$212,2,FALSE),"")</f>
        <v/>
      </c>
      <c r="D522" s="17" t="str">
        <f>IFERROR(VLOOKUP(B522,'MASTER DATA'!$A$1:$E$212,5,FALSE),"")</f>
        <v/>
      </c>
      <c r="E522" s="17"/>
      <c r="F522" s="17" t="str">
        <f>IFERROR(VLOOKUP(B522,'MASTER DATA'!$A$1:$E$212,4,FALSE),"")</f>
        <v/>
      </c>
      <c r="G522" s="17"/>
      <c r="H522" s="17"/>
      <c r="I522" s="17"/>
      <c r="J522" s="17" t="b">
        <v>0</v>
      </c>
    </row>
    <row r="523">
      <c r="A523" s="17"/>
      <c r="B523" s="17"/>
      <c r="C523" s="17" t="str">
        <f>IFERROR(VLOOKUP(B523,'MASTER DATA'!$A$1:$E$212,2,FALSE),"")</f>
        <v/>
      </c>
      <c r="D523" s="17" t="str">
        <f>IFERROR(VLOOKUP(B523,'MASTER DATA'!$A$1:$E$212,5,FALSE),"")</f>
        <v/>
      </c>
      <c r="E523" s="17"/>
      <c r="F523" s="17" t="str">
        <f>IFERROR(VLOOKUP(B523,'MASTER DATA'!$A$1:$E$212,4,FALSE),"")</f>
        <v/>
      </c>
      <c r="G523" s="17"/>
      <c r="H523" s="17"/>
      <c r="I523" s="17"/>
      <c r="J523" s="17" t="b">
        <v>0</v>
      </c>
    </row>
    <row r="524">
      <c r="A524" s="17"/>
      <c r="B524" s="17"/>
      <c r="C524" s="17" t="str">
        <f>IFERROR(VLOOKUP(B524,'MASTER DATA'!$A$1:$E$212,2,FALSE),"")</f>
        <v/>
      </c>
      <c r="D524" s="17" t="str">
        <f>IFERROR(VLOOKUP(B524,'MASTER DATA'!$A$1:$E$212,5,FALSE),"")</f>
        <v/>
      </c>
      <c r="E524" s="17"/>
      <c r="F524" s="17" t="str">
        <f>IFERROR(VLOOKUP(B524,'MASTER DATA'!$A$1:$E$212,4,FALSE),"")</f>
        <v/>
      </c>
      <c r="G524" s="17"/>
      <c r="H524" s="17"/>
      <c r="I524" s="17"/>
      <c r="J524" s="17" t="b">
        <v>0</v>
      </c>
    </row>
    <row r="525">
      <c r="A525" s="17"/>
      <c r="B525" s="17"/>
      <c r="C525" s="17" t="str">
        <f>IFERROR(VLOOKUP(B525,'MASTER DATA'!$A$1:$E$212,2,FALSE),"")</f>
        <v/>
      </c>
      <c r="D525" s="17" t="str">
        <f>IFERROR(VLOOKUP(B525,'MASTER DATA'!$A$1:$E$212,5,FALSE),"")</f>
        <v/>
      </c>
      <c r="E525" s="17"/>
      <c r="F525" s="17" t="str">
        <f>IFERROR(VLOOKUP(B525,'MASTER DATA'!$A$1:$E$212,4,FALSE),"")</f>
        <v/>
      </c>
      <c r="G525" s="17"/>
      <c r="H525" s="17"/>
      <c r="I525" s="17"/>
      <c r="J525" s="17" t="b">
        <v>0</v>
      </c>
    </row>
    <row r="526">
      <c r="A526" s="17"/>
      <c r="B526" s="17"/>
      <c r="C526" s="17" t="str">
        <f>IFERROR(VLOOKUP(B526,'MASTER DATA'!$A$1:$E$212,2,FALSE),"")</f>
        <v/>
      </c>
      <c r="D526" s="17" t="str">
        <f>IFERROR(VLOOKUP(B526,'MASTER DATA'!$A$1:$E$212,5,FALSE),"")</f>
        <v/>
      </c>
      <c r="E526" s="17"/>
      <c r="F526" s="17" t="str">
        <f>IFERROR(VLOOKUP(B526,'MASTER DATA'!$A$1:$E$212,4,FALSE),"")</f>
        <v/>
      </c>
      <c r="G526" s="17"/>
      <c r="H526" s="17"/>
      <c r="I526" s="17"/>
      <c r="J526" s="17" t="b">
        <v>0</v>
      </c>
    </row>
    <row r="527">
      <c r="A527" s="17"/>
      <c r="B527" s="17"/>
      <c r="C527" s="17" t="str">
        <f>IFERROR(VLOOKUP(B527,'MASTER DATA'!$A$1:$E$212,2,FALSE),"")</f>
        <v/>
      </c>
      <c r="D527" s="17" t="str">
        <f>IFERROR(VLOOKUP(B527,'MASTER DATA'!$A$1:$E$212,5,FALSE),"")</f>
        <v/>
      </c>
      <c r="E527" s="17"/>
      <c r="F527" s="17" t="str">
        <f>IFERROR(VLOOKUP(B527,'MASTER DATA'!$A$1:$E$212,4,FALSE),"")</f>
        <v/>
      </c>
      <c r="G527" s="17"/>
      <c r="H527" s="17"/>
      <c r="I527" s="17"/>
      <c r="J527" s="17" t="b">
        <v>0</v>
      </c>
    </row>
    <row r="528">
      <c r="A528" s="17"/>
      <c r="B528" s="17"/>
      <c r="C528" s="17" t="str">
        <f>IFERROR(VLOOKUP(B528,'MASTER DATA'!$A$1:$E$212,2,FALSE),"")</f>
        <v/>
      </c>
      <c r="D528" s="17" t="str">
        <f>IFERROR(VLOOKUP(B528,'MASTER DATA'!$A$1:$E$212,5,FALSE),"")</f>
        <v/>
      </c>
      <c r="E528" s="17"/>
      <c r="F528" s="17" t="str">
        <f>IFERROR(VLOOKUP(B528,'MASTER DATA'!$A$1:$E$212,4,FALSE),"")</f>
        <v/>
      </c>
      <c r="G528" s="17"/>
      <c r="H528" s="17"/>
      <c r="I528" s="17"/>
      <c r="J528" s="17" t="b">
        <v>0</v>
      </c>
    </row>
    <row r="529">
      <c r="A529" s="17"/>
      <c r="B529" s="17"/>
      <c r="C529" s="17" t="str">
        <f>IFERROR(VLOOKUP(B529,'MASTER DATA'!$A$1:$E$212,2,FALSE),"")</f>
        <v/>
      </c>
      <c r="D529" s="17" t="str">
        <f>IFERROR(VLOOKUP(B529,'MASTER DATA'!$A$1:$E$212,5,FALSE),"")</f>
        <v/>
      </c>
      <c r="E529" s="17"/>
      <c r="F529" s="17" t="str">
        <f>IFERROR(VLOOKUP(B529,'MASTER DATA'!$A$1:$E$212,4,FALSE),"")</f>
        <v/>
      </c>
      <c r="G529" s="17"/>
      <c r="H529" s="17"/>
      <c r="I529" s="17"/>
      <c r="J529" s="17" t="b">
        <v>0</v>
      </c>
    </row>
    <row r="530">
      <c r="A530" s="17"/>
      <c r="B530" s="17"/>
      <c r="C530" s="17" t="str">
        <f>IFERROR(VLOOKUP(B530,'MASTER DATA'!$A$1:$E$212,2,FALSE),"")</f>
        <v/>
      </c>
      <c r="D530" s="17" t="str">
        <f>IFERROR(VLOOKUP(B530,'MASTER DATA'!$A$1:$E$212,5,FALSE),"")</f>
        <v/>
      </c>
      <c r="E530" s="17"/>
      <c r="F530" s="17" t="str">
        <f>IFERROR(VLOOKUP(B530,'MASTER DATA'!$A$1:$E$212,4,FALSE),"")</f>
        <v/>
      </c>
      <c r="G530" s="17"/>
      <c r="H530" s="17"/>
      <c r="I530" s="17"/>
      <c r="J530" s="17" t="b">
        <v>0</v>
      </c>
    </row>
    <row r="531">
      <c r="A531" s="17"/>
      <c r="B531" s="17"/>
      <c r="C531" s="17" t="str">
        <f>IFERROR(VLOOKUP(B531,'MASTER DATA'!$A$1:$E$212,2,FALSE),"")</f>
        <v/>
      </c>
      <c r="D531" s="17" t="str">
        <f>IFERROR(VLOOKUP(B531,'MASTER DATA'!$A$1:$E$212,5,FALSE),"")</f>
        <v/>
      </c>
      <c r="E531" s="17"/>
      <c r="F531" s="17" t="str">
        <f>IFERROR(VLOOKUP(B531,'MASTER DATA'!$A$1:$E$212,4,FALSE),"")</f>
        <v/>
      </c>
      <c r="G531" s="17"/>
      <c r="H531" s="17"/>
      <c r="I531" s="17"/>
      <c r="J531" s="17" t="b">
        <v>0</v>
      </c>
    </row>
    <row r="532">
      <c r="A532" s="17"/>
      <c r="B532" s="17"/>
      <c r="C532" s="17" t="str">
        <f>IFERROR(VLOOKUP(B532,'MASTER DATA'!$A$1:$E$212,2,FALSE),"")</f>
        <v/>
      </c>
      <c r="D532" s="17" t="str">
        <f>IFERROR(VLOOKUP(B532,'MASTER DATA'!$A$1:$E$212,5,FALSE),"")</f>
        <v/>
      </c>
      <c r="E532" s="17"/>
      <c r="F532" s="17" t="str">
        <f>IFERROR(VLOOKUP(B532,'MASTER DATA'!$A$1:$E$212,4,FALSE),"")</f>
        <v/>
      </c>
      <c r="G532" s="17"/>
      <c r="H532" s="17"/>
      <c r="I532" s="17"/>
      <c r="J532" s="17" t="b">
        <v>0</v>
      </c>
    </row>
    <row r="533">
      <c r="A533" s="17"/>
      <c r="B533" s="17"/>
      <c r="C533" s="17" t="str">
        <f>IFERROR(VLOOKUP(B533,'MASTER DATA'!$A$1:$E$212,2,FALSE),"")</f>
        <v/>
      </c>
      <c r="D533" s="17" t="str">
        <f>IFERROR(VLOOKUP(B533,'MASTER DATA'!$A$1:$E$212,5,FALSE),"")</f>
        <v/>
      </c>
      <c r="E533" s="17"/>
      <c r="F533" s="17" t="str">
        <f>IFERROR(VLOOKUP(B533,'MASTER DATA'!$A$1:$E$212,4,FALSE),"")</f>
        <v/>
      </c>
      <c r="G533" s="17"/>
      <c r="H533" s="17"/>
      <c r="I533" s="17"/>
      <c r="J533" s="17" t="b">
        <v>0</v>
      </c>
    </row>
    <row r="534">
      <c r="A534" s="17"/>
      <c r="B534" s="17"/>
      <c r="C534" s="17" t="str">
        <f>IFERROR(VLOOKUP(B534,'MASTER DATA'!$A$1:$E$212,2,FALSE),"")</f>
        <v/>
      </c>
      <c r="D534" s="17" t="str">
        <f>IFERROR(VLOOKUP(B534,'MASTER DATA'!$A$1:$E$212,5,FALSE),"")</f>
        <v/>
      </c>
      <c r="E534" s="17"/>
      <c r="F534" s="17" t="str">
        <f>IFERROR(VLOOKUP(B534,'MASTER DATA'!$A$1:$E$212,4,FALSE),"")</f>
        <v/>
      </c>
      <c r="G534" s="17"/>
      <c r="H534" s="17"/>
      <c r="I534" s="17"/>
      <c r="J534" s="17" t="b">
        <v>0</v>
      </c>
    </row>
    <row r="535">
      <c r="A535" s="17"/>
      <c r="B535" s="17"/>
      <c r="C535" s="17" t="str">
        <f>IFERROR(VLOOKUP(B535,'MASTER DATA'!$A$1:$E$212,2,FALSE),"")</f>
        <v/>
      </c>
      <c r="D535" s="17" t="str">
        <f>IFERROR(VLOOKUP(B535,'MASTER DATA'!$A$1:$E$212,5,FALSE),"")</f>
        <v/>
      </c>
      <c r="E535" s="17"/>
      <c r="F535" s="17" t="str">
        <f>IFERROR(VLOOKUP(B535,'MASTER DATA'!$A$1:$E$212,4,FALSE),"")</f>
        <v/>
      </c>
      <c r="G535" s="17"/>
      <c r="H535" s="17"/>
      <c r="I535" s="17"/>
      <c r="J535" s="17" t="b">
        <v>0</v>
      </c>
    </row>
    <row r="536">
      <c r="A536" s="17"/>
      <c r="B536" s="17"/>
      <c r="C536" s="17" t="str">
        <f>IFERROR(VLOOKUP(B536,'MASTER DATA'!$A$1:$E$212,2,FALSE),"")</f>
        <v/>
      </c>
      <c r="D536" s="17" t="str">
        <f>IFERROR(VLOOKUP(B536,'MASTER DATA'!$A$1:$E$212,5,FALSE),"")</f>
        <v/>
      </c>
      <c r="E536" s="17"/>
      <c r="F536" s="17" t="str">
        <f>IFERROR(VLOOKUP(B536,'MASTER DATA'!$A$1:$E$212,4,FALSE),"")</f>
        <v/>
      </c>
      <c r="G536" s="17"/>
      <c r="H536" s="17"/>
      <c r="I536" s="17"/>
      <c r="J536" s="17" t="b">
        <v>0</v>
      </c>
    </row>
    <row r="537">
      <c r="A537" s="17"/>
      <c r="B537" s="17"/>
      <c r="C537" s="17" t="str">
        <f>IFERROR(VLOOKUP(B537,'MASTER DATA'!$A$1:$E$212,2,FALSE),"")</f>
        <v/>
      </c>
      <c r="D537" s="17" t="str">
        <f>IFERROR(VLOOKUP(B537,'MASTER DATA'!$A$1:$E$212,5,FALSE),"")</f>
        <v/>
      </c>
      <c r="E537" s="17"/>
      <c r="F537" s="17" t="str">
        <f>IFERROR(VLOOKUP(B537,'MASTER DATA'!$A$1:$E$212,4,FALSE),"")</f>
        <v/>
      </c>
      <c r="G537" s="17"/>
      <c r="H537" s="17"/>
      <c r="I537" s="17"/>
      <c r="J537" s="17" t="b">
        <v>0</v>
      </c>
    </row>
    <row r="538">
      <c r="A538" s="17"/>
      <c r="B538" s="17"/>
      <c r="C538" s="17" t="str">
        <f>IFERROR(VLOOKUP(B538,'MASTER DATA'!$A$1:$E$212,2,FALSE),"")</f>
        <v/>
      </c>
      <c r="D538" s="17" t="str">
        <f>IFERROR(VLOOKUP(B538,'MASTER DATA'!$A$1:$E$212,5,FALSE),"")</f>
        <v/>
      </c>
      <c r="E538" s="17"/>
      <c r="F538" s="17" t="str">
        <f>IFERROR(VLOOKUP(B538,'MASTER DATA'!$A$1:$E$212,4,FALSE),"")</f>
        <v/>
      </c>
      <c r="G538" s="17"/>
      <c r="H538" s="17"/>
      <c r="I538" s="17"/>
      <c r="J538" s="17" t="b">
        <v>0</v>
      </c>
    </row>
    <row r="539">
      <c r="A539" s="17"/>
      <c r="B539" s="17"/>
      <c r="C539" s="17" t="str">
        <f>IFERROR(VLOOKUP(B539,'MASTER DATA'!$A$1:$E$212,2,FALSE),"")</f>
        <v/>
      </c>
      <c r="D539" s="17" t="str">
        <f>IFERROR(VLOOKUP(B539,'MASTER DATA'!$A$1:$E$212,5,FALSE),"")</f>
        <v/>
      </c>
      <c r="E539" s="17"/>
      <c r="F539" s="17" t="str">
        <f>IFERROR(VLOOKUP(B539,'MASTER DATA'!$A$1:$E$212,4,FALSE),"")</f>
        <v/>
      </c>
      <c r="G539" s="17"/>
      <c r="H539" s="17"/>
      <c r="I539" s="17"/>
      <c r="J539" s="17" t="b">
        <v>0</v>
      </c>
    </row>
    <row r="540">
      <c r="A540" s="17"/>
      <c r="B540" s="17"/>
      <c r="C540" s="17" t="str">
        <f>IFERROR(VLOOKUP(B540,'MASTER DATA'!$A$1:$E$212,2,FALSE),"")</f>
        <v/>
      </c>
      <c r="D540" s="17" t="str">
        <f>IFERROR(VLOOKUP(B540,'MASTER DATA'!$A$1:$E$212,5,FALSE),"")</f>
        <v/>
      </c>
      <c r="E540" s="17"/>
      <c r="F540" s="17" t="str">
        <f>IFERROR(VLOOKUP(B540,'MASTER DATA'!$A$1:$E$212,4,FALSE),"")</f>
        <v/>
      </c>
      <c r="G540" s="17"/>
      <c r="H540" s="17"/>
      <c r="I540" s="17"/>
      <c r="J540" s="17" t="b">
        <v>0</v>
      </c>
    </row>
    <row r="541">
      <c r="A541" s="17"/>
      <c r="B541" s="17"/>
      <c r="C541" s="17" t="str">
        <f>IFERROR(VLOOKUP(B541,'MASTER DATA'!$A$1:$E$212,2,FALSE),"")</f>
        <v/>
      </c>
      <c r="D541" s="17" t="str">
        <f>IFERROR(VLOOKUP(B541,'MASTER DATA'!$A$1:$E$212,5,FALSE),"")</f>
        <v/>
      </c>
      <c r="E541" s="17"/>
      <c r="F541" s="17" t="str">
        <f>IFERROR(VLOOKUP(B541,'MASTER DATA'!$A$1:$E$212,4,FALSE),"")</f>
        <v/>
      </c>
      <c r="G541" s="17"/>
      <c r="H541" s="17"/>
      <c r="I541" s="17"/>
      <c r="J541" s="17" t="b">
        <v>0</v>
      </c>
    </row>
    <row r="542">
      <c r="A542" s="17"/>
      <c r="B542" s="17"/>
      <c r="C542" s="17" t="str">
        <f>IFERROR(VLOOKUP(B542,'MASTER DATA'!$A$1:$E$212,2,FALSE),"")</f>
        <v/>
      </c>
      <c r="D542" s="17" t="str">
        <f>IFERROR(VLOOKUP(B542,'MASTER DATA'!$A$1:$E$212,5,FALSE),"")</f>
        <v/>
      </c>
      <c r="E542" s="17"/>
      <c r="F542" s="17" t="str">
        <f>IFERROR(VLOOKUP(B542,'MASTER DATA'!$A$1:$E$212,4,FALSE),"")</f>
        <v/>
      </c>
      <c r="G542" s="17"/>
      <c r="H542" s="17"/>
      <c r="I542" s="17"/>
      <c r="J542" s="17" t="b">
        <v>0</v>
      </c>
    </row>
    <row r="543">
      <c r="A543" s="17"/>
      <c r="B543" s="17"/>
      <c r="C543" s="17" t="str">
        <f>IFERROR(VLOOKUP(B543,'MASTER DATA'!$A$1:$E$212,2,FALSE),"")</f>
        <v/>
      </c>
      <c r="D543" s="17" t="str">
        <f>IFERROR(VLOOKUP(B543,'MASTER DATA'!$A$1:$E$212,5,FALSE),"")</f>
        <v/>
      </c>
      <c r="E543" s="17"/>
      <c r="F543" s="17" t="str">
        <f>IFERROR(VLOOKUP(B543,'MASTER DATA'!$A$1:$E$212,4,FALSE),"")</f>
        <v/>
      </c>
      <c r="G543" s="17"/>
      <c r="H543" s="17"/>
      <c r="I543" s="17"/>
      <c r="J543" s="17" t="b">
        <v>0</v>
      </c>
    </row>
    <row r="544">
      <c r="A544" s="17"/>
      <c r="B544" s="17"/>
      <c r="C544" s="17" t="str">
        <f>IFERROR(VLOOKUP(B544,'MASTER DATA'!$A$1:$E$212,2,FALSE),"")</f>
        <v/>
      </c>
      <c r="D544" s="17" t="str">
        <f>IFERROR(VLOOKUP(B544,'MASTER DATA'!$A$1:$E$212,5,FALSE),"")</f>
        <v/>
      </c>
      <c r="E544" s="17"/>
      <c r="F544" s="17" t="str">
        <f>IFERROR(VLOOKUP(B544,'MASTER DATA'!$A$1:$E$212,4,FALSE),"")</f>
        <v/>
      </c>
      <c r="G544" s="17"/>
      <c r="H544" s="17"/>
      <c r="I544" s="17"/>
      <c r="J544" s="17" t="b">
        <v>0</v>
      </c>
    </row>
    <row r="545">
      <c r="A545" s="17"/>
      <c r="B545" s="17"/>
      <c r="C545" s="17" t="str">
        <f>IFERROR(VLOOKUP(B545,'MASTER DATA'!$A$1:$E$212,2,FALSE),"")</f>
        <v/>
      </c>
      <c r="D545" s="17" t="str">
        <f>IFERROR(VLOOKUP(B545,'MASTER DATA'!$A$1:$E$212,5,FALSE),"")</f>
        <v/>
      </c>
      <c r="E545" s="17"/>
      <c r="F545" s="17" t="str">
        <f>IFERROR(VLOOKUP(B545,'MASTER DATA'!$A$1:$E$212,4,FALSE),"")</f>
        <v/>
      </c>
      <c r="G545" s="17"/>
      <c r="H545" s="17"/>
      <c r="I545" s="17"/>
      <c r="J545" s="17" t="b">
        <v>0</v>
      </c>
    </row>
    <row r="546">
      <c r="A546" s="17"/>
      <c r="B546" s="17"/>
      <c r="C546" s="17" t="str">
        <f>IFERROR(VLOOKUP(B546,'MASTER DATA'!$A$1:$E$212,2,FALSE),"")</f>
        <v/>
      </c>
      <c r="D546" s="17" t="str">
        <f>IFERROR(VLOOKUP(B546,'MASTER DATA'!$A$1:$E$212,5,FALSE),"")</f>
        <v/>
      </c>
      <c r="E546" s="17"/>
      <c r="F546" s="17" t="str">
        <f>IFERROR(VLOOKUP(B546,'MASTER DATA'!$A$1:$E$212,4,FALSE),"")</f>
        <v/>
      </c>
      <c r="G546" s="17"/>
      <c r="H546" s="17"/>
      <c r="I546" s="17"/>
      <c r="J546" s="17" t="b">
        <v>0</v>
      </c>
    </row>
    <row r="547">
      <c r="A547" s="17"/>
      <c r="B547" s="17"/>
      <c r="C547" s="17" t="str">
        <f>IFERROR(VLOOKUP(B547,'MASTER DATA'!$A$1:$E$212,2,FALSE),"")</f>
        <v/>
      </c>
      <c r="D547" s="17" t="str">
        <f>IFERROR(VLOOKUP(B547,'MASTER DATA'!$A$1:$E$212,5,FALSE),"")</f>
        <v/>
      </c>
      <c r="E547" s="17"/>
      <c r="F547" s="17" t="str">
        <f>IFERROR(VLOOKUP(B547,'MASTER DATA'!$A$1:$E$212,4,FALSE),"")</f>
        <v/>
      </c>
      <c r="G547" s="17"/>
      <c r="H547" s="17"/>
      <c r="I547" s="17"/>
      <c r="J547" s="17" t="b">
        <v>0</v>
      </c>
    </row>
    <row r="548">
      <c r="A548" s="17"/>
      <c r="B548" s="17"/>
      <c r="C548" s="17" t="str">
        <f>IFERROR(VLOOKUP(B548,'MASTER DATA'!$A$1:$E$212,2,FALSE),"")</f>
        <v/>
      </c>
      <c r="D548" s="17" t="str">
        <f>IFERROR(VLOOKUP(B548,'MASTER DATA'!$A$1:$E$212,5,FALSE),"")</f>
        <v/>
      </c>
      <c r="E548" s="17"/>
      <c r="F548" s="17" t="str">
        <f>IFERROR(VLOOKUP(B548,'MASTER DATA'!$A$1:$E$212,4,FALSE),"")</f>
        <v/>
      </c>
      <c r="G548" s="17"/>
      <c r="H548" s="17"/>
      <c r="I548" s="17"/>
      <c r="J548" s="17" t="b">
        <v>0</v>
      </c>
    </row>
    <row r="549">
      <c r="A549" s="17"/>
      <c r="B549" s="17"/>
      <c r="C549" s="17" t="str">
        <f>IFERROR(VLOOKUP(B549,'MASTER DATA'!$A$1:$E$212,2,FALSE),"")</f>
        <v/>
      </c>
      <c r="D549" s="17" t="str">
        <f>IFERROR(VLOOKUP(B549,'MASTER DATA'!$A$1:$E$212,5,FALSE),"")</f>
        <v/>
      </c>
      <c r="E549" s="17"/>
      <c r="F549" s="17" t="str">
        <f>IFERROR(VLOOKUP(B549,'MASTER DATA'!$A$1:$E$212,4,FALSE),"")</f>
        <v/>
      </c>
      <c r="G549" s="17"/>
      <c r="H549" s="17"/>
      <c r="I549" s="17"/>
      <c r="J549" s="17" t="b">
        <v>0</v>
      </c>
    </row>
    <row r="550">
      <c r="A550" s="17"/>
      <c r="B550" s="17"/>
      <c r="C550" s="17" t="str">
        <f>IFERROR(VLOOKUP(B550,'MASTER DATA'!$A$1:$E$212,2,FALSE),"")</f>
        <v/>
      </c>
      <c r="D550" s="17" t="str">
        <f>IFERROR(VLOOKUP(B550,'MASTER DATA'!$A$1:$E$212,5,FALSE),"")</f>
        <v/>
      </c>
      <c r="E550" s="17"/>
      <c r="F550" s="17" t="str">
        <f>IFERROR(VLOOKUP(B550,'MASTER DATA'!$A$1:$E$212,4,FALSE),"")</f>
        <v/>
      </c>
      <c r="G550" s="17"/>
      <c r="H550" s="17"/>
      <c r="I550" s="17"/>
      <c r="J550" s="17" t="b">
        <v>0</v>
      </c>
    </row>
    <row r="551">
      <c r="A551" s="17"/>
      <c r="B551" s="17"/>
      <c r="C551" s="17" t="str">
        <f>IFERROR(VLOOKUP(B551,'MASTER DATA'!$A$1:$E$212,2,FALSE),"")</f>
        <v/>
      </c>
      <c r="D551" s="17" t="str">
        <f>IFERROR(VLOOKUP(B551,'MASTER DATA'!$A$1:$E$212,5,FALSE),"")</f>
        <v/>
      </c>
      <c r="E551" s="17"/>
      <c r="F551" s="17" t="str">
        <f>IFERROR(VLOOKUP(B551,'MASTER DATA'!$A$1:$E$212,4,FALSE),"")</f>
        <v/>
      </c>
      <c r="G551" s="17"/>
      <c r="H551" s="17"/>
      <c r="I551" s="17"/>
      <c r="J551" s="17" t="b">
        <v>0</v>
      </c>
    </row>
    <row r="552">
      <c r="A552" s="17"/>
      <c r="B552" s="17"/>
      <c r="C552" s="17" t="str">
        <f>IFERROR(VLOOKUP(B552,'MASTER DATA'!$A$1:$E$212,2,FALSE),"")</f>
        <v/>
      </c>
      <c r="D552" s="17" t="str">
        <f>IFERROR(VLOOKUP(B552,'MASTER DATA'!$A$1:$E$212,5,FALSE),"")</f>
        <v/>
      </c>
      <c r="E552" s="17"/>
      <c r="F552" s="17" t="str">
        <f>IFERROR(VLOOKUP(B552,'MASTER DATA'!$A$1:$E$212,4,FALSE),"")</f>
        <v/>
      </c>
      <c r="G552" s="17"/>
      <c r="H552" s="17"/>
      <c r="I552" s="17"/>
      <c r="J552" s="17" t="b">
        <v>0</v>
      </c>
    </row>
    <row r="553">
      <c r="A553" s="17"/>
      <c r="B553" s="17"/>
      <c r="C553" s="17" t="str">
        <f>IFERROR(VLOOKUP(B553,'MASTER DATA'!$A$1:$E$212,2,FALSE),"")</f>
        <v/>
      </c>
      <c r="D553" s="17" t="str">
        <f>IFERROR(VLOOKUP(B553,'MASTER DATA'!$A$1:$E$212,5,FALSE),"")</f>
        <v/>
      </c>
      <c r="E553" s="17"/>
      <c r="F553" s="17" t="str">
        <f>IFERROR(VLOOKUP(B553,'MASTER DATA'!$A$1:$E$212,4,FALSE),"")</f>
        <v/>
      </c>
      <c r="G553" s="17"/>
      <c r="H553" s="17"/>
      <c r="I553" s="17"/>
      <c r="J553" s="17" t="b">
        <v>0</v>
      </c>
    </row>
    <row r="554">
      <c r="A554" s="17"/>
      <c r="B554" s="17"/>
      <c r="C554" s="17" t="str">
        <f>IFERROR(VLOOKUP(B554,'MASTER DATA'!$A$1:$E$212,2,FALSE),"")</f>
        <v/>
      </c>
      <c r="D554" s="17" t="str">
        <f>IFERROR(VLOOKUP(B554,'MASTER DATA'!$A$1:$E$212,5,FALSE),"")</f>
        <v/>
      </c>
      <c r="E554" s="17"/>
      <c r="F554" s="17" t="str">
        <f>IFERROR(VLOOKUP(B554,'MASTER DATA'!$A$1:$E$212,4,FALSE),"")</f>
        <v/>
      </c>
      <c r="G554" s="17"/>
      <c r="H554" s="17"/>
      <c r="I554" s="17"/>
      <c r="J554" s="17" t="b">
        <v>0</v>
      </c>
    </row>
    <row r="555">
      <c r="A555" s="17"/>
      <c r="B555" s="17"/>
      <c r="C555" s="17" t="str">
        <f>IFERROR(VLOOKUP(B555,'MASTER DATA'!$A$1:$E$212,2,FALSE),"")</f>
        <v/>
      </c>
      <c r="D555" s="17" t="str">
        <f>IFERROR(VLOOKUP(B555,'MASTER DATA'!$A$1:$E$212,5,FALSE),"")</f>
        <v/>
      </c>
      <c r="E555" s="17"/>
      <c r="F555" s="17" t="str">
        <f>IFERROR(VLOOKUP(B555,'MASTER DATA'!$A$1:$E$212,4,FALSE),"")</f>
        <v/>
      </c>
      <c r="G555" s="17"/>
      <c r="H555" s="17"/>
      <c r="I555" s="17"/>
      <c r="J555" s="17" t="b">
        <v>0</v>
      </c>
    </row>
    <row r="556">
      <c r="A556" s="17"/>
      <c r="B556" s="17"/>
      <c r="C556" s="17" t="str">
        <f>IFERROR(VLOOKUP(B556,'MASTER DATA'!$A$1:$E$212,2,FALSE),"")</f>
        <v/>
      </c>
      <c r="D556" s="17" t="str">
        <f>IFERROR(VLOOKUP(B556,'MASTER DATA'!$A$1:$E$212,5,FALSE),"")</f>
        <v/>
      </c>
      <c r="E556" s="17"/>
      <c r="F556" s="17" t="str">
        <f>IFERROR(VLOOKUP(B556,'MASTER DATA'!$A$1:$E$212,4,FALSE),"")</f>
        <v/>
      </c>
      <c r="G556" s="17"/>
      <c r="H556" s="17"/>
      <c r="I556" s="17"/>
      <c r="J556" s="17" t="b">
        <v>0</v>
      </c>
    </row>
    <row r="557">
      <c r="A557" s="17"/>
      <c r="B557" s="17"/>
      <c r="C557" s="17" t="str">
        <f>IFERROR(VLOOKUP(B557,'MASTER DATA'!$A$1:$E$212,2,FALSE),"")</f>
        <v/>
      </c>
      <c r="D557" s="17" t="str">
        <f>IFERROR(VLOOKUP(B557,'MASTER DATA'!$A$1:$E$212,5,FALSE),"")</f>
        <v/>
      </c>
      <c r="E557" s="17"/>
      <c r="F557" s="17" t="str">
        <f>IFERROR(VLOOKUP(B557,'MASTER DATA'!$A$1:$E$212,4,FALSE),"")</f>
        <v/>
      </c>
      <c r="G557" s="17"/>
      <c r="H557" s="17"/>
      <c r="I557" s="17"/>
      <c r="J557" s="17" t="b">
        <v>0</v>
      </c>
    </row>
    <row r="558">
      <c r="A558" s="17"/>
      <c r="B558" s="17"/>
      <c r="C558" s="17" t="str">
        <f>IFERROR(VLOOKUP(B558,'MASTER DATA'!$A$1:$E$212,2,FALSE),"")</f>
        <v/>
      </c>
      <c r="D558" s="17" t="str">
        <f>IFERROR(VLOOKUP(B558,'MASTER DATA'!$A$1:$E$212,5,FALSE),"")</f>
        <v/>
      </c>
      <c r="E558" s="17"/>
      <c r="F558" s="17" t="str">
        <f>IFERROR(VLOOKUP(B558,'MASTER DATA'!$A$1:$E$212,4,FALSE),"")</f>
        <v/>
      </c>
      <c r="G558" s="17"/>
      <c r="H558" s="17"/>
      <c r="I558" s="17"/>
      <c r="J558" s="17" t="b">
        <v>0</v>
      </c>
    </row>
    <row r="559">
      <c r="A559" s="17"/>
      <c r="B559" s="17"/>
      <c r="C559" s="17" t="str">
        <f>IFERROR(VLOOKUP(B559,'MASTER DATA'!$A$1:$E$212,2,FALSE),"")</f>
        <v/>
      </c>
      <c r="D559" s="17" t="str">
        <f>IFERROR(VLOOKUP(B559,'MASTER DATA'!$A$1:$E$212,5,FALSE),"")</f>
        <v/>
      </c>
      <c r="E559" s="17"/>
      <c r="F559" s="17" t="str">
        <f>IFERROR(VLOOKUP(B559,'MASTER DATA'!$A$1:$E$212,4,FALSE),"")</f>
        <v/>
      </c>
      <c r="G559" s="17"/>
      <c r="H559" s="17"/>
      <c r="I559" s="17"/>
      <c r="J559" s="17" t="b">
        <v>0</v>
      </c>
    </row>
    <row r="560">
      <c r="A560" s="17"/>
      <c r="B560" s="17"/>
      <c r="C560" s="17" t="str">
        <f>IFERROR(VLOOKUP(B560,'MASTER DATA'!$A$1:$E$212,2,FALSE),"")</f>
        <v/>
      </c>
      <c r="D560" s="17" t="str">
        <f>IFERROR(VLOOKUP(B560,'MASTER DATA'!$A$1:$E$212,5,FALSE),"")</f>
        <v/>
      </c>
      <c r="E560" s="17"/>
      <c r="F560" s="17" t="str">
        <f>IFERROR(VLOOKUP(B560,'MASTER DATA'!$A$1:$E$212,4,FALSE),"")</f>
        <v/>
      </c>
      <c r="G560" s="17"/>
      <c r="H560" s="17"/>
      <c r="I560" s="17"/>
      <c r="J560" s="17" t="b">
        <v>0</v>
      </c>
    </row>
    <row r="561">
      <c r="A561" s="17"/>
      <c r="B561" s="17"/>
      <c r="C561" s="17" t="str">
        <f>IFERROR(VLOOKUP(B561,'MASTER DATA'!$A$1:$E$212,2,FALSE),"")</f>
        <v/>
      </c>
      <c r="D561" s="17" t="str">
        <f>IFERROR(VLOOKUP(B561,'MASTER DATA'!$A$1:$E$212,5,FALSE),"")</f>
        <v/>
      </c>
      <c r="E561" s="17"/>
      <c r="F561" s="17" t="str">
        <f>IFERROR(VLOOKUP(B561,'MASTER DATA'!$A$1:$E$212,4,FALSE),"")</f>
        <v/>
      </c>
      <c r="G561" s="17"/>
      <c r="H561" s="17"/>
      <c r="I561" s="17"/>
      <c r="J561" s="17" t="b">
        <v>0</v>
      </c>
    </row>
    <row r="562">
      <c r="A562" s="17"/>
      <c r="B562" s="17"/>
      <c r="C562" s="17" t="str">
        <f>IFERROR(VLOOKUP(B562,'MASTER DATA'!$A$1:$E$212,2,FALSE),"")</f>
        <v/>
      </c>
      <c r="D562" s="17" t="str">
        <f>IFERROR(VLOOKUP(B562,'MASTER DATA'!$A$1:$E$212,5,FALSE),"")</f>
        <v/>
      </c>
      <c r="E562" s="17"/>
      <c r="F562" s="17" t="str">
        <f>IFERROR(VLOOKUP(B562,'MASTER DATA'!$A$1:$E$212,4,FALSE),"")</f>
        <v/>
      </c>
      <c r="G562" s="17"/>
      <c r="H562" s="17"/>
      <c r="I562" s="17"/>
      <c r="J562" s="17" t="b">
        <v>0</v>
      </c>
    </row>
    <row r="563">
      <c r="A563" s="17"/>
      <c r="B563" s="17"/>
      <c r="C563" s="17" t="str">
        <f>IFERROR(VLOOKUP(B563,'MASTER DATA'!$A$1:$E$212,2,FALSE),"")</f>
        <v/>
      </c>
      <c r="D563" s="17" t="str">
        <f>IFERROR(VLOOKUP(B563,'MASTER DATA'!$A$1:$E$212,5,FALSE),"")</f>
        <v/>
      </c>
      <c r="E563" s="17"/>
      <c r="F563" s="17" t="str">
        <f>IFERROR(VLOOKUP(B563,'MASTER DATA'!$A$1:$E$212,4,FALSE),"")</f>
        <v/>
      </c>
      <c r="G563" s="17"/>
      <c r="H563" s="17"/>
      <c r="I563" s="17"/>
      <c r="J563" s="17" t="b">
        <v>0</v>
      </c>
    </row>
    <row r="564">
      <c r="A564" s="17"/>
      <c r="B564" s="17"/>
      <c r="C564" s="17" t="str">
        <f>IFERROR(VLOOKUP(B564,'MASTER DATA'!$A$1:$E$212,2,FALSE),"")</f>
        <v/>
      </c>
      <c r="D564" s="17" t="str">
        <f>IFERROR(VLOOKUP(B564,'MASTER DATA'!$A$1:$E$212,5,FALSE),"")</f>
        <v/>
      </c>
      <c r="E564" s="17"/>
      <c r="F564" s="17" t="str">
        <f>IFERROR(VLOOKUP(B564,'MASTER DATA'!$A$1:$E$212,4,FALSE),"")</f>
        <v/>
      </c>
      <c r="G564" s="17"/>
      <c r="H564" s="17"/>
      <c r="I564" s="17"/>
      <c r="J564" s="17" t="b">
        <v>0</v>
      </c>
    </row>
    <row r="565">
      <c r="A565" s="17"/>
      <c r="B565" s="17"/>
      <c r="C565" s="17" t="str">
        <f>IFERROR(VLOOKUP(B565,'MASTER DATA'!$A$1:$E$212,2,FALSE),"")</f>
        <v/>
      </c>
      <c r="D565" s="17" t="str">
        <f>IFERROR(VLOOKUP(B565,'MASTER DATA'!$A$1:$E$212,5,FALSE),"")</f>
        <v/>
      </c>
      <c r="E565" s="17"/>
      <c r="F565" s="17" t="str">
        <f>IFERROR(VLOOKUP(B565,'MASTER DATA'!$A$1:$E$212,4,FALSE),"")</f>
        <v/>
      </c>
      <c r="G565" s="17"/>
      <c r="H565" s="17"/>
      <c r="I565" s="17"/>
      <c r="J565" s="17" t="b">
        <v>0</v>
      </c>
    </row>
    <row r="566">
      <c r="A566" s="17"/>
      <c r="B566" s="17"/>
      <c r="C566" s="17" t="str">
        <f>IFERROR(VLOOKUP(B566,'MASTER DATA'!$A$1:$E$212,2,FALSE),"")</f>
        <v/>
      </c>
      <c r="D566" s="17" t="str">
        <f>IFERROR(VLOOKUP(B566,'MASTER DATA'!$A$1:$E$212,5,FALSE),"")</f>
        <v/>
      </c>
      <c r="E566" s="17"/>
      <c r="F566" s="17" t="str">
        <f>IFERROR(VLOOKUP(B566,'MASTER DATA'!$A$1:$E$212,4,FALSE),"")</f>
        <v/>
      </c>
      <c r="G566" s="17"/>
      <c r="H566" s="17"/>
      <c r="I566" s="17"/>
      <c r="J566" s="17" t="b">
        <v>0</v>
      </c>
    </row>
    <row r="567">
      <c r="A567" s="17"/>
      <c r="B567" s="17"/>
      <c r="C567" s="17" t="str">
        <f>IFERROR(VLOOKUP(B567,'MASTER DATA'!$A$1:$E$212,2,FALSE),"")</f>
        <v/>
      </c>
      <c r="D567" s="17" t="str">
        <f>IFERROR(VLOOKUP(B567,'MASTER DATA'!$A$1:$E$212,5,FALSE),"")</f>
        <v/>
      </c>
      <c r="E567" s="17"/>
      <c r="F567" s="17" t="str">
        <f>IFERROR(VLOOKUP(B567,'MASTER DATA'!$A$1:$E$212,4,FALSE),"")</f>
        <v/>
      </c>
      <c r="G567" s="17"/>
      <c r="H567" s="17"/>
      <c r="I567" s="17"/>
      <c r="J567" s="17" t="b">
        <v>0</v>
      </c>
    </row>
    <row r="568">
      <c r="A568" s="17"/>
      <c r="B568" s="17"/>
      <c r="C568" s="17" t="str">
        <f>IFERROR(VLOOKUP(B568,'MASTER DATA'!$A$1:$E$212,2,FALSE),"")</f>
        <v/>
      </c>
      <c r="D568" s="17" t="str">
        <f>IFERROR(VLOOKUP(B568,'MASTER DATA'!$A$1:$E$212,5,FALSE),"")</f>
        <v/>
      </c>
      <c r="E568" s="17"/>
      <c r="F568" s="17" t="str">
        <f>IFERROR(VLOOKUP(B568,'MASTER DATA'!$A$1:$E$212,4,FALSE),"")</f>
        <v/>
      </c>
      <c r="G568" s="17"/>
      <c r="H568" s="17"/>
      <c r="I568" s="17"/>
      <c r="J568" s="17" t="b">
        <v>0</v>
      </c>
    </row>
    <row r="569">
      <c r="A569" s="17"/>
      <c r="B569" s="17"/>
      <c r="C569" s="17" t="str">
        <f>IFERROR(VLOOKUP(B569,'MASTER DATA'!$A$1:$E$212,2,FALSE),"")</f>
        <v/>
      </c>
      <c r="D569" s="17" t="str">
        <f>IFERROR(VLOOKUP(B569,'MASTER DATA'!$A$1:$E$212,5,FALSE),"")</f>
        <v/>
      </c>
      <c r="E569" s="17"/>
      <c r="F569" s="17" t="str">
        <f>IFERROR(VLOOKUP(B569,'MASTER DATA'!$A$1:$E$212,4,FALSE),"")</f>
        <v/>
      </c>
      <c r="G569" s="17"/>
      <c r="H569" s="17"/>
      <c r="I569" s="17"/>
      <c r="J569" s="17" t="b">
        <v>0</v>
      </c>
    </row>
    <row r="570">
      <c r="A570" s="17"/>
      <c r="B570" s="17"/>
      <c r="C570" s="17" t="str">
        <f>IFERROR(VLOOKUP(B570,'MASTER DATA'!$A$1:$E$212,2,FALSE),"")</f>
        <v/>
      </c>
      <c r="D570" s="17" t="str">
        <f>IFERROR(VLOOKUP(B570,'MASTER DATA'!$A$1:$E$212,5,FALSE),"")</f>
        <v/>
      </c>
      <c r="E570" s="17"/>
      <c r="F570" s="17" t="str">
        <f>IFERROR(VLOOKUP(B570,'MASTER DATA'!$A$1:$E$212,4,FALSE),"")</f>
        <v/>
      </c>
      <c r="G570" s="17"/>
      <c r="H570" s="17"/>
      <c r="I570" s="17"/>
      <c r="J570" s="17" t="b">
        <v>0</v>
      </c>
    </row>
    <row r="571">
      <c r="A571" s="17"/>
      <c r="B571" s="17"/>
      <c r="C571" s="17" t="str">
        <f>IFERROR(VLOOKUP(B571,'MASTER DATA'!$A$1:$E$212,2,FALSE),"")</f>
        <v/>
      </c>
      <c r="D571" s="17" t="str">
        <f>IFERROR(VLOOKUP(B571,'MASTER DATA'!$A$1:$E$212,5,FALSE),"")</f>
        <v/>
      </c>
      <c r="E571" s="17"/>
      <c r="F571" s="17" t="str">
        <f>IFERROR(VLOOKUP(B571,'MASTER DATA'!$A$1:$E$212,4,FALSE),"")</f>
        <v/>
      </c>
      <c r="G571" s="17"/>
      <c r="H571" s="17"/>
      <c r="I571" s="17"/>
      <c r="J571" s="17" t="b">
        <v>0</v>
      </c>
    </row>
    <row r="572">
      <c r="A572" s="17"/>
      <c r="B572" s="17"/>
      <c r="C572" s="17" t="str">
        <f>IFERROR(VLOOKUP(B572,'MASTER DATA'!$A$1:$E$212,2,FALSE),"")</f>
        <v/>
      </c>
      <c r="D572" s="17" t="str">
        <f>IFERROR(VLOOKUP(B572,'MASTER DATA'!$A$1:$E$212,5,FALSE),"")</f>
        <v/>
      </c>
      <c r="E572" s="17"/>
      <c r="F572" s="17" t="str">
        <f>IFERROR(VLOOKUP(B572,'MASTER DATA'!$A$1:$E$212,4,FALSE),"")</f>
        <v/>
      </c>
      <c r="G572" s="17"/>
      <c r="H572" s="17"/>
      <c r="I572" s="17"/>
      <c r="J572" s="17" t="b">
        <v>0</v>
      </c>
    </row>
    <row r="573">
      <c r="A573" s="17"/>
      <c r="B573" s="17"/>
      <c r="C573" s="17" t="str">
        <f>IFERROR(VLOOKUP(B573,'MASTER DATA'!$A$1:$E$212,2,FALSE),"")</f>
        <v/>
      </c>
      <c r="D573" s="17" t="str">
        <f>IFERROR(VLOOKUP(B573,'MASTER DATA'!$A$1:$E$212,5,FALSE),"")</f>
        <v/>
      </c>
      <c r="E573" s="17"/>
      <c r="F573" s="17" t="str">
        <f>IFERROR(VLOOKUP(B573,'MASTER DATA'!$A$1:$E$212,4,FALSE),"")</f>
        <v/>
      </c>
      <c r="G573" s="17"/>
      <c r="H573" s="17"/>
      <c r="I573" s="17"/>
      <c r="J573" s="17" t="b">
        <v>0</v>
      </c>
    </row>
    <row r="574">
      <c r="A574" s="17"/>
      <c r="B574" s="17"/>
      <c r="C574" s="17" t="str">
        <f>IFERROR(VLOOKUP(B574,'MASTER DATA'!$A$1:$E$212,2,FALSE),"")</f>
        <v/>
      </c>
      <c r="D574" s="17" t="str">
        <f>IFERROR(VLOOKUP(B574,'MASTER DATA'!$A$1:$E$212,5,FALSE),"")</f>
        <v/>
      </c>
      <c r="E574" s="17"/>
      <c r="F574" s="17" t="str">
        <f>IFERROR(VLOOKUP(B574,'MASTER DATA'!$A$1:$E$212,4,FALSE),"")</f>
        <v/>
      </c>
      <c r="G574" s="17"/>
      <c r="H574" s="17"/>
      <c r="I574" s="17"/>
      <c r="J574" s="17" t="b">
        <v>0</v>
      </c>
    </row>
    <row r="575">
      <c r="A575" s="17"/>
      <c r="B575" s="17"/>
      <c r="C575" s="17" t="str">
        <f>IFERROR(VLOOKUP(B575,'MASTER DATA'!$A$1:$E$212,2,FALSE),"")</f>
        <v/>
      </c>
      <c r="D575" s="17" t="str">
        <f>IFERROR(VLOOKUP(B575,'MASTER DATA'!$A$1:$E$212,5,FALSE),"")</f>
        <v/>
      </c>
      <c r="E575" s="17"/>
      <c r="F575" s="17" t="str">
        <f>IFERROR(VLOOKUP(B575,'MASTER DATA'!$A$1:$E$212,4,FALSE),"")</f>
        <v/>
      </c>
      <c r="G575" s="17"/>
      <c r="H575" s="17"/>
      <c r="I575" s="17"/>
      <c r="J575" s="17" t="b">
        <v>0</v>
      </c>
    </row>
    <row r="576">
      <c r="A576" s="17"/>
      <c r="B576" s="17"/>
      <c r="C576" s="17" t="str">
        <f>IFERROR(VLOOKUP(B576,'MASTER DATA'!$A$1:$E$212,2,FALSE),"")</f>
        <v/>
      </c>
      <c r="D576" s="17" t="str">
        <f>IFERROR(VLOOKUP(B576,'MASTER DATA'!$A$1:$E$212,5,FALSE),"")</f>
        <v/>
      </c>
      <c r="E576" s="17"/>
      <c r="F576" s="17" t="str">
        <f>IFERROR(VLOOKUP(B576,'MASTER DATA'!$A$1:$E$212,4,FALSE),"")</f>
        <v/>
      </c>
      <c r="G576" s="17"/>
      <c r="H576" s="17"/>
      <c r="I576" s="17"/>
      <c r="J576" s="17" t="b">
        <v>0</v>
      </c>
    </row>
    <row r="577">
      <c r="A577" s="17"/>
      <c r="B577" s="17"/>
      <c r="C577" s="17" t="str">
        <f>IFERROR(VLOOKUP(B577,'MASTER DATA'!$A$1:$E$212,2,FALSE),"")</f>
        <v/>
      </c>
      <c r="D577" s="17" t="str">
        <f>IFERROR(VLOOKUP(B577,'MASTER DATA'!$A$1:$E$212,5,FALSE),"")</f>
        <v/>
      </c>
      <c r="E577" s="17"/>
      <c r="F577" s="17" t="str">
        <f>IFERROR(VLOOKUP(B577,'MASTER DATA'!$A$1:$E$212,4,FALSE),"")</f>
        <v/>
      </c>
      <c r="G577" s="17"/>
      <c r="H577" s="17"/>
      <c r="I577" s="17"/>
      <c r="J577" s="17" t="b">
        <v>0</v>
      </c>
    </row>
    <row r="578">
      <c r="A578" s="17"/>
      <c r="B578" s="17"/>
      <c r="C578" s="17" t="str">
        <f>IFERROR(VLOOKUP(B578,'MASTER DATA'!$A$1:$E$212,2,FALSE),"")</f>
        <v/>
      </c>
      <c r="D578" s="17" t="str">
        <f>IFERROR(VLOOKUP(B578,'MASTER DATA'!$A$1:$E$212,5,FALSE),"")</f>
        <v/>
      </c>
      <c r="E578" s="17"/>
      <c r="F578" s="17" t="str">
        <f>IFERROR(VLOOKUP(B578,'MASTER DATA'!$A$1:$E$212,4,FALSE),"")</f>
        <v/>
      </c>
      <c r="G578" s="17"/>
      <c r="H578" s="17"/>
      <c r="I578" s="17"/>
      <c r="J578" s="17" t="b">
        <v>0</v>
      </c>
    </row>
    <row r="579">
      <c r="A579" s="17"/>
      <c r="B579" s="17"/>
      <c r="C579" s="17" t="str">
        <f>IFERROR(VLOOKUP(B579,'MASTER DATA'!$A$1:$E$212,2,FALSE),"")</f>
        <v/>
      </c>
      <c r="D579" s="17" t="str">
        <f>IFERROR(VLOOKUP(B579,'MASTER DATA'!$A$1:$E$212,5,FALSE),"")</f>
        <v/>
      </c>
      <c r="E579" s="17"/>
      <c r="F579" s="17" t="str">
        <f>IFERROR(VLOOKUP(B579,'MASTER DATA'!$A$1:$E$212,4,FALSE),"")</f>
        <v/>
      </c>
      <c r="G579" s="17"/>
      <c r="H579" s="17"/>
      <c r="I579" s="17"/>
      <c r="J579" s="17" t="b">
        <v>0</v>
      </c>
    </row>
    <row r="580">
      <c r="A580" s="17"/>
      <c r="B580" s="17"/>
      <c r="C580" s="17" t="str">
        <f>IFERROR(VLOOKUP(B580,'MASTER DATA'!$A$1:$E$212,2,FALSE),"")</f>
        <v/>
      </c>
      <c r="D580" s="17" t="str">
        <f>IFERROR(VLOOKUP(B580,'MASTER DATA'!$A$1:$E$212,5,FALSE),"")</f>
        <v/>
      </c>
      <c r="E580" s="17"/>
      <c r="F580" s="17" t="str">
        <f>IFERROR(VLOOKUP(B580,'MASTER DATA'!$A$1:$E$212,4,FALSE),"")</f>
        <v/>
      </c>
      <c r="G580" s="17"/>
      <c r="H580" s="17"/>
      <c r="I580" s="17"/>
      <c r="J580" s="17" t="b">
        <v>0</v>
      </c>
    </row>
    <row r="581">
      <c r="A581" s="17"/>
      <c r="B581" s="17"/>
      <c r="C581" s="17" t="str">
        <f>IFERROR(VLOOKUP(B581,'MASTER DATA'!$A$1:$E$212,2,FALSE),"")</f>
        <v/>
      </c>
      <c r="D581" s="17" t="str">
        <f>IFERROR(VLOOKUP(B581,'MASTER DATA'!$A$1:$E$212,5,FALSE),"")</f>
        <v/>
      </c>
      <c r="E581" s="17"/>
      <c r="F581" s="17" t="str">
        <f>IFERROR(VLOOKUP(B581,'MASTER DATA'!$A$1:$E$212,4,FALSE),"")</f>
        <v/>
      </c>
      <c r="G581" s="17"/>
      <c r="H581" s="17"/>
      <c r="I581" s="17"/>
      <c r="J581" s="17" t="b">
        <v>0</v>
      </c>
    </row>
    <row r="582">
      <c r="A582" s="17"/>
      <c r="B582" s="17"/>
      <c r="C582" s="17" t="str">
        <f>IFERROR(VLOOKUP(B582,'MASTER DATA'!$A$1:$E$212,2,FALSE),"")</f>
        <v/>
      </c>
      <c r="D582" s="17" t="str">
        <f>IFERROR(VLOOKUP(B582,'MASTER DATA'!$A$1:$E$212,5,FALSE),"")</f>
        <v/>
      </c>
      <c r="E582" s="17"/>
      <c r="F582" s="17" t="str">
        <f>IFERROR(VLOOKUP(B582,'MASTER DATA'!$A$1:$E$212,4,FALSE),"")</f>
        <v/>
      </c>
      <c r="G582" s="17"/>
      <c r="H582" s="17"/>
      <c r="I582" s="17"/>
      <c r="J582" s="17" t="b">
        <v>0</v>
      </c>
    </row>
    <row r="583">
      <c r="A583" s="17"/>
      <c r="B583" s="17"/>
      <c r="C583" s="17" t="str">
        <f>IFERROR(VLOOKUP(B583,'MASTER DATA'!$A$1:$E$212,2,FALSE),"")</f>
        <v/>
      </c>
      <c r="D583" s="17" t="str">
        <f>IFERROR(VLOOKUP(B583,'MASTER DATA'!$A$1:$E$212,5,FALSE),"")</f>
        <v/>
      </c>
      <c r="E583" s="17"/>
      <c r="F583" s="17" t="str">
        <f>IFERROR(VLOOKUP(B583,'MASTER DATA'!$A$1:$E$212,4,FALSE),"")</f>
        <v/>
      </c>
      <c r="G583" s="17"/>
      <c r="H583" s="17"/>
      <c r="I583" s="17"/>
      <c r="J583" s="17" t="b">
        <v>0</v>
      </c>
    </row>
    <row r="584">
      <c r="A584" s="17"/>
      <c r="B584" s="17"/>
      <c r="C584" s="17" t="str">
        <f>IFERROR(VLOOKUP(B584,'MASTER DATA'!$A$1:$E$212,2,FALSE),"")</f>
        <v/>
      </c>
      <c r="D584" s="17" t="str">
        <f>IFERROR(VLOOKUP(B584,'MASTER DATA'!$A$1:$E$212,5,FALSE),"")</f>
        <v/>
      </c>
      <c r="E584" s="17"/>
      <c r="F584" s="17" t="str">
        <f>IFERROR(VLOOKUP(B584,'MASTER DATA'!$A$1:$E$212,4,FALSE),"")</f>
        <v/>
      </c>
      <c r="G584" s="17"/>
      <c r="H584" s="17"/>
      <c r="I584" s="17"/>
      <c r="J584" s="17" t="b">
        <v>0</v>
      </c>
    </row>
    <row r="585">
      <c r="A585" s="17"/>
      <c r="B585" s="17"/>
      <c r="C585" s="17" t="str">
        <f>IFERROR(VLOOKUP(B585,'MASTER DATA'!$A$1:$E$212,2,FALSE),"")</f>
        <v/>
      </c>
      <c r="D585" s="17" t="str">
        <f>IFERROR(VLOOKUP(B585,'MASTER DATA'!$A$1:$E$212,5,FALSE),"")</f>
        <v/>
      </c>
      <c r="E585" s="17"/>
      <c r="F585" s="17" t="str">
        <f>IFERROR(VLOOKUP(B585,'MASTER DATA'!$A$1:$E$212,4,FALSE),"")</f>
        <v/>
      </c>
      <c r="G585" s="17"/>
      <c r="H585" s="17"/>
      <c r="I585" s="17"/>
      <c r="J585" s="17" t="b">
        <v>0</v>
      </c>
    </row>
    <row r="586">
      <c r="A586" s="17"/>
      <c r="B586" s="17"/>
      <c r="C586" s="17" t="str">
        <f>IFERROR(VLOOKUP(B586,'MASTER DATA'!$A$1:$E$212,2,FALSE),"")</f>
        <v/>
      </c>
      <c r="D586" s="17" t="str">
        <f>IFERROR(VLOOKUP(B586,'MASTER DATA'!$A$1:$E$212,5,FALSE),"")</f>
        <v/>
      </c>
      <c r="E586" s="17"/>
      <c r="F586" s="17" t="str">
        <f>IFERROR(VLOOKUP(B586,'MASTER DATA'!$A$1:$E$212,4,FALSE),"")</f>
        <v/>
      </c>
      <c r="G586" s="17"/>
      <c r="H586" s="17"/>
      <c r="I586" s="17"/>
      <c r="J586" s="17" t="b">
        <v>0</v>
      </c>
    </row>
    <row r="587">
      <c r="A587" s="17"/>
      <c r="B587" s="17"/>
      <c r="C587" s="17" t="str">
        <f>IFERROR(VLOOKUP(B587,'MASTER DATA'!$A$1:$E$212,2,FALSE),"")</f>
        <v/>
      </c>
      <c r="D587" s="17" t="str">
        <f>IFERROR(VLOOKUP(B587,'MASTER DATA'!$A$1:$E$212,5,FALSE),"")</f>
        <v/>
      </c>
      <c r="E587" s="17"/>
      <c r="F587" s="17" t="str">
        <f>IFERROR(VLOOKUP(B587,'MASTER DATA'!$A$1:$E$212,4,FALSE),"")</f>
        <v/>
      </c>
      <c r="G587" s="17"/>
      <c r="H587" s="17"/>
      <c r="I587" s="17"/>
      <c r="J587" s="17" t="b">
        <v>0</v>
      </c>
    </row>
    <row r="588">
      <c r="A588" s="17"/>
      <c r="B588" s="17"/>
      <c r="C588" s="17" t="str">
        <f>IFERROR(VLOOKUP(B588,'MASTER DATA'!$A$1:$E$212,2,FALSE),"")</f>
        <v/>
      </c>
      <c r="D588" s="17" t="str">
        <f>IFERROR(VLOOKUP(B588,'MASTER DATA'!$A$1:$E$212,5,FALSE),"")</f>
        <v/>
      </c>
      <c r="E588" s="17"/>
      <c r="F588" s="17" t="str">
        <f>IFERROR(VLOOKUP(B588,'MASTER DATA'!$A$1:$E$212,4,FALSE),"")</f>
        <v/>
      </c>
      <c r="G588" s="17"/>
      <c r="H588" s="17"/>
      <c r="I588" s="17"/>
      <c r="J588" s="17" t="b">
        <v>0</v>
      </c>
    </row>
    <row r="589">
      <c r="A589" s="17"/>
      <c r="B589" s="17"/>
      <c r="C589" s="17" t="str">
        <f>IFERROR(VLOOKUP(B589,'MASTER DATA'!$A$1:$E$212,2,FALSE),"")</f>
        <v/>
      </c>
      <c r="D589" s="17" t="str">
        <f>IFERROR(VLOOKUP(B589,'MASTER DATA'!$A$1:$E$212,5,FALSE),"")</f>
        <v/>
      </c>
      <c r="E589" s="17"/>
      <c r="F589" s="17" t="str">
        <f>IFERROR(VLOOKUP(B589,'MASTER DATA'!$A$1:$E$212,4,FALSE),"")</f>
        <v/>
      </c>
      <c r="G589" s="17"/>
      <c r="H589" s="17"/>
      <c r="I589" s="17"/>
      <c r="J589" s="17" t="b">
        <v>0</v>
      </c>
    </row>
    <row r="590">
      <c r="A590" s="17"/>
      <c r="B590" s="17"/>
      <c r="C590" s="17" t="str">
        <f>IFERROR(VLOOKUP(B590,'MASTER DATA'!$A$1:$E$212,2,FALSE),"")</f>
        <v/>
      </c>
      <c r="D590" s="17" t="str">
        <f>IFERROR(VLOOKUP(B590,'MASTER DATA'!$A$1:$E$212,5,FALSE),"")</f>
        <v/>
      </c>
      <c r="E590" s="17"/>
      <c r="F590" s="17" t="str">
        <f>IFERROR(VLOOKUP(B590,'MASTER DATA'!$A$1:$E$212,4,FALSE),"")</f>
        <v/>
      </c>
      <c r="G590" s="17"/>
      <c r="H590" s="17"/>
      <c r="I590" s="17"/>
      <c r="J590" s="17" t="b">
        <v>0</v>
      </c>
    </row>
    <row r="591">
      <c r="A591" s="17"/>
      <c r="B591" s="17"/>
      <c r="C591" s="17" t="str">
        <f>IFERROR(VLOOKUP(B591,'MASTER DATA'!$A$1:$E$212,2,FALSE),"")</f>
        <v/>
      </c>
      <c r="D591" s="17" t="str">
        <f>IFERROR(VLOOKUP(B591,'MASTER DATA'!$A$1:$E$212,5,FALSE),"")</f>
        <v/>
      </c>
      <c r="E591" s="17"/>
      <c r="F591" s="17" t="str">
        <f>IFERROR(VLOOKUP(B591,'MASTER DATA'!$A$1:$E$212,4,FALSE),"")</f>
        <v/>
      </c>
      <c r="G591" s="17"/>
      <c r="H591" s="17"/>
      <c r="I591" s="17"/>
      <c r="J591" s="17" t="b">
        <v>0</v>
      </c>
    </row>
    <row r="592">
      <c r="A592" s="17"/>
      <c r="B592" s="17"/>
      <c r="C592" s="17" t="str">
        <f>IFERROR(VLOOKUP(B592,'MASTER DATA'!$A$1:$E$212,2,FALSE),"")</f>
        <v/>
      </c>
      <c r="D592" s="17" t="str">
        <f>IFERROR(VLOOKUP(B592,'MASTER DATA'!$A$1:$E$212,5,FALSE),"")</f>
        <v/>
      </c>
      <c r="E592" s="17"/>
      <c r="F592" s="17" t="str">
        <f>IFERROR(VLOOKUP(B592,'MASTER DATA'!$A$1:$E$212,4,FALSE),"")</f>
        <v/>
      </c>
      <c r="G592" s="17"/>
      <c r="H592" s="17"/>
      <c r="I592" s="17"/>
      <c r="J592" s="17" t="b">
        <v>0</v>
      </c>
    </row>
    <row r="593">
      <c r="A593" s="17"/>
      <c r="B593" s="17"/>
      <c r="C593" s="17" t="str">
        <f>IFERROR(VLOOKUP(B593,'MASTER DATA'!$A$1:$E$212,2,FALSE),"")</f>
        <v/>
      </c>
      <c r="D593" s="17" t="str">
        <f>IFERROR(VLOOKUP(B593,'MASTER DATA'!$A$1:$E$212,5,FALSE),"")</f>
        <v/>
      </c>
      <c r="E593" s="17"/>
      <c r="F593" s="17" t="str">
        <f>IFERROR(VLOOKUP(B593,'MASTER DATA'!$A$1:$E$212,4,FALSE),"")</f>
        <v/>
      </c>
      <c r="G593" s="17"/>
      <c r="H593" s="17"/>
      <c r="I593" s="17"/>
      <c r="J593" s="17" t="b">
        <v>0</v>
      </c>
    </row>
    <row r="594">
      <c r="A594" s="17"/>
      <c r="B594" s="17"/>
      <c r="C594" s="17" t="str">
        <f>IFERROR(VLOOKUP(B594,'MASTER DATA'!$A$1:$E$212,2,FALSE),"")</f>
        <v/>
      </c>
      <c r="D594" s="17" t="str">
        <f>IFERROR(VLOOKUP(B594,'MASTER DATA'!$A$1:$E$212,5,FALSE),"")</f>
        <v/>
      </c>
      <c r="E594" s="17"/>
      <c r="F594" s="17" t="str">
        <f>IFERROR(VLOOKUP(B594,'MASTER DATA'!$A$1:$E$212,4,FALSE),"")</f>
        <v/>
      </c>
      <c r="G594" s="17"/>
      <c r="H594" s="17"/>
      <c r="I594" s="17"/>
      <c r="J594" s="17" t="b">
        <v>0</v>
      </c>
    </row>
    <row r="595">
      <c r="A595" s="17"/>
      <c r="B595" s="17"/>
      <c r="C595" s="17" t="str">
        <f>IFERROR(VLOOKUP(B595,'MASTER DATA'!$A$1:$E$212,2,FALSE),"")</f>
        <v/>
      </c>
      <c r="D595" s="17" t="str">
        <f>IFERROR(VLOOKUP(B595,'MASTER DATA'!$A$1:$E$212,5,FALSE),"")</f>
        <v/>
      </c>
      <c r="E595" s="17"/>
      <c r="F595" s="17" t="str">
        <f>IFERROR(VLOOKUP(B595,'MASTER DATA'!$A$1:$E$212,4,FALSE),"")</f>
        <v/>
      </c>
      <c r="G595" s="17"/>
      <c r="H595" s="17"/>
      <c r="I595" s="17"/>
      <c r="J595" s="17" t="b">
        <v>0</v>
      </c>
    </row>
    <row r="596">
      <c r="A596" s="17"/>
      <c r="B596" s="17"/>
      <c r="C596" s="17" t="str">
        <f>IFERROR(VLOOKUP(B596,'MASTER DATA'!$A$1:$E$212,2,FALSE),"")</f>
        <v/>
      </c>
      <c r="D596" s="17" t="str">
        <f>IFERROR(VLOOKUP(B596,'MASTER DATA'!$A$1:$E$212,5,FALSE),"")</f>
        <v/>
      </c>
      <c r="E596" s="17"/>
      <c r="F596" s="17" t="str">
        <f>IFERROR(VLOOKUP(B596,'MASTER DATA'!$A$1:$E$212,4,FALSE),"")</f>
        <v/>
      </c>
      <c r="G596" s="17"/>
      <c r="H596" s="17"/>
      <c r="I596" s="17"/>
      <c r="J596" s="17" t="b">
        <v>0</v>
      </c>
    </row>
    <row r="597">
      <c r="A597" s="17"/>
      <c r="B597" s="17"/>
      <c r="C597" s="17" t="str">
        <f>IFERROR(VLOOKUP(B597,'MASTER DATA'!$A$1:$E$212,2,FALSE),"")</f>
        <v/>
      </c>
      <c r="D597" s="17" t="str">
        <f>IFERROR(VLOOKUP(B597,'MASTER DATA'!$A$1:$E$212,5,FALSE),"")</f>
        <v/>
      </c>
      <c r="E597" s="17"/>
      <c r="F597" s="17" t="str">
        <f>IFERROR(VLOOKUP(B597,'MASTER DATA'!$A$1:$E$212,4,FALSE),"")</f>
        <v/>
      </c>
      <c r="G597" s="17"/>
      <c r="H597" s="17"/>
      <c r="I597" s="17"/>
      <c r="J597" s="17" t="b">
        <v>0</v>
      </c>
    </row>
    <row r="598">
      <c r="A598" s="17"/>
      <c r="B598" s="17"/>
      <c r="C598" s="17" t="str">
        <f>IFERROR(VLOOKUP(B598,'MASTER DATA'!$A$1:$E$212,2,FALSE),"")</f>
        <v/>
      </c>
      <c r="D598" s="17" t="str">
        <f>IFERROR(VLOOKUP(B598,'MASTER DATA'!$A$1:$E$212,5,FALSE),"")</f>
        <v/>
      </c>
      <c r="E598" s="17"/>
      <c r="F598" s="17" t="str">
        <f>IFERROR(VLOOKUP(B598,'MASTER DATA'!$A$1:$E$212,4,FALSE),"")</f>
        <v/>
      </c>
      <c r="G598" s="17"/>
      <c r="H598" s="17"/>
      <c r="I598" s="17"/>
      <c r="J598" s="17" t="b">
        <v>0</v>
      </c>
    </row>
    <row r="599">
      <c r="A599" s="17"/>
      <c r="B599" s="17"/>
      <c r="C599" s="17" t="str">
        <f>IFERROR(VLOOKUP(B599,'MASTER DATA'!$A$1:$E$212,2,FALSE),"")</f>
        <v/>
      </c>
      <c r="D599" s="17" t="str">
        <f>IFERROR(VLOOKUP(B599,'MASTER DATA'!$A$1:$E$212,5,FALSE),"")</f>
        <v/>
      </c>
      <c r="E599" s="17"/>
      <c r="F599" s="17" t="str">
        <f>IFERROR(VLOOKUP(B599,'MASTER DATA'!$A$1:$E$212,4,FALSE),"")</f>
        <v/>
      </c>
      <c r="G599" s="17"/>
      <c r="H599" s="17"/>
      <c r="I599" s="17"/>
      <c r="J599" s="17" t="b">
        <v>0</v>
      </c>
    </row>
    <row r="600">
      <c r="A600" s="17"/>
      <c r="B600" s="17"/>
      <c r="C600" s="17" t="str">
        <f>IFERROR(VLOOKUP(B600,'MASTER DATA'!$A$1:$E$212,2,FALSE),"")</f>
        <v/>
      </c>
      <c r="D600" s="17" t="str">
        <f>IFERROR(VLOOKUP(B600,'MASTER DATA'!$A$1:$E$212,5,FALSE),"")</f>
        <v/>
      </c>
      <c r="E600" s="17"/>
      <c r="F600" s="17" t="str">
        <f>IFERROR(VLOOKUP(B600,'MASTER DATA'!$A$1:$E$212,4,FALSE),"")</f>
        <v/>
      </c>
      <c r="G600" s="17"/>
      <c r="H600" s="17"/>
      <c r="I600" s="17"/>
      <c r="J600" s="17" t="b">
        <v>0</v>
      </c>
    </row>
    <row r="601">
      <c r="A601" s="17"/>
      <c r="B601" s="17"/>
      <c r="C601" s="17" t="str">
        <f>IFERROR(VLOOKUP(B601,'MASTER DATA'!$A$1:$E$212,2,FALSE),"")</f>
        <v/>
      </c>
      <c r="D601" s="17" t="str">
        <f>IFERROR(VLOOKUP(B601,'MASTER DATA'!$A$1:$E$212,5,FALSE),"")</f>
        <v/>
      </c>
      <c r="E601" s="17"/>
      <c r="F601" s="17" t="str">
        <f>IFERROR(VLOOKUP(B601,'MASTER DATA'!$A$1:$E$212,4,FALSE),"")</f>
        <v/>
      </c>
      <c r="G601" s="17"/>
      <c r="H601" s="17"/>
      <c r="I601" s="17"/>
      <c r="J601" s="17" t="b">
        <v>0</v>
      </c>
    </row>
    <row r="602">
      <c r="A602" s="17"/>
      <c r="B602" s="17"/>
      <c r="C602" s="17" t="str">
        <f>IFERROR(VLOOKUP(B602,'MASTER DATA'!$A$1:$E$212,2,FALSE),"")</f>
        <v/>
      </c>
      <c r="D602" s="17" t="str">
        <f>IFERROR(VLOOKUP(B602,'MASTER DATA'!$A$1:$E$212,5,FALSE),"")</f>
        <v/>
      </c>
      <c r="E602" s="17"/>
      <c r="F602" s="17" t="str">
        <f>IFERROR(VLOOKUP(B602,'MASTER DATA'!$A$1:$E$212,4,FALSE),"")</f>
        <v/>
      </c>
      <c r="G602" s="17"/>
      <c r="H602" s="17"/>
      <c r="I602" s="17"/>
      <c r="J602" s="17" t="b">
        <v>0</v>
      </c>
    </row>
    <row r="603">
      <c r="A603" s="17"/>
      <c r="B603" s="17"/>
      <c r="C603" s="17" t="str">
        <f>IFERROR(VLOOKUP(B603,'MASTER DATA'!$A$1:$E$212,2,FALSE),"")</f>
        <v/>
      </c>
      <c r="D603" s="17" t="str">
        <f>IFERROR(VLOOKUP(B603,'MASTER DATA'!$A$1:$E$212,5,FALSE),"")</f>
        <v/>
      </c>
      <c r="E603" s="17"/>
      <c r="F603" s="17" t="str">
        <f>IFERROR(VLOOKUP(B603,'MASTER DATA'!$A$1:$E$212,4,FALSE),"")</f>
        <v/>
      </c>
      <c r="G603" s="17"/>
      <c r="H603" s="17"/>
      <c r="I603" s="17"/>
      <c r="J603" s="17" t="b">
        <v>0</v>
      </c>
    </row>
    <row r="604">
      <c r="A604" s="17"/>
      <c r="B604" s="17"/>
      <c r="C604" s="17" t="str">
        <f>IFERROR(VLOOKUP(B604,'MASTER DATA'!$A$1:$E$212,2,FALSE),"")</f>
        <v/>
      </c>
      <c r="D604" s="17" t="str">
        <f>IFERROR(VLOOKUP(B604,'MASTER DATA'!$A$1:$E$212,5,FALSE),"")</f>
        <v/>
      </c>
      <c r="E604" s="17"/>
      <c r="F604" s="17" t="str">
        <f>IFERROR(VLOOKUP(B604,'MASTER DATA'!$A$1:$E$212,4,FALSE),"")</f>
        <v/>
      </c>
      <c r="G604" s="17"/>
      <c r="H604" s="17"/>
      <c r="I604" s="17"/>
      <c r="J604" s="17" t="b">
        <v>0</v>
      </c>
    </row>
    <row r="605">
      <c r="A605" s="17"/>
      <c r="B605" s="17"/>
      <c r="C605" s="17" t="str">
        <f>IFERROR(VLOOKUP(B605,'MASTER DATA'!$A$1:$E$212,2,FALSE),"")</f>
        <v/>
      </c>
      <c r="D605" s="17" t="str">
        <f>IFERROR(VLOOKUP(B605,'MASTER DATA'!$A$1:$E$212,5,FALSE),"")</f>
        <v/>
      </c>
      <c r="E605" s="17"/>
      <c r="F605" s="17" t="str">
        <f>IFERROR(VLOOKUP(B605,'MASTER DATA'!$A$1:$E$212,4,FALSE),"")</f>
        <v/>
      </c>
      <c r="G605" s="17"/>
      <c r="H605" s="17"/>
      <c r="I605" s="17"/>
      <c r="J605" s="17" t="b">
        <v>0</v>
      </c>
    </row>
    <row r="606">
      <c r="A606" s="17"/>
      <c r="B606" s="17"/>
      <c r="C606" s="17" t="str">
        <f>IFERROR(VLOOKUP(B606,'MASTER DATA'!$A$1:$E$212,2,FALSE),"")</f>
        <v/>
      </c>
      <c r="D606" s="17" t="str">
        <f>IFERROR(VLOOKUP(B606,'MASTER DATA'!$A$1:$E$212,5,FALSE),"")</f>
        <v/>
      </c>
      <c r="E606" s="17"/>
      <c r="F606" s="17" t="str">
        <f>IFERROR(VLOOKUP(B606,'MASTER DATA'!$A$1:$E$212,4,FALSE),"")</f>
        <v/>
      </c>
      <c r="G606" s="17"/>
      <c r="H606" s="17"/>
      <c r="I606" s="17"/>
      <c r="J606" s="17" t="b">
        <v>0</v>
      </c>
    </row>
    <row r="607">
      <c r="A607" s="17"/>
      <c r="B607" s="17"/>
      <c r="C607" s="17" t="str">
        <f>IFERROR(VLOOKUP(B607,'MASTER DATA'!$A$1:$E$212,2,FALSE),"")</f>
        <v/>
      </c>
      <c r="D607" s="17" t="str">
        <f>IFERROR(VLOOKUP(B607,'MASTER DATA'!$A$1:$E$212,5,FALSE),"")</f>
        <v/>
      </c>
      <c r="E607" s="17"/>
      <c r="F607" s="17" t="str">
        <f>IFERROR(VLOOKUP(B607,'MASTER DATA'!$A$1:$E$212,4,FALSE),"")</f>
        <v/>
      </c>
      <c r="G607" s="17"/>
      <c r="H607" s="17"/>
      <c r="I607" s="17"/>
      <c r="J607" s="17" t="b">
        <v>0</v>
      </c>
    </row>
    <row r="608">
      <c r="A608" s="17"/>
      <c r="B608" s="17"/>
      <c r="C608" s="17" t="str">
        <f>IFERROR(VLOOKUP(B608,'MASTER DATA'!$A$1:$E$212,2,FALSE),"")</f>
        <v/>
      </c>
      <c r="D608" s="17" t="str">
        <f>IFERROR(VLOOKUP(B608,'MASTER DATA'!$A$1:$E$212,5,FALSE),"")</f>
        <v/>
      </c>
      <c r="E608" s="17"/>
      <c r="F608" s="17" t="str">
        <f>IFERROR(VLOOKUP(B608,'MASTER DATA'!$A$1:$E$212,4,FALSE),"")</f>
        <v/>
      </c>
      <c r="G608" s="17"/>
      <c r="H608" s="17"/>
      <c r="I608" s="17"/>
      <c r="J608" s="17" t="b">
        <v>0</v>
      </c>
    </row>
    <row r="609">
      <c r="A609" s="17"/>
      <c r="B609" s="17"/>
      <c r="C609" s="17" t="str">
        <f>IFERROR(VLOOKUP(B609,'MASTER DATA'!$A$1:$E$212,2,FALSE),"")</f>
        <v/>
      </c>
      <c r="D609" s="17" t="str">
        <f>IFERROR(VLOOKUP(B609,'MASTER DATA'!$A$1:$E$212,5,FALSE),"")</f>
        <v/>
      </c>
      <c r="E609" s="17"/>
      <c r="F609" s="17" t="str">
        <f>IFERROR(VLOOKUP(B609,'MASTER DATA'!$A$1:$E$212,4,FALSE),"")</f>
        <v/>
      </c>
      <c r="G609" s="17"/>
      <c r="H609" s="17"/>
      <c r="I609" s="17"/>
      <c r="J609" s="17" t="b">
        <v>0</v>
      </c>
    </row>
    <row r="610">
      <c r="A610" s="17"/>
      <c r="B610" s="17"/>
      <c r="C610" s="17" t="str">
        <f>IFERROR(VLOOKUP(B610,'MASTER DATA'!$A$1:$E$212,2,FALSE),"")</f>
        <v/>
      </c>
      <c r="D610" s="17" t="str">
        <f>IFERROR(VLOOKUP(B610,'MASTER DATA'!$A$1:$E$212,5,FALSE),"")</f>
        <v/>
      </c>
      <c r="E610" s="17"/>
      <c r="F610" s="17" t="str">
        <f>IFERROR(VLOOKUP(B610,'MASTER DATA'!$A$1:$E$212,4,FALSE),"")</f>
        <v/>
      </c>
      <c r="G610" s="17"/>
      <c r="H610" s="17"/>
      <c r="I610" s="17"/>
      <c r="J610" s="17" t="b">
        <v>0</v>
      </c>
    </row>
    <row r="611">
      <c r="A611" s="17"/>
      <c r="B611" s="17"/>
      <c r="C611" s="17" t="str">
        <f>IFERROR(VLOOKUP(B611,'MASTER DATA'!$A$1:$E$212,2,FALSE),"")</f>
        <v/>
      </c>
      <c r="D611" s="17" t="str">
        <f>IFERROR(VLOOKUP(B611,'MASTER DATA'!$A$1:$E$212,5,FALSE),"")</f>
        <v/>
      </c>
      <c r="E611" s="17"/>
      <c r="F611" s="17" t="str">
        <f>IFERROR(VLOOKUP(B611,'MASTER DATA'!$A$1:$E$212,4,FALSE),"")</f>
        <v/>
      </c>
      <c r="G611" s="17"/>
      <c r="H611" s="17"/>
      <c r="I611" s="17"/>
      <c r="J611" s="17" t="b">
        <v>0</v>
      </c>
    </row>
    <row r="612">
      <c r="A612" s="17"/>
      <c r="B612" s="17"/>
      <c r="C612" s="17" t="str">
        <f>IFERROR(VLOOKUP(B612,'MASTER DATA'!$A$1:$E$212,2,FALSE),"")</f>
        <v/>
      </c>
      <c r="D612" s="17" t="str">
        <f>IFERROR(VLOOKUP(B612,'MASTER DATA'!$A$1:$E$212,5,FALSE),"")</f>
        <v/>
      </c>
      <c r="E612" s="17"/>
      <c r="F612" s="17" t="str">
        <f>IFERROR(VLOOKUP(B612,'MASTER DATA'!$A$1:$E$212,4,FALSE),"")</f>
        <v/>
      </c>
      <c r="G612" s="17"/>
      <c r="H612" s="17"/>
      <c r="I612" s="17"/>
      <c r="J612" s="17" t="b">
        <v>0</v>
      </c>
    </row>
    <row r="613">
      <c r="A613" s="17"/>
      <c r="B613" s="17"/>
      <c r="C613" s="17" t="str">
        <f>IFERROR(VLOOKUP(B613,'MASTER DATA'!$A$1:$E$212,2,FALSE),"")</f>
        <v/>
      </c>
      <c r="D613" s="17" t="str">
        <f>IFERROR(VLOOKUP(B613,'MASTER DATA'!$A$1:$E$212,5,FALSE),"")</f>
        <v/>
      </c>
      <c r="E613" s="17"/>
      <c r="F613" s="17" t="str">
        <f>IFERROR(VLOOKUP(B613,'MASTER DATA'!$A$1:$E$212,4,FALSE),"")</f>
        <v/>
      </c>
      <c r="G613" s="17"/>
      <c r="H613" s="17"/>
      <c r="I613" s="17"/>
      <c r="J613" s="17" t="b">
        <v>0</v>
      </c>
    </row>
    <row r="614">
      <c r="A614" s="17"/>
      <c r="B614" s="17"/>
      <c r="C614" s="17" t="str">
        <f>IFERROR(VLOOKUP(B614,'MASTER DATA'!$A$1:$E$212,2,FALSE),"")</f>
        <v/>
      </c>
      <c r="D614" s="17" t="str">
        <f>IFERROR(VLOOKUP(B614,'MASTER DATA'!$A$1:$E$212,5,FALSE),"")</f>
        <v/>
      </c>
      <c r="E614" s="17"/>
      <c r="F614" s="17" t="str">
        <f>IFERROR(VLOOKUP(B614,'MASTER DATA'!$A$1:$E$212,4,FALSE),"")</f>
        <v/>
      </c>
      <c r="G614" s="17"/>
      <c r="H614" s="17"/>
      <c r="I614" s="17"/>
      <c r="J614" s="17" t="b">
        <v>0</v>
      </c>
    </row>
    <row r="615">
      <c r="A615" s="17"/>
      <c r="B615" s="17"/>
      <c r="C615" s="17" t="str">
        <f>IFERROR(VLOOKUP(B615,'MASTER DATA'!$A$1:$E$212,2,FALSE),"")</f>
        <v/>
      </c>
      <c r="D615" s="17" t="str">
        <f>IFERROR(VLOOKUP(B615,'MASTER DATA'!$A$1:$E$212,5,FALSE),"")</f>
        <v/>
      </c>
      <c r="E615" s="17"/>
      <c r="F615" s="17" t="str">
        <f>IFERROR(VLOOKUP(B615,'MASTER DATA'!$A$1:$E$212,4,FALSE),"")</f>
        <v/>
      </c>
      <c r="G615" s="17"/>
      <c r="H615" s="17"/>
      <c r="I615" s="17"/>
      <c r="J615" s="17" t="b">
        <v>0</v>
      </c>
    </row>
    <row r="616">
      <c r="A616" s="17"/>
      <c r="B616" s="17"/>
      <c r="C616" s="17" t="str">
        <f>IFERROR(VLOOKUP(B616,'MASTER DATA'!$A$1:$E$212,2,FALSE),"")</f>
        <v/>
      </c>
      <c r="D616" s="17" t="str">
        <f>IFERROR(VLOOKUP(B616,'MASTER DATA'!$A$1:$E$212,5,FALSE),"")</f>
        <v/>
      </c>
      <c r="E616" s="17"/>
      <c r="F616" s="17" t="str">
        <f>IFERROR(VLOOKUP(B616,'MASTER DATA'!$A$1:$E$212,4,FALSE),"")</f>
        <v/>
      </c>
      <c r="G616" s="17"/>
      <c r="H616" s="17"/>
      <c r="I616" s="17"/>
      <c r="J616" s="17" t="b">
        <v>0</v>
      </c>
    </row>
    <row r="617">
      <c r="A617" s="17"/>
      <c r="B617" s="17"/>
      <c r="C617" s="17" t="str">
        <f>IFERROR(VLOOKUP(B617,'MASTER DATA'!$A$1:$E$212,2,FALSE),"")</f>
        <v/>
      </c>
      <c r="D617" s="17" t="str">
        <f>IFERROR(VLOOKUP(B617,'MASTER DATA'!$A$1:$E$212,5,FALSE),"")</f>
        <v/>
      </c>
      <c r="E617" s="17"/>
      <c r="F617" s="17" t="str">
        <f>IFERROR(VLOOKUP(B617,'MASTER DATA'!$A$1:$E$212,4,FALSE),"")</f>
        <v/>
      </c>
      <c r="G617" s="17"/>
      <c r="H617" s="17"/>
      <c r="I617" s="17"/>
      <c r="J617" s="17" t="b">
        <v>0</v>
      </c>
    </row>
    <row r="618">
      <c r="A618" s="17"/>
      <c r="B618" s="17"/>
      <c r="C618" s="17" t="str">
        <f>IFERROR(VLOOKUP(B618,'MASTER DATA'!$A$1:$E$212,2,FALSE),"")</f>
        <v/>
      </c>
      <c r="D618" s="17" t="str">
        <f>IFERROR(VLOOKUP(B618,'MASTER DATA'!$A$1:$E$212,5,FALSE),"")</f>
        <v/>
      </c>
      <c r="E618" s="17"/>
      <c r="F618" s="17" t="str">
        <f>IFERROR(VLOOKUP(B618,'MASTER DATA'!$A$1:$E$212,4,FALSE),"")</f>
        <v/>
      </c>
      <c r="G618" s="17"/>
      <c r="H618" s="17"/>
      <c r="I618" s="17"/>
      <c r="J618" s="17" t="b">
        <v>0</v>
      </c>
    </row>
    <row r="619">
      <c r="A619" s="17"/>
      <c r="B619" s="17"/>
      <c r="C619" s="17" t="str">
        <f>IFERROR(VLOOKUP(B619,'MASTER DATA'!$A$1:$E$212,2,FALSE),"")</f>
        <v/>
      </c>
      <c r="D619" s="17" t="str">
        <f>IFERROR(VLOOKUP(B619,'MASTER DATA'!$A$1:$E$212,5,FALSE),"")</f>
        <v/>
      </c>
      <c r="E619" s="17"/>
      <c r="F619" s="17" t="str">
        <f>IFERROR(VLOOKUP(B619,'MASTER DATA'!$A$1:$E$212,4,FALSE),"")</f>
        <v/>
      </c>
      <c r="G619" s="17"/>
      <c r="H619" s="17"/>
      <c r="I619" s="17"/>
      <c r="J619" s="17" t="b">
        <v>0</v>
      </c>
    </row>
    <row r="620">
      <c r="A620" s="17"/>
      <c r="B620" s="17"/>
      <c r="C620" s="17" t="str">
        <f>IFERROR(VLOOKUP(B620,'MASTER DATA'!$A$1:$E$212,2,FALSE),"")</f>
        <v/>
      </c>
      <c r="D620" s="17" t="str">
        <f>IFERROR(VLOOKUP(B620,'MASTER DATA'!$A$1:$E$212,5,FALSE),"")</f>
        <v/>
      </c>
      <c r="E620" s="17"/>
      <c r="F620" s="17" t="str">
        <f>IFERROR(VLOOKUP(B620,'MASTER DATA'!$A$1:$E$212,4,FALSE),"")</f>
        <v/>
      </c>
      <c r="G620" s="17"/>
      <c r="H620" s="17"/>
      <c r="I620" s="17"/>
      <c r="J620" s="17" t="b">
        <v>0</v>
      </c>
    </row>
    <row r="621">
      <c r="A621" s="17"/>
      <c r="B621" s="17"/>
      <c r="C621" s="17" t="str">
        <f>IFERROR(VLOOKUP(B621,'MASTER DATA'!$A$1:$E$212,2,FALSE),"")</f>
        <v/>
      </c>
      <c r="D621" s="17" t="str">
        <f>IFERROR(VLOOKUP(B621,'MASTER DATA'!$A$1:$E$212,5,FALSE),"")</f>
        <v/>
      </c>
      <c r="E621" s="17"/>
      <c r="F621" s="17" t="str">
        <f>IFERROR(VLOOKUP(B621,'MASTER DATA'!$A$1:$E$212,4,FALSE),"")</f>
        <v/>
      </c>
      <c r="G621" s="17"/>
      <c r="H621" s="17"/>
      <c r="I621" s="17"/>
      <c r="J621" s="17" t="b">
        <v>0</v>
      </c>
    </row>
    <row r="622">
      <c r="A622" s="17"/>
      <c r="B622" s="17"/>
      <c r="C622" s="17" t="str">
        <f>IFERROR(VLOOKUP(B622,'MASTER DATA'!$A$1:$E$212,2,FALSE),"")</f>
        <v/>
      </c>
      <c r="D622" s="17" t="str">
        <f>IFERROR(VLOOKUP(B622,'MASTER DATA'!$A$1:$E$212,5,FALSE),"")</f>
        <v/>
      </c>
      <c r="E622" s="17"/>
      <c r="F622" s="17" t="str">
        <f>IFERROR(VLOOKUP(B622,'MASTER DATA'!$A$1:$E$212,4,FALSE),"")</f>
        <v/>
      </c>
      <c r="G622" s="17"/>
      <c r="H622" s="17"/>
      <c r="I622" s="17"/>
      <c r="J622" s="17" t="b">
        <v>0</v>
      </c>
    </row>
    <row r="623">
      <c r="A623" s="17"/>
      <c r="B623" s="17"/>
      <c r="C623" s="17" t="str">
        <f>IFERROR(VLOOKUP(B623,'MASTER DATA'!$A$1:$E$212,2,FALSE),"")</f>
        <v/>
      </c>
      <c r="D623" s="17" t="str">
        <f>IFERROR(VLOOKUP(B623,'MASTER DATA'!$A$1:$E$212,5,FALSE),"")</f>
        <v/>
      </c>
      <c r="E623" s="17"/>
      <c r="F623" s="17" t="str">
        <f>IFERROR(VLOOKUP(B623,'MASTER DATA'!$A$1:$E$212,4,FALSE),"")</f>
        <v/>
      </c>
      <c r="G623" s="17"/>
      <c r="H623" s="17"/>
      <c r="I623" s="17"/>
      <c r="J623" s="17" t="b">
        <v>0</v>
      </c>
    </row>
    <row r="624">
      <c r="A624" s="17"/>
      <c r="B624" s="17"/>
      <c r="C624" s="17" t="str">
        <f>IFERROR(VLOOKUP(B624,'MASTER DATA'!$A$1:$E$212,2,FALSE),"")</f>
        <v/>
      </c>
      <c r="D624" s="17" t="str">
        <f>IFERROR(VLOOKUP(B624,'MASTER DATA'!$A$1:$E$212,5,FALSE),"")</f>
        <v/>
      </c>
      <c r="E624" s="17"/>
      <c r="F624" s="17" t="str">
        <f>IFERROR(VLOOKUP(B624,'MASTER DATA'!$A$1:$E$212,4,FALSE),"")</f>
        <v/>
      </c>
      <c r="G624" s="17"/>
      <c r="H624" s="17"/>
      <c r="I624" s="17"/>
      <c r="J624" s="17" t="b">
        <v>0</v>
      </c>
    </row>
    <row r="625">
      <c r="A625" s="17"/>
      <c r="B625" s="17"/>
      <c r="C625" s="17" t="str">
        <f>IFERROR(VLOOKUP(B625,'MASTER DATA'!$A$1:$E$212,2,FALSE),"")</f>
        <v/>
      </c>
      <c r="D625" s="17" t="str">
        <f>IFERROR(VLOOKUP(B625,'MASTER DATA'!$A$1:$E$212,5,FALSE),"")</f>
        <v/>
      </c>
      <c r="E625" s="17"/>
      <c r="F625" s="17" t="str">
        <f>IFERROR(VLOOKUP(B625,'MASTER DATA'!$A$1:$E$212,4,FALSE),"")</f>
        <v/>
      </c>
      <c r="G625" s="17"/>
      <c r="H625" s="17"/>
      <c r="I625" s="17"/>
      <c r="J625" s="17" t="b">
        <v>0</v>
      </c>
    </row>
    <row r="626">
      <c r="A626" s="17"/>
      <c r="B626" s="17"/>
      <c r="C626" s="17" t="str">
        <f>IFERROR(VLOOKUP(B626,'MASTER DATA'!$A$1:$E$212,2,FALSE),"")</f>
        <v/>
      </c>
      <c r="D626" s="17" t="str">
        <f>IFERROR(VLOOKUP(B626,'MASTER DATA'!$A$1:$E$212,5,FALSE),"")</f>
        <v/>
      </c>
      <c r="E626" s="17"/>
      <c r="F626" s="17" t="str">
        <f>IFERROR(VLOOKUP(B626,'MASTER DATA'!$A$1:$E$212,4,FALSE),"")</f>
        <v/>
      </c>
      <c r="G626" s="17"/>
      <c r="H626" s="17"/>
      <c r="I626" s="17"/>
      <c r="J626" s="17" t="b">
        <v>0</v>
      </c>
    </row>
    <row r="627">
      <c r="A627" s="17"/>
      <c r="B627" s="17"/>
      <c r="C627" s="17" t="str">
        <f>IFERROR(VLOOKUP(B627,'MASTER DATA'!$A$1:$E$212,2,FALSE),"")</f>
        <v/>
      </c>
      <c r="D627" s="17" t="str">
        <f>IFERROR(VLOOKUP(B627,'MASTER DATA'!$A$1:$E$212,5,FALSE),"")</f>
        <v/>
      </c>
      <c r="E627" s="17"/>
      <c r="F627" s="17" t="str">
        <f>IFERROR(VLOOKUP(B627,'MASTER DATA'!$A$1:$E$212,4,FALSE),"")</f>
        <v/>
      </c>
      <c r="G627" s="17"/>
      <c r="H627" s="17"/>
      <c r="I627" s="17"/>
      <c r="J627" s="17" t="b">
        <v>0</v>
      </c>
    </row>
    <row r="628">
      <c r="A628" s="17"/>
      <c r="B628" s="17"/>
      <c r="C628" s="17" t="str">
        <f>IFERROR(VLOOKUP(B628,'MASTER DATA'!$A$1:$E$212,2,FALSE),"")</f>
        <v/>
      </c>
      <c r="D628" s="17" t="str">
        <f>IFERROR(VLOOKUP(B628,'MASTER DATA'!$A$1:$E$212,5,FALSE),"")</f>
        <v/>
      </c>
      <c r="E628" s="17"/>
      <c r="F628" s="17" t="str">
        <f>IFERROR(VLOOKUP(B628,'MASTER DATA'!$A$1:$E$212,4,FALSE),"")</f>
        <v/>
      </c>
      <c r="G628" s="17"/>
      <c r="H628" s="17"/>
      <c r="I628" s="17"/>
      <c r="J628" s="17" t="b">
        <v>0</v>
      </c>
    </row>
    <row r="629">
      <c r="A629" s="17"/>
      <c r="B629" s="17"/>
      <c r="C629" s="17" t="str">
        <f>IFERROR(VLOOKUP(B629,'MASTER DATA'!$A$1:$E$212,2,FALSE),"")</f>
        <v/>
      </c>
      <c r="D629" s="17" t="str">
        <f>IFERROR(VLOOKUP(B629,'MASTER DATA'!$A$1:$E$212,5,FALSE),"")</f>
        <v/>
      </c>
      <c r="E629" s="17"/>
      <c r="F629" s="17" t="str">
        <f>IFERROR(VLOOKUP(B629,'MASTER DATA'!$A$1:$E$212,4,FALSE),"")</f>
        <v/>
      </c>
      <c r="G629" s="17"/>
      <c r="H629" s="17"/>
      <c r="I629" s="17"/>
      <c r="J629" s="17" t="b">
        <v>0</v>
      </c>
    </row>
    <row r="630">
      <c r="A630" s="17"/>
      <c r="B630" s="17"/>
      <c r="C630" s="17" t="str">
        <f>IFERROR(VLOOKUP(B630,'MASTER DATA'!$A$1:$E$212,2,FALSE),"")</f>
        <v/>
      </c>
      <c r="D630" s="17" t="str">
        <f>IFERROR(VLOOKUP(B630,'MASTER DATA'!$A$1:$E$212,5,FALSE),"")</f>
        <v/>
      </c>
      <c r="E630" s="17"/>
      <c r="F630" s="17" t="str">
        <f>IFERROR(VLOOKUP(B630,'MASTER DATA'!$A$1:$E$212,4,FALSE),"")</f>
        <v/>
      </c>
      <c r="G630" s="17"/>
      <c r="H630" s="17"/>
      <c r="I630" s="17"/>
      <c r="J630" s="17" t="b">
        <v>0</v>
      </c>
    </row>
    <row r="631">
      <c r="A631" s="17"/>
      <c r="B631" s="17"/>
      <c r="C631" s="17" t="str">
        <f>IFERROR(VLOOKUP(B631,'MASTER DATA'!$A$1:$E$212,2,FALSE),"")</f>
        <v/>
      </c>
      <c r="D631" s="17" t="str">
        <f>IFERROR(VLOOKUP(B631,'MASTER DATA'!$A$1:$E$212,5,FALSE),"")</f>
        <v/>
      </c>
      <c r="E631" s="17"/>
      <c r="F631" s="17" t="str">
        <f>IFERROR(VLOOKUP(B631,'MASTER DATA'!$A$1:$E$212,4,FALSE),"")</f>
        <v/>
      </c>
      <c r="G631" s="17"/>
      <c r="H631" s="17"/>
      <c r="I631" s="17"/>
      <c r="J631" s="17" t="b">
        <v>0</v>
      </c>
    </row>
    <row r="632">
      <c r="A632" s="17"/>
      <c r="B632" s="17"/>
      <c r="C632" s="17" t="str">
        <f>IFERROR(VLOOKUP(B632,'MASTER DATA'!$A$1:$E$212,2,FALSE),"")</f>
        <v/>
      </c>
      <c r="D632" s="17" t="str">
        <f>IFERROR(VLOOKUP(B632,'MASTER DATA'!$A$1:$E$212,5,FALSE),"")</f>
        <v/>
      </c>
      <c r="E632" s="17"/>
      <c r="F632" s="17" t="str">
        <f>IFERROR(VLOOKUP(B632,'MASTER DATA'!$A$1:$E$212,4,FALSE),"")</f>
        <v/>
      </c>
      <c r="G632" s="17"/>
      <c r="H632" s="17"/>
      <c r="I632" s="17"/>
      <c r="J632" s="17" t="b">
        <v>0</v>
      </c>
    </row>
    <row r="633">
      <c r="A633" s="17"/>
      <c r="B633" s="17"/>
      <c r="C633" s="17" t="str">
        <f>IFERROR(VLOOKUP(B633,'MASTER DATA'!$A$1:$E$212,2,FALSE),"")</f>
        <v/>
      </c>
      <c r="D633" s="17" t="str">
        <f>IFERROR(VLOOKUP(B633,'MASTER DATA'!$A$1:$E$212,5,FALSE),"")</f>
        <v/>
      </c>
      <c r="E633" s="17"/>
      <c r="F633" s="17" t="str">
        <f>IFERROR(VLOOKUP(B633,'MASTER DATA'!$A$1:$E$212,4,FALSE),"")</f>
        <v/>
      </c>
      <c r="G633" s="17"/>
      <c r="H633" s="17"/>
      <c r="I633" s="17"/>
      <c r="J633" s="17" t="b">
        <v>0</v>
      </c>
    </row>
    <row r="634">
      <c r="A634" s="17"/>
      <c r="B634" s="17"/>
      <c r="C634" s="17" t="str">
        <f>IFERROR(VLOOKUP(B634,'MASTER DATA'!$A$1:$E$212,2,FALSE),"")</f>
        <v/>
      </c>
      <c r="D634" s="17" t="str">
        <f>IFERROR(VLOOKUP(B634,'MASTER DATA'!$A$1:$E$212,5,FALSE),"")</f>
        <v/>
      </c>
      <c r="E634" s="17"/>
      <c r="F634" s="17" t="str">
        <f>IFERROR(VLOOKUP(B634,'MASTER DATA'!$A$1:$E$212,4,FALSE),"")</f>
        <v/>
      </c>
      <c r="G634" s="17"/>
      <c r="H634" s="17"/>
      <c r="I634" s="17"/>
      <c r="J634" s="17" t="b">
        <v>0</v>
      </c>
    </row>
    <row r="635">
      <c r="A635" s="17"/>
      <c r="B635" s="17"/>
      <c r="C635" s="17" t="str">
        <f>IFERROR(VLOOKUP(B635,'MASTER DATA'!$A$1:$E$212,2,FALSE),"")</f>
        <v/>
      </c>
      <c r="D635" s="17" t="str">
        <f>IFERROR(VLOOKUP(B635,'MASTER DATA'!$A$1:$E$212,5,FALSE),"")</f>
        <v/>
      </c>
      <c r="E635" s="17"/>
      <c r="F635" s="17" t="str">
        <f>IFERROR(VLOOKUP(B635,'MASTER DATA'!$A$1:$E$212,4,FALSE),"")</f>
        <v/>
      </c>
      <c r="G635" s="17"/>
      <c r="H635" s="17"/>
      <c r="I635" s="17"/>
      <c r="J635" s="17" t="b">
        <v>0</v>
      </c>
    </row>
    <row r="636">
      <c r="A636" s="17"/>
      <c r="B636" s="17"/>
      <c r="C636" s="17" t="str">
        <f>IFERROR(VLOOKUP(B636,'MASTER DATA'!$A$1:$E$212,2,FALSE),"")</f>
        <v/>
      </c>
      <c r="D636" s="17" t="str">
        <f>IFERROR(VLOOKUP(B636,'MASTER DATA'!$A$1:$E$212,5,FALSE),"")</f>
        <v/>
      </c>
      <c r="E636" s="17"/>
      <c r="F636" s="17" t="str">
        <f>IFERROR(VLOOKUP(B636,'MASTER DATA'!$A$1:$E$212,4,FALSE),"")</f>
        <v/>
      </c>
      <c r="G636" s="17"/>
      <c r="H636" s="17"/>
      <c r="I636" s="17"/>
      <c r="J636" s="17" t="b">
        <v>0</v>
      </c>
    </row>
    <row r="637">
      <c r="A637" s="17"/>
      <c r="B637" s="17"/>
      <c r="C637" s="17" t="str">
        <f>IFERROR(VLOOKUP(B637,'MASTER DATA'!$A$1:$E$212,2,FALSE),"")</f>
        <v/>
      </c>
      <c r="D637" s="17" t="str">
        <f>IFERROR(VLOOKUP(B637,'MASTER DATA'!$A$1:$E$212,5,FALSE),"")</f>
        <v/>
      </c>
      <c r="E637" s="17"/>
      <c r="F637" s="17" t="str">
        <f>IFERROR(VLOOKUP(B637,'MASTER DATA'!$A$1:$E$212,4,FALSE),"")</f>
        <v/>
      </c>
      <c r="G637" s="17"/>
      <c r="H637" s="17"/>
      <c r="I637" s="17"/>
      <c r="J637" s="17" t="b">
        <v>0</v>
      </c>
    </row>
    <row r="638">
      <c r="A638" s="17"/>
      <c r="B638" s="17"/>
      <c r="C638" s="17" t="str">
        <f>IFERROR(VLOOKUP(B638,'MASTER DATA'!$A$1:$E$212,2,FALSE),"")</f>
        <v/>
      </c>
      <c r="D638" s="17" t="str">
        <f>IFERROR(VLOOKUP(B638,'MASTER DATA'!$A$1:$E$212,5,FALSE),"")</f>
        <v/>
      </c>
      <c r="E638" s="17"/>
      <c r="F638" s="17" t="str">
        <f>IFERROR(VLOOKUP(B638,'MASTER DATA'!$A$1:$E$212,4,FALSE),"")</f>
        <v/>
      </c>
      <c r="G638" s="17"/>
      <c r="H638" s="17"/>
      <c r="I638" s="17"/>
      <c r="J638" s="17" t="b">
        <v>0</v>
      </c>
    </row>
    <row r="639">
      <c r="A639" s="17"/>
      <c r="B639" s="17"/>
      <c r="C639" s="17" t="str">
        <f>IFERROR(VLOOKUP(B639,'MASTER DATA'!$A$1:$E$212,2,FALSE),"")</f>
        <v/>
      </c>
      <c r="D639" s="17" t="str">
        <f>IFERROR(VLOOKUP(B639,'MASTER DATA'!$A$1:$E$212,5,FALSE),"")</f>
        <v/>
      </c>
      <c r="E639" s="17"/>
      <c r="F639" s="17" t="str">
        <f>IFERROR(VLOOKUP(B639,'MASTER DATA'!$A$1:$E$212,4,FALSE),"")</f>
        <v/>
      </c>
      <c r="G639" s="17"/>
      <c r="H639" s="17"/>
      <c r="I639" s="17"/>
      <c r="J639" s="17" t="b">
        <v>0</v>
      </c>
    </row>
    <row r="640">
      <c r="A640" s="17"/>
      <c r="B640" s="17"/>
      <c r="C640" s="17" t="str">
        <f>IFERROR(VLOOKUP(B640,'MASTER DATA'!$A$1:$E$212,2,FALSE),"")</f>
        <v/>
      </c>
      <c r="D640" s="17" t="str">
        <f>IFERROR(VLOOKUP(B640,'MASTER DATA'!$A$1:$E$212,5,FALSE),"")</f>
        <v/>
      </c>
      <c r="E640" s="17"/>
      <c r="F640" s="17" t="str">
        <f>IFERROR(VLOOKUP(B640,'MASTER DATA'!$A$1:$E$212,4,FALSE),"")</f>
        <v/>
      </c>
      <c r="G640" s="17"/>
      <c r="H640" s="17"/>
      <c r="I640" s="17"/>
      <c r="J640" s="17" t="b">
        <v>0</v>
      </c>
    </row>
    <row r="641">
      <c r="A641" s="17"/>
      <c r="B641" s="17"/>
      <c r="C641" s="17" t="str">
        <f>IFERROR(VLOOKUP(B641,'MASTER DATA'!$A$1:$E$212,2,FALSE),"")</f>
        <v/>
      </c>
      <c r="D641" s="17" t="str">
        <f>IFERROR(VLOOKUP(B641,'MASTER DATA'!$A$1:$E$212,5,FALSE),"")</f>
        <v/>
      </c>
      <c r="E641" s="17"/>
      <c r="F641" s="17" t="str">
        <f>IFERROR(VLOOKUP(B641,'MASTER DATA'!$A$1:$E$212,4,FALSE),"")</f>
        <v/>
      </c>
      <c r="G641" s="17"/>
      <c r="H641" s="17"/>
      <c r="I641" s="17"/>
      <c r="J641" s="17" t="b">
        <v>0</v>
      </c>
    </row>
    <row r="642">
      <c r="A642" s="17"/>
      <c r="B642" s="17"/>
      <c r="C642" s="17" t="str">
        <f>IFERROR(VLOOKUP(B642,'MASTER DATA'!$A$1:$E$212,2,FALSE),"")</f>
        <v/>
      </c>
      <c r="D642" s="17" t="str">
        <f>IFERROR(VLOOKUP(B642,'MASTER DATA'!$A$1:$E$212,5,FALSE),"")</f>
        <v/>
      </c>
      <c r="E642" s="17"/>
      <c r="F642" s="17" t="str">
        <f>IFERROR(VLOOKUP(B642,'MASTER DATA'!$A$1:$E$212,4,FALSE),"")</f>
        <v/>
      </c>
      <c r="G642" s="17"/>
      <c r="H642" s="17"/>
      <c r="I642" s="17"/>
      <c r="J642" s="17" t="b">
        <v>0</v>
      </c>
    </row>
    <row r="643">
      <c r="A643" s="17"/>
      <c r="B643" s="17"/>
      <c r="C643" s="17" t="str">
        <f>IFERROR(VLOOKUP(B643,'MASTER DATA'!$A$1:$E$212,2,FALSE),"")</f>
        <v/>
      </c>
      <c r="D643" s="17" t="str">
        <f>IFERROR(VLOOKUP(B643,'MASTER DATA'!$A$1:$E$212,5,FALSE),"")</f>
        <v/>
      </c>
      <c r="E643" s="17"/>
      <c r="F643" s="17" t="str">
        <f>IFERROR(VLOOKUP(B643,'MASTER DATA'!$A$1:$E$212,4,FALSE),"")</f>
        <v/>
      </c>
      <c r="G643" s="17"/>
      <c r="H643" s="17"/>
      <c r="I643" s="17"/>
      <c r="J643" s="17" t="b">
        <v>0</v>
      </c>
    </row>
    <row r="644">
      <c r="A644" s="17"/>
      <c r="B644" s="17"/>
      <c r="C644" s="17" t="str">
        <f>IFERROR(VLOOKUP(B644,'MASTER DATA'!$A$1:$E$212,2,FALSE),"")</f>
        <v/>
      </c>
      <c r="D644" s="17" t="str">
        <f>IFERROR(VLOOKUP(B644,'MASTER DATA'!$A$1:$E$212,5,FALSE),"")</f>
        <v/>
      </c>
      <c r="E644" s="17"/>
      <c r="F644" s="17" t="str">
        <f>IFERROR(VLOOKUP(B644,'MASTER DATA'!$A$1:$E$212,4,FALSE),"")</f>
        <v/>
      </c>
      <c r="G644" s="17"/>
      <c r="H644" s="17"/>
      <c r="I644" s="17"/>
      <c r="J644" s="17" t="b">
        <v>0</v>
      </c>
    </row>
    <row r="645">
      <c r="A645" s="17"/>
      <c r="B645" s="17"/>
      <c r="C645" s="17" t="str">
        <f>IFERROR(VLOOKUP(B645,'MASTER DATA'!$A$1:$E$212,2,FALSE),"")</f>
        <v/>
      </c>
      <c r="D645" s="17" t="str">
        <f>IFERROR(VLOOKUP(B645,'MASTER DATA'!$A$1:$E$212,5,FALSE),"")</f>
        <v/>
      </c>
      <c r="E645" s="17"/>
      <c r="F645" s="17" t="str">
        <f>IFERROR(VLOOKUP(B645,'MASTER DATA'!$A$1:$E$212,4,FALSE),"")</f>
        <v/>
      </c>
      <c r="G645" s="17"/>
      <c r="H645" s="17"/>
      <c r="I645" s="17"/>
      <c r="J645" s="17" t="b">
        <v>0</v>
      </c>
    </row>
    <row r="646">
      <c r="A646" s="17"/>
      <c r="B646" s="17"/>
      <c r="C646" s="17" t="str">
        <f>IFERROR(VLOOKUP(B646,'MASTER DATA'!$A$1:$E$212,2,FALSE),"")</f>
        <v/>
      </c>
      <c r="D646" s="17" t="str">
        <f>IFERROR(VLOOKUP(B646,'MASTER DATA'!$A$1:$E$212,5,FALSE),"")</f>
        <v/>
      </c>
      <c r="E646" s="17"/>
      <c r="F646" s="17" t="str">
        <f>IFERROR(VLOOKUP(B646,'MASTER DATA'!$A$1:$E$212,4,FALSE),"")</f>
        <v/>
      </c>
      <c r="G646" s="17"/>
      <c r="H646" s="17"/>
      <c r="I646" s="17"/>
      <c r="J646" s="17" t="b">
        <v>0</v>
      </c>
    </row>
    <row r="647">
      <c r="A647" s="17"/>
      <c r="B647" s="17"/>
      <c r="C647" s="17" t="str">
        <f>IFERROR(VLOOKUP(B647,'MASTER DATA'!$A$1:$E$212,2,FALSE),"")</f>
        <v/>
      </c>
      <c r="D647" s="17" t="str">
        <f>IFERROR(VLOOKUP(B647,'MASTER DATA'!$A$1:$E$212,5,FALSE),"")</f>
        <v/>
      </c>
      <c r="E647" s="17"/>
      <c r="F647" s="17" t="str">
        <f>IFERROR(VLOOKUP(B647,'MASTER DATA'!$A$1:$E$212,4,FALSE),"")</f>
        <v/>
      </c>
      <c r="G647" s="17"/>
      <c r="H647" s="17"/>
      <c r="I647" s="17"/>
      <c r="J647" s="17" t="b">
        <v>0</v>
      </c>
    </row>
    <row r="648">
      <c r="A648" s="17"/>
      <c r="B648" s="17"/>
      <c r="C648" s="17" t="str">
        <f>IFERROR(VLOOKUP(B648,'MASTER DATA'!$A$1:$E$212,2,FALSE),"")</f>
        <v/>
      </c>
      <c r="D648" s="17" t="str">
        <f>IFERROR(VLOOKUP(B648,'MASTER DATA'!$A$1:$E$212,5,FALSE),"")</f>
        <v/>
      </c>
      <c r="E648" s="17"/>
      <c r="F648" s="17" t="str">
        <f>IFERROR(VLOOKUP(B648,'MASTER DATA'!$A$1:$E$212,4,FALSE),"")</f>
        <v/>
      </c>
      <c r="G648" s="17"/>
      <c r="H648" s="17"/>
      <c r="I648" s="17"/>
      <c r="J648" s="17" t="b">
        <v>0</v>
      </c>
    </row>
    <row r="649">
      <c r="A649" s="17"/>
      <c r="B649" s="17"/>
      <c r="C649" s="17" t="str">
        <f>IFERROR(VLOOKUP(B649,'MASTER DATA'!$A$1:$E$212,2,FALSE),"")</f>
        <v/>
      </c>
      <c r="D649" s="17" t="str">
        <f>IFERROR(VLOOKUP(B649,'MASTER DATA'!$A$1:$E$212,5,FALSE),"")</f>
        <v/>
      </c>
      <c r="E649" s="17"/>
      <c r="F649" s="17" t="str">
        <f>IFERROR(VLOOKUP(B649,'MASTER DATA'!$A$1:$E$212,4,FALSE),"")</f>
        <v/>
      </c>
      <c r="G649" s="17"/>
      <c r="H649" s="17"/>
      <c r="I649" s="17"/>
      <c r="J649" s="17" t="b">
        <v>0</v>
      </c>
    </row>
    <row r="650">
      <c r="A650" s="17"/>
      <c r="B650" s="17"/>
      <c r="C650" s="17" t="str">
        <f>IFERROR(VLOOKUP(B650,'MASTER DATA'!$A$1:$E$212,2,FALSE),"")</f>
        <v/>
      </c>
      <c r="D650" s="17" t="str">
        <f>IFERROR(VLOOKUP(B650,'MASTER DATA'!$A$1:$E$212,5,FALSE),"")</f>
        <v/>
      </c>
      <c r="E650" s="17"/>
      <c r="F650" s="17" t="str">
        <f>IFERROR(VLOOKUP(B650,'MASTER DATA'!$A$1:$E$212,4,FALSE),"")</f>
        <v/>
      </c>
      <c r="G650" s="17"/>
      <c r="H650" s="17"/>
      <c r="I650" s="17"/>
      <c r="J650" s="17" t="b">
        <v>0</v>
      </c>
    </row>
    <row r="651">
      <c r="A651" s="17"/>
      <c r="B651" s="17"/>
      <c r="C651" s="17" t="str">
        <f>IFERROR(VLOOKUP(B651,'MASTER DATA'!$A$1:$E$212,2,FALSE),"")</f>
        <v/>
      </c>
      <c r="D651" s="17" t="str">
        <f>IFERROR(VLOOKUP(B651,'MASTER DATA'!$A$1:$E$212,5,FALSE),"")</f>
        <v/>
      </c>
      <c r="E651" s="17"/>
      <c r="F651" s="17" t="str">
        <f>IFERROR(VLOOKUP(B651,'MASTER DATA'!$A$1:$E$212,4,FALSE),"")</f>
        <v/>
      </c>
      <c r="G651" s="17"/>
      <c r="H651" s="17"/>
      <c r="I651" s="17"/>
      <c r="J651" s="17" t="b">
        <v>0</v>
      </c>
    </row>
    <row r="652">
      <c r="A652" s="17"/>
      <c r="B652" s="17"/>
      <c r="C652" s="17" t="str">
        <f>IFERROR(VLOOKUP(B652,'MASTER DATA'!$A$1:$E$212,2,FALSE),"")</f>
        <v/>
      </c>
      <c r="D652" s="17" t="str">
        <f>IFERROR(VLOOKUP(B652,'MASTER DATA'!$A$1:$E$212,5,FALSE),"")</f>
        <v/>
      </c>
      <c r="E652" s="17"/>
      <c r="F652" s="17" t="str">
        <f>IFERROR(VLOOKUP(B652,'MASTER DATA'!$A$1:$E$212,4,FALSE),"")</f>
        <v/>
      </c>
      <c r="G652" s="17"/>
      <c r="H652" s="17"/>
      <c r="I652" s="17"/>
      <c r="J652" s="17" t="b">
        <v>0</v>
      </c>
    </row>
    <row r="653">
      <c r="A653" s="17"/>
      <c r="B653" s="17"/>
      <c r="C653" s="17" t="str">
        <f>IFERROR(VLOOKUP(B653,'MASTER DATA'!$A$1:$E$212,2,FALSE),"")</f>
        <v/>
      </c>
      <c r="D653" s="17" t="str">
        <f>IFERROR(VLOOKUP(B653,'MASTER DATA'!$A$1:$E$212,5,FALSE),"")</f>
        <v/>
      </c>
      <c r="E653" s="17"/>
      <c r="F653" s="17" t="str">
        <f>IFERROR(VLOOKUP(B653,'MASTER DATA'!$A$1:$E$212,4,FALSE),"")</f>
        <v/>
      </c>
      <c r="G653" s="17"/>
      <c r="H653" s="17"/>
      <c r="I653" s="17"/>
      <c r="J653" s="17" t="b">
        <v>0</v>
      </c>
    </row>
    <row r="654">
      <c r="A654" s="17"/>
      <c r="B654" s="17"/>
      <c r="C654" s="17" t="str">
        <f>IFERROR(VLOOKUP(B654,'MASTER DATA'!$A$1:$E$212,2,FALSE),"")</f>
        <v/>
      </c>
      <c r="D654" s="17" t="str">
        <f>IFERROR(VLOOKUP(B654,'MASTER DATA'!$A$1:$E$212,5,FALSE),"")</f>
        <v/>
      </c>
      <c r="E654" s="17"/>
      <c r="F654" s="17" t="str">
        <f>IFERROR(VLOOKUP(B654,'MASTER DATA'!$A$1:$E$212,4,FALSE),"")</f>
        <v/>
      </c>
      <c r="G654" s="17"/>
      <c r="H654" s="17"/>
      <c r="I654" s="17"/>
      <c r="J654" s="17" t="b">
        <v>0</v>
      </c>
    </row>
    <row r="655">
      <c r="A655" s="17"/>
      <c r="B655" s="17"/>
      <c r="C655" s="17" t="str">
        <f>IFERROR(VLOOKUP(B655,'MASTER DATA'!$A$1:$E$212,2,FALSE),"")</f>
        <v/>
      </c>
      <c r="D655" s="17" t="str">
        <f>IFERROR(VLOOKUP(B655,'MASTER DATA'!$A$1:$E$212,5,FALSE),"")</f>
        <v/>
      </c>
      <c r="E655" s="17"/>
      <c r="F655" s="17" t="str">
        <f>IFERROR(VLOOKUP(B655,'MASTER DATA'!$A$1:$E$212,4,FALSE),"")</f>
        <v/>
      </c>
      <c r="G655" s="17"/>
      <c r="H655" s="17"/>
      <c r="I655" s="17"/>
      <c r="J655" s="17" t="b">
        <v>0</v>
      </c>
    </row>
    <row r="656">
      <c r="A656" s="17"/>
      <c r="B656" s="17"/>
      <c r="C656" s="17" t="str">
        <f>IFERROR(VLOOKUP(B656,'MASTER DATA'!$A$1:$E$212,2,FALSE),"")</f>
        <v/>
      </c>
      <c r="D656" s="17" t="str">
        <f>IFERROR(VLOOKUP(B656,'MASTER DATA'!$A$1:$E$212,5,FALSE),"")</f>
        <v/>
      </c>
      <c r="E656" s="17"/>
      <c r="F656" s="17" t="str">
        <f>IFERROR(VLOOKUP(B656,'MASTER DATA'!$A$1:$E$212,4,FALSE),"")</f>
        <v/>
      </c>
      <c r="G656" s="17"/>
      <c r="H656" s="17"/>
      <c r="I656" s="17"/>
      <c r="J656" s="17" t="b">
        <v>0</v>
      </c>
    </row>
    <row r="657">
      <c r="A657" s="17"/>
      <c r="B657" s="17"/>
      <c r="C657" s="17" t="str">
        <f>IFERROR(VLOOKUP(B657,'MASTER DATA'!$A$1:$E$212,2,FALSE),"")</f>
        <v/>
      </c>
      <c r="D657" s="17" t="str">
        <f>IFERROR(VLOOKUP(B657,'MASTER DATA'!$A$1:$E$212,5,FALSE),"")</f>
        <v/>
      </c>
      <c r="E657" s="17"/>
      <c r="F657" s="17" t="str">
        <f>IFERROR(VLOOKUP(B657,'MASTER DATA'!$A$1:$E$212,4,FALSE),"")</f>
        <v/>
      </c>
      <c r="G657" s="17"/>
      <c r="H657" s="17"/>
      <c r="I657" s="17"/>
      <c r="J657" s="17" t="b">
        <v>0</v>
      </c>
    </row>
    <row r="658">
      <c r="A658" s="17"/>
      <c r="B658" s="17"/>
      <c r="C658" s="17" t="str">
        <f>IFERROR(VLOOKUP(B658,'MASTER DATA'!$A$1:$E$212,2,FALSE),"")</f>
        <v/>
      </c>
      <c r="D658" s="17" t="str">
        <f>IFERROR(VLOOKUP(B658,'MASTER DATA'!$A$1:$E$212,5,FALSE),"")</f>
        <v/>
      </c>
      <c r="E658" s="17"/>
      <c r="F658" s="17" t="str">
        <f>IFERROR(VLOOKUP(B658,'MASTER DATA'!$A$1:$E$212,4,FALSE),"")</f>
        <v/>
      </c>
      <c r="G658" s="17"/>
      <c r="H658" s="17"/>
      <c r="I658" s="17"/>
      <c r="J658" s="17" t="b">
        <v>0</v>
      </c>
    </row>
    <row r="659">
      <c r="A659" s="17"/>
      <c r="B659" s="17"/>
      <c r="C659" s="17" t="str">
        <f>IFERROR(VLOOKUP(B659,'MASTER DATA'!$A$1:$E$212,2,FALSE),"")</f>
        <v/>
      </c>
      <c r="D659" s="17" t="str">
        <f>IFERROR(VLOOKUP(B659,'MASTER DATA'!$A$1:$E$212,5,FALSE),"")</f>
        <v/>
      </c>
      <c r="E659" s="17"/>
      <c r="F659" s="17" t="str">
        <f>IFERROR(VLOOKUP(B659,'MASTER DATA'!$A$1:$E$212,4,FALSE),"")</f>
        <v/>
      </c>
      <c r="G659" s="17"/>
      <c r="H659" s="17"/>
      <c r="I659" s="17"/>
      <c r="J659" s="17" t="b">
        <v>0</v>
      </c>
    </row>
    <row r="660">
      <c r="A660" s="17"/>
      <c r="B660" s="17"/>
      <c r="C660" s="17" t="str">
        <f>IFERROR(VLOOKUP(B660,'MASTER DATA'!$A$1:$E$212,2,FALSE),"")</f>
        <v/>
      </c>
      <c r="D660" s="17" t="str">
        <f>IFERROR(VLOOKUP(B660,'MASTER DATA'!$A$1:$E$212,5,FALSE),"")</f>
        <v/>
      </c>
      <c r="E660" s="17"/>
      <c r="F660" s="17" t="str">
        <f>IFERROR(VLOOKUP(B660,'MASTER DATA'!$A$1:$E$212,4,FALSE),"")</f>
        <v/>
      </c>
      <c r="G660" s="17"/>
      <c r="H660" s="17"/>
      <c r="I660" s="17"/>
      <c r="J660" s="17" t="b">
        <v>0</v>
      </c>
    </row>
    <row r="661">
      <c r="A661" s="17"/>
      <c r="B661" s="17"/>
      <c r="C661" s="17" t="str">
        <f>IFERROR(VLOOKUP(B661,'MASTER DATA'!$A$1:$E$212,2,FALSE),"")</f>
        <v/>
      </c>
      <c r="D661" s="17" t="str">
        <f>IFERROR(VLOOKUP(B661,'MASTER DATA'!$A$1:$E$212,5,FALSE),"")</f>
        <v/>
      </c>
      <c r="E661" s="17"/>
      <c r="F661" s="17" t="str">
        <f>IFERROR(VLOOKUP(B661,'MASTER DATA'!$A$1:$E$212,4,FALSE),"")</f>
        <v/>
      </c>
      <c r="G661" s="17"/>
      <c r="H661" s="17"/>
      <c r="I661" s="17"/>
      <c r="J661" s="17" t="b">
        <v>0</v>
      </c>
    </row>
    <row r="662">
      <c r="A662" s="17"/>
      <c r="B662" s="17"/>
      <c r="C662" s="17" t="str">
        <f>IFERROR(VLOOKUP(B662,'MASTER DATA'!$A$1:$E$212,2,FALSE),"")</f>
        <v/>
      </c>
      <c r="D662" s="17" t="str">
        <f>IFERROR(VLOOKUP(B662,'MASTER DATA'!$A$1:$E$212,5,FALSE),"")</f>
        <v/>
      </c>
      <c r="E662" s="17"/>
      <c r="F662" s="17" t="str">
        <f>IFERROR(VLOOKUP(B662,'MASTER DATA'!$A$1:$E$212,4,FALSE),"")</f>
        <v/>
      </c>
      <c r="G662" s="17"/>
      <c r="H662" s="17"/>
      <c r="I662" s="17"/>
      <c r="J662" s="17" t="b">
        <v>0</v>
      </c>
    </row>
    <row r="663">
      <c r="A663" s="17"/>
      <c r="B663" s="17"/>
      <c r="C663" s="17" t="str">
        <f>IFERROR(VLOOKUP(B663,'MASTER DATA'!$A$1:$E$212,2,FALSE),"")</f>
        <v/>
      </c>
      <c r="D663" s="17" t="str">
        <f>IFERROR(VLOOKUP(B663,'MASTER DATA'!$A$1:$E$212,5,FALSE),"")</f>
        <v/>
      </c>
      <c r="E663" s="17"/>
      <c r="F663" s="17" t="str">
        <f>IFERROR(VLOOKUP(B663,'MASTER DATA'!$A$1:$E$212,4,FALSE),"")</f>
        <v/>
      </c>
      <c r="G663" s="17"/>
      <c r="H663" s="17"/>
      <c r="I663" s="17"/>
      <c r="J663" s="17" t="b">
        <v>0</v>
      </c>
    </row>
    <row r="664">
      <c r="A664" s="17"/>
      <c r="B664" s="17"/>
      <c r="C664" s="17" t="str">
        <f>IFERROR(VLOOKUP(B664,'MASTER DATA'!$A$1:$E$212,2,FALSE),"")</f>
        <v/>
      </c>
      <c r="D664" s="17" t="str">
        <f>IFERROR(VLOOKUP(B664,'MASTER DATA'!$A$1:$E$212,5,FALSE),"")</f>
        <v/>
      </c>
      <c r="E664" s="17"/>
      <c r="F664" s="17" t="str">
        <f>IFERROR(VLOOKUP(B664,'MASTER DATA'!$A$1:$E$212,4,FALSE),"")</f>
        <v/>
      </c>
      <c r="G664" s="17"/>
      <c r="H664" s="17"/>
      <c r="I664" s="17"/>
      <c r="J664" s="17" t="b">
        <v>0</v>
      </c>
    </row>
    <row r="665">
      <c r="A665" s="17"/>
      <c r="B665" s="17"/>
      <c r="C665" s="17" t="str">
        <f>IFERROR(VLOOKUP(B665,'MASTER DATA'!$A$1:$E$212,2,FALSE),"")</f>
        <v/>
      </c>
      <c r="D665" s="17" t="str">
        <f>IFERROR(VLOOKUP(B665,'MASTER DATA'!$A$1:$E$212,5,FALSE),"")</f>
        <v/>
      </c>
      <c r="E665" s="17"/>
      <c r="F665" s="17" t="str">
        <f>IFERROR(VLOOKUP(B665,'MASTER DATA'!$A$1:$E$212,4,FALSE),"")</f>
        <v/>
      </c>
      <c r="G665" s="17"/>
      <c r="H665" s="17"/>
      <c r="I665" s="17"/>
      <c r="J665" s="17" t="b">
        <v>0</v>
      </c>
    </row>
    <row r="666">
      <c r="A666" s="17"/>
      <c r="B666" s="17"/>
      <c r="C666" s="17" t="str">
        <f>IFERROR(VLOOKUP(B666,'MASTER DATA'!$A$1:$E$212,2,FALSE),"")</f>
        <v/>
      </c>
      <c r="D666" s="17" t="str">
        <f>IFERROR(VLOOKUP(B666,'MASTER DATA'!$A$1:$E$212,5,FALSE),"")</f>
        <v/>
      </c>
      <c r="E666" s="17"/>
      <c r="F666" s="17" t="str">
        <f>IFERROR(VLOOKUP(B666,'MASTER DATA'!$A$1:$E$212,4,FALSE),"")</f>
        <v/>
      </c>
      <c r="G666" s="17"/>
      <c r="H666" s="17"/>
      <c r="I666" s="17"/>
      <c r="J666" s="17" t="b">
        <v>0</v>
      </c>
    </row>
    <row r="667">
      <c r="A667" s="17"/>
      <c r="B667" s="17"/>
      <c r="C667" s="17" t="str">
        <f>IFERROR(VLOOKUP(B667,'MASTER DATA'!$A$1:$E$212,2,FALSE),"")</f>
        <v/>
      </c>
      <c r="D667" s="17" t="str">
        <f>IFERROR(VLOOKUP(B667,'MASTER DATA'!$A$1:$E$212,5,FALSE),"")</f>
        <v/>
      </c>
      <c r="E667" s="17"/>
      <c r="F667" s="17" t="str">
        <f>IFERROR(VLOOKUP(B667,'MASTER DATA'!$A$1:$E$212,4,FALSE),"")</f>
        <v/>
      </c>
      <c r="G667" s="17"/>
      <c r="H667" s="17"/>
      <c r="I667" s="17"/>
      <c r="J667" s="17" t="b">
        <v>0</v>
      </c>
    </row>
    <row r="668">
      <c r="A668" s="17"/>
      <c r="B668" s="17"/>
      <c r="C668" s="17" t="str">
        <f>IFERROR(VLOOKUP(B668,'MASTER DATA'!$A$1:$E$212,2,FALSE),"")</f>
        <v/>
      </c>
      <c r="D668" s="17" t="str">
        <f>IFERROR(VLOOKUP(B668,'MASTER DATA'!$A$1:$E$212,5,FALSE),"")</f>
        <v/>
      </c>
      <c r="E668" s="17"/>
      <c r="F668" s="17" t="str">
        <f>IFERROR(VLOOKUP(B668,'MASTER DATA'!$A$1:$E$212,4,FALSE),"")</f>
        <v/>
      </c>
      <c r="G668" s="17"/>
      <c r="H668" s="17"/>
      <c r="I668" s="17"/>
      <c r="J668" s="17" t="b">
        <v>0</v>
      </c>
    </row>
    <row r="669">
      <c r="A669" s="17"/>
      <c r="B669" s="17"/>
      <c r="C669" s="17" t="str">
        <f>IFERROR(VLOOKUP(B669,'MASTER DATA'!$A$1:$E$212,2,FALSE),"")</f>
        <v/>
      </c>
      <c r="D669" s="17" t="str">
        <f>IFERROR(VLOOKUP(B669,'MASTER DATA'!$A$1:$E$212,5,FALSE),"")</f>
        <v/>
      </c>
      <c r="E669" s="17"/>
      <c r="F669" s="17" t="str">
        <f>IFERROR(VLOOKUP(B669,'MASTER DATA'!$A$1:$E$212,4,FALSE),"")</f>
        <v/>
      </c>
      <c r="G669" s="17"/>
      <c r="H669" s="17"/>
      <c r="I669" s="17"/>
      <c r="J669" s="17" t="b">
        <v>0</v>
      </c>
    </row>
    <row r="670">
      <c r="A670" s="17"/>
      <c r="B670" s="17"/>
      <c r="C670" s="17" t="str">
        <f>IFERROR(VLOOKUP(B670,'MASTER DATA'!$A$1:$E$212,2,FALSE),"")</f>
        <v/>
      </c>
      <c r="D670" s="17" t="str">
        <f>IFERROR(VLOOKUP(B670,'MASTER DATA'!$A$1:$E$212,5,FALSE),"")</f>
        <v/>
      </c>
      <c r="E670" s="17"/>
      <c r="F670" s="17" t="str">
        <f>IFERROR(VLOOKUP(B670,'MASTER DATA'!$A$1:$E$212,4,FALSE),"")</f>
        <v/>
      </c>
      <c r="G670" s="17"/>
      <c r="H670" s="17"/>
      <c r="I670" s="17"/>
      <c r="J670" s="17" t="b">
        <v>0</v>
      </c>
    </row>
    <row r="671">
      <c r="A671" s="17"/>
      <c r="B671" s="17"/>
      <c r="C671" s="17" t="str">
        <f>IFERROR(VLOOKUP(B671,'MASTER DATA'!$A$1:$E$212,2,FALSE),"")</f>
        <v/>
      </c>
      <c r="D671" s="17" t="str">
        <f>IFERROR(VLOOKUP(B671,'MASTER DATA'!$A$1:$E$212,5,FALSE),"")</f>
        <v/>
      </c>
      <c r="E671" s="17"/>
      <c r="F671" s="17" t="str">
        <f>IFERROR(VLOOKUP(B671,'MASTER DATA'!$A$1:$E$212,4,FALSE),"")</f>
        <v/>
      </c>
      <c r="G671" s="17"/>
      <c r="H671" s="17"/>
      <c r="I671" s="17"/>
      <c r="J671" s="17" t="b">
        <v>0</v>
      </c>
    </row>
    <row r="672">
      <c r="A672" s="17"/>
      <c r="B672" s="17"/>
      <c r="C672" s="17" t="str">
        <f>IFERROR(VLOOKUP(B672,'MASTER DATA'!$A$1:$E$212,2,FALSE),"")</f>
        <v/>
      </c>
      <c r="D672" s="17" t="str">
        <f>IFERROR(VLOOKUP(B672,'MASTER DATA'!$A$1:$E$212,5,FALSE),"")</f>
        <v/>
      </c>
      <c r="E672" s="17"/>
      <c r="F672" s="17" t="str">
        <f>IFERROR(VLOOKUP(B672,'MASTER DATA'!$A$1:$E$212,4,FALSE),"")</f>
        <v/>
      </c>
      <c r="G672" s="17"/>
      <c r="H672" s="17"/>
      <c r="I672" s="17"/>
      <c r="J672" s="17" t="b">
        <v>0</v>
      </c>
    </row>
    <row r="673">
      <c r="A673" s="17"/>
      <c r="B673" s="17"/>
      <c r="C673" s="17" t="str">
        <f>IFERROR(VLOOKUP(B673,'MASTER DATA'!$A$1:$E$212,2,FALSE),"")</f>
        <v/>
      </c>
      <c r="D673" s="17" t="str">
        <f>IFERROR(VLOOKUP(B673,'MASTER DATA'!$A$1:$E$212,5,FALSE),"")</f>
        <v/>
      </c>
      <c r="E673" s="17"/>
      <c r="F673" s="17" t="str">
        <f>IFERROR(VLOOKUP(B673,'MASTER DATA'!$A$1:$E$212,4,FALSE),"")</f>
        <v/>
      </c>
      <c r="G673" s="17"/>
      <c r="H673" s="17"/>
      <c r="I673" s="17"/>
      <c r="J673" s="17" t="b">
        <v>0</v>
      </c>
    </row>
    <row r="674">
      <c r="A674" s="17"/>
      <c r="B674" s="17"/>
      <c r="C674" s="17" t="str">
        <f>IFERROR(VLOOKUP(B674,'MASTER DATA'!$A$1:$E$212,2,FALSE),"")</f>
        <v/>
      </c>
      <c r="D674" s="17" t="str">
        <f>IFERROR(VLOOKUP(B674,'MASTER DATA'!$A$1:$E$212,5,FALSE),"")</f>
        <v/>
      </c>
      <c r="E674" s="17"/>
      <c r="F674" s="17" t="str">
        <f>IFERROR(VLOOKUP(B674,'MASTER DATA'!$A$1:$E$212,4,FALSE),"")</f>
        <v/>
      </c>
      <c r="G674" s="17"/>
      <c r="H674" s="17"/>
      <c r="I674" s="17"/>
      <c r="J674" s="17" t="b">
        <v>0</v>
      </c>
    </row>
    <row r="675">
      <c r="A675" s="17"/>
      <c r="B675" s="17"/>
      <c r="C675" s="17" t="str">
        <f>IFERROR(VLOOKUP(B675,'MASTER DATA'!$A$1:$E$212,2,FALSE),"")</f>
        <v/>
      </c>
      <c r="D675" s="17" t="str">
        <f>IFERROR(VLOOKUP(B675,'MASTER DATA'!$A$1:$E$212,5,FALSE),"")</f>
        <v/>
      </c>
      <c r="E675" s="17"/>
      <c r="F675" s="17" t="str">
        <f>IFERROR(VLOOKUP(B675,'MASTER DATA'!$A$1:$E$212,4,FALSE),"")</f>
        <v/>
      </c>
      <c r="G675" s="17"/>
      <c r="H675" s="17"/>
      <c r="I675" s="17"/>
      <c r="J675" s="17" t="b">
        <v>0</v>
      </c>
    </row>
    <row r="676">
      <c r="A676" s="17"/>
      <c r="B676" s="17"/>
      <c r="C676" s="17" t="str">
        <f>IFERROR(VLOOKUP(B676,'MASTER DATA'!$A$1:$E$212,2,FALSE),"")</f>
        <v/>
      </c>
      <c r="D676" s="17" t="str">
        <f>IFERROR(VLOOKUP(B676,'MASTER DATA'!$A$1:$E$212,5,FALSE),"")</f>
        <v/>
      </c>
      <c r="E676" s="17"/>
      <c r="F676" s="17" t="str">
        <f>IFERROR(VLOOKUP(B676,'MASTER DATA'!$A$1:$E$212,4,FALSE),"")</f>
        <v/>
      </c>
      <c r="G676" s="17"/>
      <c r="H676" s="17"/>
      <c r="I676" s="17"/>
      <c r="J676" s="17" t="b">
        <v>0</v>
      </c>
    </row>
    <row r="677">
      <c r="A677" s="17"/>
      <c r="B677" s="17"/>
      <c r="C677" s="17" t="str">
        <f>IFERROR(VLOOKUP(B677,'MASTER DATA'!$A$1:$E$212,2,FALSE),"")</f>
        <v/>
      </c>
      <c r="D677" s="17" t="str">
        <f>IFERROR(VLOOKUP(B677,'MASTER DATA'!$A$1:$E$212,5,FALSE),"")</f>
        <v/>
      </c>
      <c r="E677" s="17"/>
      <c r="F677" s="17" t="str">
        <f>IFERROR(VLOOKUP(B677,'MASTER DATA'!$A$1:$E$212,4,FALSE),"")</f>
        <v/>
      </c>
      <c r="G677" s="17"/>
      <c r="H677" s="17"/>
      <c r="I677" s="17"/>
      <c r="J677" s="17" t="b">
        <v>0</v>
      </c>
    </row>
    <row r="678">
      <c r="A678" s="17"/>
      <c r="B678" s="17"/>
      <c r="C678" s="17" t="str">
        <f>IFERROR(VLOOKUP(B678,'MASTER DATA'!$A$1:$E$212,2,FALSE),"")</f>
        <v/>
      </c>
      <c r="D678" s="17" t="str">
        <f>IFERROR(VLOOKUP(B678,'MASTER DATA'!$A$1:$E$212,5,FALSE),"")</f>
        <v/>
      </c>
      <c r="E678" s="17"/>
      <c r="F678" s="17" t="str">
        <f>IFERROR(VLOOKUP(B678,'MASTER DATA'!$A$1:$E$212,4,FALSE),"")</f>
        <v/>
      </c>
      <c r="G678" s="17"/>
      <c r="H678" s="17"/>
      <c r="I678" s="17"/>
      <c r="J678" s="17" t="b">
        <v>0</v>
      </c>
    </row>
    <row r="679">
      <c r="A679" s="17"/>
      <c r="B679" s="17"/>
      <c r="C679" s="17" t="str">
        <f>IFERROR(VLOOKUP(B679,'MASTER DATA'!$A$1:$E$212,2,FALSE),"")</f>
        <v/>
      </c>
      <c r="D679" s="17" t="str">
        <f>IFERROR(VLOOKUP(B679,'MASTER DATA'!$A$1:$E$212,5,FALSE),"")</f>
        <v/>
      </c>
      <c r="E679" s="17"/>
      <c r="F679" s="17" t="str">
        <f>IFERROR(VLOOKUP(B679,'MASTER DATA'!$A$1:$E$212,4,FALSE),"")</f>
        <v/>
      </c>
      <c r="G679" s="17"/>
      <c r="H679" s="17"/>
      <c r="I679" s="17"/>
      <c r="J679" s="17" t="b">
        <v>0</v>
      </c>
    </row>
    <row r="680">
      <c r="A680" s="17"/>
      <c r="B680" s="17"/>
      <c r="C680" s="17" t="str">
        <f>IFERROR(VLOOKUP(B680,'MASTER DATA'!$A$1:$E$212,2,FALSE),"")</f>
        <v/>
      </c>
      <c r="D680" s="17" t="str">
        <f>IFERROR(VLOOKUP(B680,'MASTER DATA'!$A$1:$E$212,5,FALSE),"")</f>
        <v/>
      </c>
      <c r="E680" s="17"/>
      <c r="F680" s="17" t="str">
        <f>IFERROR(VLOOKUP(B680,'MASTER DATA'!$A$1:$E$212,4,FALSE),"")</f>
        <v/>
      </c>
      <c r="G680" s="17"/>
      <c r="H680" s="17"/>
      <c r="I680" s="17"/>
      <c r="J680" s="17" t="b">
        <v>0</v>
      </c>
    </row>
    <row r="681">
      <c r="A681" s="17"/>
      <c r="B681" s="17"/>
      <c r="C681" s="17" t="str">
        <f>IFERROR(VLOOKUP(B681,'MASTER DATA'!$A$1:$E$212,2,FALSE),"")</f>
        <v/>
      </c>
      <c r="D681" s="17" t="str">
        <f>IFERROR(VLOOKUP(B681,'MASTER DATA'!$A$1:$E$212,5,FALSE),"")</f>
        <v/>
      </c>
      <c r="E681" s="17"/>
      <c r="F681" s="17" t="str">
        <f>IFERROR(VLOOKUP(B681,'MASTER DATA'!$A$1:$E$212,4,FALSE),"")</f>
        <v/>
      </c>
      <c r="G681" s="17"/>
      <c r="H681" s="17"/>
      <c r="I681" s="17"/>
      <c r="J681" s="17" t="b">
        <v>0</v>
      </c>
    </row>
    <row r="682">
      <c r="A682" s="17"/>
      <c r="B682" s="17"/>
      <c r="C682" s="17" t="str">
        <f>IFERROR(VLOOKUP(B682,'MASTER DATA'!$A$1:$E$212,2,FALSE),"")</f>
        <v/>
      </c>
      <c r="D682" s="17" t="str">
        <f>IFERROR(VLOOKUP(B682,'MASTER DATA'!$A$1:$E$212,5,FALSE),"")</f>
        <v/>
      </c>
      <c r="E682" s="17"/>
      <c r="F682" s="17" t="str">
        <f>IFERROR(VLOOKUP(B682,'MASTER DATA'!$A$1:$E$212,4,FALSE),"")</f>
        <v/>
      </c>
      <c r="G682" s="17"/>
      <c r="H682" s="17"/>
      <c r="I682" s="17"/>
      <c r="J682" s="17" t="b">
        <v>0</v>
      </c>
    </row>
    <row r="683">
      <c r="A683" s="17"/>
      <c r="B683" s="17"/>
      <c r="C683" s="17" t="str">
        <f>IFERROR(VLOOKUP(B683,'MASTER DATA'!$A$1:$E$212,2,FALSE),"")</f>
        <v/>
      </c>
      <c r="D683" s="17" t="str">
        <f>IFERROR(VLOOKUP(B683,'MASTER DATA'!$A$1:$E$212,5,FALSE),"")</f>
        <v/>
      </c>
      <c r="E683" s="17"/>
      <c r="F683" s="17" t="str">
        <f>IFERROR(VLOOKUP(B683,'MASTER DATA'!$A$1:$E$212,4,FALSE),"")</f>
        <v/>
      </c>
      <c r="G683" s="17"/>
      <c r="H683" s="17"/>
      <c r="I683" s="17"/>
      <c r="J683" s="17" t="b">
        <v>0</v>
      </c>
    </row>
    <row r="684">
      <c r="A684" s="17"/>
      <c r="B684" s="17"/>
      <c r="C684" s="17" t="str">
        <f>IFERROR(VLOOKUP(B684,'MASTER DATA'!$A$1:$E$212,2,FALSE),"")</f>
        <v/>
      </c>
      <c r="D684" s="17" t="str">
        <f>IFERROR(VLOOKUP(B684,'MASTER DATA'!$A$1:$E$212,5,FALSE),"")</f>
        <v/>
      </c>
      <c r="E684" s="17"/>
      <c r="F684" s="17" t="str">
        <f>IFERROR(VLOOKUP(B684,'MASTER DATA'!$A$1:$E$212,4,FALSE),"")</f>
        <v/>
      </c>
      <c r="G684" s="17"/>
      <c r="H684" s="17"/>
      <c r="I684" s="17"/>
      <c r="J684" s="17" t="b">
        <v>0</v>
      </c>
    </row>
    <row r="685">
      <c r="A685" s="17"/>
      <c r="B685" s="17"/>
      <c r="C685" s="17" t="str">
        <f>IFERROR(VLOOKUP(B685,'MASTER DATA'!$A$1:$E$212,2,FALSE),"")</f>
        <v/>
      </c>
      <c r="D685" s="17" t="str">
        <f>IFERROR(VLOOKUP(B685,'MASTER DATA'!$A$1:$E$212,5,FALSE),"")</f>
        <v/>
      </c>
      <c r="E685" s="17"/>
      <c r="F685" s="17" t="str">
        <f>IFERROR(VLOOKUP(B685,'MASTER DATA'!$A$1:$E$212,4,FALSE),"")</f>
        <v/>
      </c>
      <c r="G685" s="17"/>
      <c r="H685" s="17"/>
      <c r="I685" s="17"/>
      <c r="J685" s="17" t="b">
        <v>0</v>
      </c>
    </row>
    <row r="686">
      <c r="A686" s="17"/>
      <c r="B686" s="17"/>
      <c r="C686" s="17" t="str">
        <f>IFERROR(VLOOKUP(B686,'MASTER DATA'!$A$1:$E$212,2,FALSE),"")</f>
        <v/>
      </c>
      <c r="D686" s="17" t="str">
        <f>IFERROR(VLOOKUP(B686,'MASTER DATA'!$A$1:$E$212,5,FALSE),"")</f>
        <v/>
      </c>
      <c r="E686" s="17"/>
      <c r="F686" s="17" t="str">
        <f>IFERROR(VLOOKUP(B686,'MASTER DATA'!$A$1:$E$212,4,FALSE),"")</f>
        <v/>
      </c>
      <c r="G686" s="17"/>
      <c r="H686" s="17"/>
      <c r="I686" s="17"/>
      <c r="J686" s="17" t="b">
        <v>0</v>
      </c>
    </row>
    <row r="687">
      <c r="A687" s="17"/>
      <c r="B687" s="17"/>
      <c r="C687" s="17" t="str">
        <f>IFERROR(VLOOKUP(B687,'MASTER DATA'!$A$1:$E$212,2,FALSE),"")</f>
        <v/>
      </c>
      <c r="D687" s="17" t="str">
        <f>IFERROR(VLOOKUP(B687,'MASTER DATA'!$A$1:$E$212,5,FALSE),"")</f>
        <v/>
      </c>
      <c r="E687" s="17"/>
      <c r="F687" s="17" t="str">
        <f>IFERROR(VLOOKUP(B687,'MASTER DATA'!$A$1:$E$212,4,FALSE),"")</f>
        <v/>
      </c>
      <c r="G687" s="17"/>
      <c r="H687" s="17"/>
      <c r="I687" s="17"/>
      <c r="J687" s="17" t="b">
        <v>0</v>
      </c>
    </row>
    <row r="688">
      <c r="A688" s="17"/>
      <c r="B688" s="17"/>
      <c r="C688" s="17" t="str">
        <f>IFERROR(VLOOKUP(B688,'MASTER DATA'!$A$1:$E$212,2,FALSE),"")</f>
        <v/>
      </c>
      <c r="D688" s="17" t="str">
        <f>IFERROR(VLOOKUP(B688,'MASTER DATA'!$A$1:$E$212,5,FALSE),"")</f>
        <v/>
      </c>
      <c r="E688" s="17"/>
      <c r="F688" s="17" t="str">
        <f>IFERROR(VLOOKUP(B688,'MASTER DATA'!$A$1:$E$212,4,FALSE),"")</f>
        <v/>
      </c>
      <c r="G688" s="17"/>
      <c r="H688" s="17"/>
      <c r="I688" s="17"/>
      <c r="J688" s="17" t="b">
        <v>0</v>
      </c>
    </row>
    <row r="689">
      <c r="A689" s="17"/>
      <c r="B689" s="17"/>
      <c r="C689" s="17" t="str">
        <f>IFERROR(VLOOKUP(B689,'MASTER DATA'!$A$1:$E$212,2,FALSE),"")</f>
        <v/>
      </c>
      <c r="D689" s="17" t="str">
        <f>IFERROR(VLOOKUP(B689,'MASTER DATA'!$A$1:$E$212,5,FALSE),"")</f>
        <v/>
      </c>
      <c r="E689" s="17"/>
      <c r="F689" s="17" t="str">
        <f>IFERROR(VLOOKUP(B689,'MASTER DATA'!$A$1:$E$212,4,FALSE),"")</f>
        <v/>
      </c>
      <c r="G689" s="17"/>
      <c r="H689" s="17"/>
      <c r="I689" s="17"/>
      <c r="J689" s="17" t="b">
        <v>0</v>
      </c>
    </row>
    <row r="690">
      <c r="A690" s="17"/>
      <c r="B690" s="17"/>
      <c r="C690" s="17" t="str">
        <f>IFERROR(VLOOKUP(B690,'MASTER DATA'!$A$1:$E$212,2,FALSE),"")</f>
        <v/>
      </c>
      <c r="D690" s="17" t="str">
        <f>IFERROR(VLOOKUP(B690,'MASTER DATA'!$A$1:$E$212,5,FALSE),"")</f>
        <v/>
      </c>
      <c r="E690" s="17"/>
      <c r="F690" s="17" t="str">
        <f>IFERROR(VLOOKUP(B690,'MASTER DATA'!$A$1:$E$212,4,FALSE),"")</f>
        <v/>
      </c>
      <c r="G690" s="17"/>
      <c r="H690" s="17"/>
      <c r="I690" s="17"/>
      <c r="J690" s="17" t="b">
        <v>0</v>
      </c>
    </row>
    <row r="691">
      <c r="A691" s="17"/>
      <c r="B691" s="17"/>
      <c r="C691" s="17" t="str">
        <f>IFERROR(VLOOKUP(B691,'MASTER DATA'!$A$1:$E$212,2,FALSE),"")</f>
        <v/>
      </c>
      <c r="D691" s="17" t="str">
        <f>IFERROR(VLOOKUP(B691,'MASTER DATA'!$A$1:$E$212,5,FALSE),"")</f>
        <v/>
      </c>
      <c r="E691" s="17"/>
      <c r="F691" s="17" t="str">
        <f>IFERROR(VLOOKUP(B691,'MASTER DATA'!$A$1:$E$212,4,FALSE),"")</f>
        <v/>
      </c>
      <c r="G691" s="17"/>
      <c r="H691" s="17"/>
      <c r="I691" s="17"/>
      <c r="J691" s="17" t="b">
        <v>0</v>
      </c>
    </row>
    <row r="692">
      <c r="A692" s="17"/>
      <c r="B692" s="17"/>
      <c r="C692" s="17" t="str">
        <f>IFERROR(VLOOKUP(B692,'MASTER DATA'!$A$1:$E$212,2,FALSE),"")</f>
        <v/>
      </c>
      <c r="D692" s="17" t="str">
        <f>IFERROR(VLOOKUP(B692,'MASTER DATA'!$A$1:$E$212,5,FALSE),"")</f>
        <v/>
      </c>
      <c r="E692" s="17"/>
      <c r="F692" s="17" t="str">
        <f>IFERROR(VLOOKUP(B692,'MASTER DATA'!$A$1:$E$212,4,FALSE),"")</f>
        <v/>
      </c>
      <c r="G692" s="17"/>
      <c r="H692" s="17"/>
      <c r="I692" s="17"/>
      <c r="J692" s="17" t="b">
        <v>0</v>
      </c>
    </row>
    <row r="693">
      <c r="A693" s="17"/>
      <c r="B693" s="17"/>
      <c r="C693" s="17" t="str">
        <f>IFERROR(VLOOKUP(B693,'MASTER DATA'!$A$1:$E$212,2,FALSE),"")</f>
        <v/>
      </c>
      <c r="D693" s="17" t="str">
        <f>IFERROR(VLOOKUP(B693,'MASTER DATA'!$A$1:$E$212,5,FALSE),"")</f>
        <v/>
      </c>
      <c r="E693" s="17"/>
      <c r="F693" s="17" t="str">
        <f>IFERROR(VLOOKUP(B693,'MASTER DATA'!$A$1:$E$212,4,FALSE),"")</f>
        <v/>
      </c>
      <c r="G693" s="17"/>
      <c r="H693" s="17"/>
      <c r="I693" s="17"/>
      <c r="J693" s="17" t="b">
        <v>0</v>
      </c>
    </row>
    <row r="694">
      <c r="A694" s="17"/>
      <c r="B694" s="17"/>
      <c r="C694" s="17" t="str">
        <f>IFERROR(VLOOKUP(B694,'MASTER DATA'!$A$1:$E$212,2,FALSE),"")</f>
        <v/>
      </c>
      <c r="D694" s="17" t="str">
        <f>IFERROR(VLOOKUP(B694,'MASTER DATA'!$A$1:$E$212,5,FALSE),"")</f>
        <v/>
      </c>
      <c r="E694" s="17"/>
      <c r="F694" s="17" t="str">
        <f>IFERROR(VLOOKUP(B694,'MASTER DATA'!$A$1:$E$212,4,FALSE),"")</f>
        <v/>
      </c>
      <c r="G694" s="17"/>
      <c r="H694" s="17"/>
      <c r="I694" s="17"/>
      <c r="J694" s="17" t="b">
        <v>0</v>
      </c>
    </row>
    <row r="695">
      <c r="A695" s="17"/>
      <c r="B695" s="17"/>
      <c r="C695" s="17" t="str">
        <f>IFERROR(VLOOKUP(B695,'MASTER DATA'!$A$1:$E$212,2,FALSE),"")</f>
        <v/>
      </c>
      <c r="D695" s="17" t="str">
        <f>IFERROR(VLOOKUP(B695,'MASTER DATA'!$A$1:$E$212,5,FALSE),"")</f>
        <v/>
      </c>
      <c r="E695" s="17"/>
      <c r="F695" s="17" t="str">
        <f>IFERROR(VLOOKUP(B695,'MASTER DATA'!$A$1:$E$212,4,FALSE),"")</f>
        <v/>
      </c>
      <c r="G695" s="17"/>
      <c r="H695" s="17"/>
      <c r="I695" s="17"/>
      <c r="J695" s="17" t="b">
        <v>0</v>
      </c>
    </row>
    <row r="696">
      <c r="A696" s="17"/>
      <c r="B696" s="17"/>
      <c r="C696" s="17" t="str">
        <f>IFERROR(VLOOKUP(B696,'MASTER DATA'!$A$1:$E$212,2,FALSE),"")</f>
        <v/>
      </c>
      <c r="D696" s="17" t="str">
        <f>IFERROR(VLOOKUP(B696,'MASTER DATA'!$A$1:$E$212,5,FALSE),"")</f>
        <v/>
      </c>
      <c r="E696" s="17"/>
      <c r="F696" s="17" t="str">
        <f>IFERROR(VLOOKUP(B696,'MASTER DATA'!$A$1:$E$212,4,FALSE),"")</f>
        <v/>
      </c>
      <c r="G696" s="17"/>
      <c r="H696" s="17"/>
      <c r="I696" s="17"/>
      <c r="J696" s="17" t="b">
        <v>0</v>
      </c>
    </row>
    <row r="697">
      <c r="A697" s="17"/>
      <c r="B697" s="17"/>
      <c r="C697" s="17" t="str">
        <f>IFERROR(VLOOKUP(B697,'MASTER DATA'!$A$1:$E$212,2,FALSE),"")</f>
        <v/>
      </c>
      <c r="D697" s="17" t="str">
        <f>IFERROR(VLOOKUP(B697,'MASTER DATA'!$A$1:$E$212,5,FALSE),"")</f>
        <v/>
      </c>
      <c r="E697" s="17"/>
      <c r="F697" s="17" t="str">
        <f>IFERROR(VLOOKUP(B697,'MASTER DATA'!$A$1:$E$212,4,FALSE),"")</f>
        <v/>
      </c>
      <c r="G697" s="17"/>
      <c r="H697" s="17"/>
      <c r="I697" s="17"/>
      <c r="J697" s="17" t="b">
        <v>0</v>
      </c>
    </row>
    <row r="698">
      <c r="A698" s="17"/>
      <c r="B698" s="17"/>
      <c r="C698" s="17" t="str">
        <f>IFERROR(VLOOKUP(B698,'MASTER DATA'!$A$1:$E$212,2,FALSE),"")</f>
        <v/>
      </c>
      <c r="D698" s="17" t="str">
        <f>IFERROR(VLOOKUP(B698,'MASTER DATA'!$A$1:$E$212,5,FALSE),"")</f>
        <v/>
      </c>
      <c r="E698" s="17"/>
      <c r="F698" s="17" t="str">
        <f>IFERROR(VLOOKUP(B698,'MASTER DATA'!$A$1:$E$212,4,FALSE),"")</f>
        <v/>
      </c>
      <c r="G698" s="17"/>
      <c r="H698" s="17"/>
      <c r="I698" s="17"/>
      <c r="J698" s="17" t="b">
        <v>0</v>
      </c>
    </row>
    <row r="699">
      <c r="A699" s="17"/>
      <c r="B699" s="17"/>
      <c r="C699" s="17" t="str">
        <f>IFERROR(VLOOKUP(B699,'MASTER DATA'!$A$1:$E$212,2,FALSE),"")</f>
        <v/>
      </c>
      <c r="D699" s="17" t="str">
        <f>IFERROR(VLOOKUP(B699,'MASTER DATA'!$A$1:$E$212,5,FALSE),"")</f>
        <v/>
      </c>
      <c r="E699" s="17"/>
      <c r="F699" s="17" t="str">
        <f>IFERROR(VLOOKUP(B699,'MASTER DATA'!$A$1:$E$212,4,FALSE),"")</f>
        <v/>
      </c>
      <c r="G699" s="17"/>
      <c r="H699" s="17"/>
      <c r="I699" s="17"/>
      <c r="J699" s="17" t="b">
        <v>0</v>
      </c>
    </row>
    <row r="700">
      <c r="A700" s="17"/>
      <c r="B700" s="17"/>
      <c r="C700" s="17" t="str">
        <f>IFERROR(VLOOKUP(B700,'MASTER DATA'!$A$1:$E$212,2,FALSE),"")</f>
        <v/>
      </c>
      <c r="D700" s="17" t="str">
        <f>IFERROR(VLOOKUP(B700,'MASTER DATA'!$A$1:$E$212,5,FALSE),"")</f>
        <v/>
      </c>
      <c r="E700" s="17"/>
      <c r="F700" s="17" t="str">
        <f>IFERROR(VLOOKUP(B700,'MASTER DATA'!$A$1:$E$212,4,FALSE),"")</f>
        <v/>
      </c>
      <c r="G700" s="17"/>
      <c r="H700" s="17"/>
      <c r="I700" s="17"/>
      <c r="J700" s="17" t="b">
        <v>0</v>
      </c>
    </row>
    <row r="701">
      <c r="A701" s="17"/>
      <c r="B701" s="17"/>
      <c r="C701" s="17" t="str">
        <f>IFERROR(VLOOKUP(B701,'MASTER DATA'!$A$1:$E$212,2,FALSE),"")</f>
        <v/>
      </c>
      <c r="D701" s="17" t="str">
        <f>IFERROR(VLOOKUP(B701,'MASTER DATA'!$A$1:$E$212,5,FALSE),"")</f>
        <v/>
      </c>
      <c r="E701" s="17"/>
      <c r="F701" s="17" t="str">
        <f>IFERROR(VLOOKUP(B701,'MASTER DATA'!$A$1:$E$212,4,FALSE),"")</f>
        <v/>
      </c>
      <c r="G701" s="17"/>
      <c r="H701" s="17"/>
      <c r="I701" s="17"/>
      <c r="J701" s="17" t="b">
        <v>0</v>
      </c>
    </row>
    <row r="702">
      <c r="A702" s="17"/>
      <c r="B702" s="17"/>
      <c r="C702" s="17" t="str">
        <f>IFERROR(VLOOKUP(B702,'MASTER DATA'!$A$1:$E$212,2,FALSE),"")</f>
        <v/>
      </c>
      <c r="D702" s="17" t="str">
        <f>IFERROR(VLOOKUP(B702,'MASTER DATA'!$A$1:$E$212,5,FALSE),"")</f>
        <v/>
      </c>
      <c r="E702" s="17"/>
      <c r="F702" s="17" t="str">
        <f>IFERROR(VLOOKUP(B702,'MASTER DATA'!$A$1:$E$212,4,FALSE),"")</f>
        <v/>
      </c>
      <c r="G702" s="17"/>
      <c r="H702" s="17"/>
      <c r="I702" s="17"/>
      <c r="J702" s="17" t="b">
        <v>0</v>
      </c>
    </row>
    <row r="703">
      <c r="A703" s="17"/>
      <c r="B703" s="17"/>
      <c r="C703" s="17" t="str">
        <f>IFERROR(VLOOKUP(B703,'MASTER DATA'!$A$1:$E$212,2,FALSE),"")</f>
        <v/>
      </c>
      <c r="D703" s="17" t="str">
        <f>IFERROR(VLOOKUP(B703,'MASTER DATA'!$A$1:$E$212,5,FALSE),"")</f>
        <v/>
      </c>
      <c r="E703" s="17"/>
      <c r="F703" s="17" t="str">
        <f>IFERROR(VLOOKUP(B703,'MASTER DATA'!$A$1:$E$212,4,FALSE),"")</f>
        <v/>
      </c>
      <c r="G703" s="17"/>
      <c r="H703" s="17"/>
      <c r="I703" s="17"/>
      <c r="J703" s="17" t="b">
        <v>0</v>
      </c>
    </row>
    <row r="704">
      <c r="A704" s="17"/>
      <c r="B704" s="17"/>
      <c r="C704" s="17" t="str">
        <f>IFERROR(VLOOKUP(B704,'MASTER DATA'!$A$1:$E$212,2,FALSE),"")</f>
        <v/>
      </c>
      <c r="D704" s="17" t="str">
        <f>IFERROR(VLOOKUP(B704,'MASTER DATA'!$A$1:$E$212,5,FALSE),"")</f>
        <v/>
      </c>
      <c r="E704" s="17"/>
      <c r="F704" s="17" t="str">
        <f>IFERROR(VLOOKUP(B704,'MASTER DATA'!$A$1:$E$212,4,FALSE),"")</f>
        <v/>
      </c>
      <c r="G704" s="17"/>
      <c r="H704" s="17"/>
      <c r="I704" s="17"/>
      <c r="J704" s="17" t="b">
        <v>0</v>
      </c>
    </row>
    <row r="705">
      <c r="A705" s="17"/>
      <c r="B705" s="17"/>
      <c r="C705" s="17" t="str">
        <f>IFERROR(VLOOKUP(B705,'MASTER DATA'!$A$1:$E$212,2,FALSE),"")</f>
        <v/>
      </c>
      <c r="D705" s="17" t="str">
        <f>IFERROR(VLOOKUP(B705,'MASTER DATA'!$A$1:$E$212,5,FALSE),"")</f>
        <v/>
      </c>
      <c r="E705" s="17"/>
      <c r="F705" s="17" t="str">
        <f>IFERROR(VLOOKUP(B705,'MASTER DATA'!$A$1:$E$212,4,FALSE),"")</f>
        <v/>
      </c>
      <c r="G705" s="17"/>
      <c r="H705" s="17"/>
      <c r="I705" s="17"/>
      <c r="J705" s="17" t="b">
        <v>0</v>
      </c>
    </row>
    <row r="706">
      <c r="A706" s="17"/>
      <c r="B706" s="17"/>
      <c r="C706" s="17" t="str">
        <f>IFERROR(VLOOKUP(B706,'MASTER DATA'!$A$1:$E$212,2,FALSE),"")</f>
        <v/>
      </c>
      <c r="D706" s="17" t="str">
        <f>IFERROR(VLOOKUP(B706,'MASTER DATA'!$A$1:$E$212,5,FALSE),"")</f>
        <v/>
      </c>
      <c r="E706" s="17"/>
      <c r="F706" s="17" t="str">
        <f>IFERROR(VLOOKUP(B706,'MASTER DATA'!$A$1:$E$212,4,FALSE),"")</f>
        <v/>
      </c>
      <c r="G706" s="17"/>
      <c r="H706" s="17"/>
      <c r="I706" s="17"/>
      <c r="J706" s="17" t="b">
        <v>0</v>
      </c>
    </row>
    <row r="707">
      <c r="A707" s="17"/>
      <c r="B707" s="17"/>
      <c r="C707" s="17" t="str">
        <f>IFERROR(VLOOKUP(B707,'MASTER DATA'!$A$1:$E$212,2,FALSE),"")</f>
        <v/>
      </c>
      <c r="D707" s="17" t="str">
        <f>IFERROR(VLOOKUP(B707,'MASTER DATA'!$A$1:$E$212,5,FALSE),"")</f>
        <v/>
      </c>
      <c r="E707" s="17"/>
      <c r="F707" s="17" t="str">
        <f>IFERROR(VLOOKUP(B707,'MASTER DATA'!$A$1:$E$212,4,FALSE),"")</f>
        <v/>
      </c>
      <c r="G707" s="17"/>
      <c r="H707" s="17"/>
      <c r="I707" s="17"/>
      <c r="J707" s="17" t="b">
        <v>0</v>
      </c>
    </row>
    <row r="708">
      <c r="A708" s="17"/>
      <c r="B708" s="17"/>
      <c r="C708" s="17" t="str">
        <f>IFERROR(VLOOKUP(B708,'MASTER DATA'!$A$1:$E$212,2,FALSE),"")</f>
        <v/>
      </c>
      <c r="D708" s="17" t="str">
        <f>IFERROR(VLOOKUP(B708,'MASTER DATA'!$A$1:$E$212,5,FALSE),"")</f>
        <v/>
      </c>
      <c r="E708" s="17"/>
      <c r="F708" s="17" t="str">
        <f>IFERROR(VLOOKUP(B708,'MASTER DATA'!$A$1:$E$212,4,FALSE),"")</f>
        <v/>
      </c>
      <c r="G708" s="17"/>
      <c r="H708" s="17"/>
      <c r="I708" s="17"/>
      <c r="J708" s="17" t="b">
        <v>0</v>
      </c>
    </row>
    <row r="709">
      <c r="A709" s="17"/>
      <c r="B709" s="17"/>
      <c r="C709" s="17" t="str">
        <f>IFERROR(VLOOKUP(B709,'MASTER DATA'!$A$1:$E$212,2,FALSE),"")</f>
        <v/>
      </c>
      <c r="D709" s="17" t="str">
        <f>IFERROR(VLOOKUP(B709,'MASTER DATA'!$A$1:$E$212,5,FALSE),"")</f>
        <v/>
      </c>
      <c r="E709" s="17"/>
      <c r="F709" s="17" t="str">
        <f>IFERROR(VLOOKUP(B709,'MASTER DATA'!$A$1:$E$212,4,FALSE),"")</f>
        <v/>
      </c>
      <c r="G709" s="17"/>
      <c r="H709" s="17"/>
      <c r="I709" s="17"/>
      <c r="J709" s="17" t="b">
        <v>0</v>
      </c>
    </row>
    <row r="710">
      <c r="A710" s="17"/>
      <c r="B710" s="17"/>
      <c r="C710" s="17" t="str">
        <f>IFERROR(VLOOKUP(B710,'MASTER DATA'!$A$1:$E$212,2,FALSE),"")</f>
        <v/>
      </c>
      <c r="D710" s="17" t="str">
        <f>IFERROR(VLOOKUP(B710,'MASTER DATA'!$A$1:$E$212,5,FALSE),"")</f>
        <v/>
      </c>
      <c r="E710" s="17"/>
      <c r="F710" s="17" t="str">
        <f>IFERROR(VLOOKUP(B710,'MASTER DATA'!$A$1:$E$212,4,FALSE),"")</f>
        <v/>
      </c>
      <c r="G710" s="17"/>
      <c r="H710" s="17"/>
      <c r="I710" s="17"/>
      <c r="J710" s="17" t="b">
        <v>0</v>
      </c>
    </row>
    <row r="711">
      <c r="A711" s="17"/>
      <c r="B711" s="17"/>
      <c r="C711" s="17" t="str">
        <f>IFERROR(VLOOKUP(B711,'MASTER DATA'!$A$1:$E$212,2,FALSE),"")</f>
        <v/>
      </c>
      <c r="D711" s="17" t="str">
        <f>IFERROR(VLOOKUP(B711,'MASTER DATA'!$A$1:$E$212,5,FALSE),"")</f>
        <v/>
      </c>
      <c r="E711" s="17"/>
      <c r="F711" s="17" t="str">
        <f>IFERROR(VLOOKUP(B711,'MASTER DATA'!$A$1:$E$212,4,FALSE),"")</f>
        <v/>
      </c>
      <c r="G711" s="17"/>
      <c r="H711" s="17"/>
      <c r="I711" s="17"/>
      <c r="J711" s="17" t="b">
        <v>0</v>
      </c>
    </row>
    <row r="712">
      <c r="A712" s="17"/>
      <c r="B712" s="17"/>
      <c r="C712" s="17" t="str">
        <f>IFERROR(VLOOKUP(B712,'MASTER DATA'!$A$1:$E$212,2,FALSE),"")</f>
        <v/>
      </c>
      <c r="D712" s="17" t="str">
        <f>IFERROR(VLOOKUP(B712,'MASTER DATA'!$A$1:$E$212,5,FALSE),"")</f>
        <v/>
      </c>
      <c r="E712" s="17"/>
      <c r="F712" s="17" t="str">
        <f>IFERROR(VLOOKUP(B712,'MASTER DATA'!$A$1:$E$212,4,FALSE),"")</f>
        <v/>
      </c>
      <c r="G712" s="17"/>
      <c r="H712" s="17"/>
      <c r="I712" s="17"/>
      <c r="J712" s="17" t="b">
        <v>0</v>
      </c>
    </row>
    <row r="713">
      <c r="A713" s="17"/>
      <c r="B713" s="17"/>
      <c r="C713" s="17" t="str">
        <f>IFERROR(VLOOKUP(B713,'MASTER DATA'!$A$1:$E$212,2,FALSE),"")</f>
        <v/>
      </c>
      <c r="D713" s="17" t="str">
        <f>IFERROR(VLOOKUP(B713,'MASTER DATA'!$A$1:$E$212,5,FALSE),"")</f>
        <v/>
      </c>
      <c r="E713" s="17"/>
      <c r="F713" s="17" t="str">
        <f>IFERROR(VLOOKUP(B713,'MASTER DATA'!$A$1:$E$212,4,FALSE),"")</f>
        <v/>
      </c>
      <c r="G713" s="17"/>
      <c r="H713" s="17"/>
      <c r="I713" s="17"/>
      <c r="J713" s="17" t="b">
        <v>0</v>
      </c>
    </row>
    <row r="714">
      <c r="A714" s="17"/>
      <c r="B714" s="17"/>
      <c r="C714" s="17" t="str">
        <f>IFERROR(VLOOKUP(B714,'MASTER DATA'!$A$1:$E$212,2,FALSE),"")</f>
        <v/>
      </c>
      <c r="D714" s="17" t="str">
        <f>IFERROR(VLOOKUP(B714,'MASTER DATA'!$A$1:$E$212,5,FALSE),"")</f>
        <v/>
      </c>
      <c r="E714" s="17"/>
      <c r="F714" s="17" t="str">
        <f>IFERROR(VLOOKUP(B714,'MASTER DATA'!$A$1:$E$212,4,FALSE),"")</f>
        <v/>
      </c>
      <c r="G714" s="17"/>
      <c r="H714" s="17"/>
      <c r="I714" s="17"/>
      <c r="J714" s="17" t="b">
        <v>0</v>
      </c>
    </row>
    <row r="715">
      <c r="A715" s="17"/>
      <c r="B715" s="17"/>
      <c r="C715" s="17" t="str">
        <f>IFERROR(VLOOKUP(B715,'MASTER DATA'!$A$1:$E$212,2,FALSE),"")</f>
        <v/>
      </c>
      <c r="D715" s="17" t="str">
        <f>IFERROR(VLOOKUP(B715,'MASTER DATA'!$A$1:$E$212,5,FALSE),"")</f>
        <v/>
      </c>
      <c r="E715" s="17"/>
      <c r="F715" s="17" t="str">
        <f>IFERROR(VLOOKUP(B715,'MASTER DATA'!$A$1:$E$212,4,FALSE),"")</f>
        <v/>
      </c>
      <c r="G715" s="17"/>
      <c r="H715" s="17"/>
      <c r="I715" s="17"/>
      <c r="J715" s="17" t="b">
        <v>0</v>
      </c>
    </row>
    <row r="716">
      <c r="A716" s="17"/>
      <c r="B716" s="17"/>
      <c r="C716" s="17" t="str">
        <f>IFERROR(VLOOKUP(B716,'MASTER DATA'!$A$1:$E$212,2,FALSE),"")</f>
        <v/>
      </c>
      <c r="D716" s="17" t="str">
        <f>IFERROR(VLOOKUP(B716,'MASTER DATA'!$A$1:$E$212,5,FALSE),"")</f>
        <v/>
      </c>
      <c r="E716" s="17"/>
      <c r="F716" s="17" t="str">
        <f>IFERROR(VLOOKUP(B716,'MASTER DATA'!$A$1:$E$212,4,FALSE),"")</f>
        <v/>
      </c>
      <c r="G716" s="17"/>
      <c r="H716" s="17"/>
      <c r="I716" s="17"/>
      <c r="J716" s="17" t="b">
        <v>0</v>
      </c>
    </row>
    <row r="717">
      <c r="A717" s="17"/>
      <c r="B717" s="17"/>
      <c r="C717" s="17" t="str">
        <f>IFERROR(VLOOKUP(B717,'MASTER DATA'!$A$1:$E$212,2,FALSE),"")</f>
        <v/>
      </c>
      <c r="D717" s="17" t="str">
        <f>IFERROR(VLOOKUP(B717,'MASTER DATA'!$A$1:$E$212,5,FALSE),"")</f>
        <v/>
      </c>
      <c r="E717" s="17"/>
      <c r="F717" s="17" t="str">
        <f>IFERROR(VLOOKUP(B717,'MASTER DATA'!$A$1:$E$212,4,FALSE),"")</f>
        <v/>
      </c>
      <c r="G717" s="17"/>
      <c r="H717" s="17"/>
      <c r="I717" s="17"/>
      <c r="J717" s="17" t="b">
        <v>0</v>
      </c>
    </row>
    <row r="718">
      <c r="A718" s="17"/>
      <c r="B718" s="17"/>
      <c r="C718" s="17" t="str">
        <f>IFERROR(VLOOKUP(B718,'MASTER DATA'!$A$1:$E$212,2,FALSE),"")</f>
        <v/>
      </c>
      <c r="D718" s="17" t="str">
        <f>IFERROR(VLOOKUP(B718,'MASTER DATA'!$A$1:$E$212,5,FALSE),"")</f>
        <v/>
      </c>
      <c r="E718" s="17"/>
      <c r="F718" s="17" t="str">
        <f>IFERROR(VLOOKUP(B718,'MASTER DATA'!$A$1:$E$212,4,FALSE),"")</f>
        <v/>
      </c>
      <c r="G718" s="17"/>
      <c r="H718" s="17"/>
      <c r="I718" s="17"/>
      <c r="J718" s="17" t="b">
        <v>0</v>
      </c>
    </row>
    <row r="719">
      <c r="A719" s="17"/>
      <c r="B719" s="17"/>
      <c r="C719" s="17" t="str">
        <f>IFERROR(VLOOKUP(B719,'MASTER DATA'!$A$1:$E$212,2,FALSE),"")</f>
        <v/>
      </c>
      <c r="D719" s="17" t="str">
        <f>IFERROR(VLOOKUP(B719,'MASTER DATA'!$A$1:$E$212,5,FALSE),"")</f>
        <v/>
      </c>
      <c r="E719" s="17"/>
      <c r="F719" s="17" t="str">
        <f>IFERROR(VLOOKUP(B719,'MASTER DATA'!$A$1:$E$212,4,FALSE),"")</f>
        <v/>
      </c>
      <c r="G719" s="17"/>
      <c r="H719" s="17"/>
      <c r="I719" s="17"/>
      <c r="J719" s="17" t="b">
        <v>0</v>
      </c>
    </row>
    <row r="720">
      <c r="A720" s="17"/>
      <c r="B720" s="17"/>
      <c r="C720" s="17" t="str">
        <f>IFERROR(VLOOKUP(B720,'MASTER DATA'!$A$1:$E$212,2,FALSE),"")</f>
        <v/>
      </c>
      <c r="D720" s="17" t="str">
        <f>IFERROR(VLOOKUP(B720,'MASTER DATA'!$A$1:$E$212,5,FALSE),"")</f>
        <v/>
      </c>
      <c r="E720" s="17"/>
      <c r="F720" s="17" t="str">
        <f>IFERROR(VLOOKUP(B720,'MASTER DATA'!$A$1:$E$212,4,FALSE),"")</f>
        <v/>
      </c>
      <c r="G720" s="17"/>
      <c r="H720" s="17"/>
      <c r="I720" s="17"/>
      <c r="J720" s="17" t="b">
        <v>0</v>
      </c>
    </row>
    <row r="721">
      <c r="A721" s="17"/>
      <c r="B721" s="17"/>
      <c r="C721" s="17" t="str">
        <f>IFERROR(VLOOKUP(B721,'MASTER DATA'!$A$1:$E$212,2,FALSE),"")</f>
        <v/>
      </c>
      <c r="D721" s="17" t="str">
        <f>IFERROR(VLOOKUP(B721,'MASTER DATA'!$A$1:$E$212,5,FALSE),"")</f>
        <v/>
      </c>
      <c r="E721" s="17"/>
      <c r="F721" s="17" t="str">
        <f>IFERROR(VLOOKUP(B721,'MASTER DATA'!$A$1:$E$212,4,FALSE),"")</f>
        <v/>
      </c>
      <c r="G721" s="17"/>
      <c r="H721" s="17"/>
      <c r="I721" s="17"/>
      <c r="J721" s="17" t="b">
        <v>0</v>
      </c>
    </row>
    <row r="722">
      <c r="A722" s="17"/>
      <c r="B722" s="17"/>
      <c r="C722" s="17" t="str">
        <f>IFERROR(VLOOKUP(B722,'MASTER DATA'!$A$1:$E$212,2,FALSE),"")</f>
        <v/>
      </c>
      <c r="D722" s="17" t="str">
        <f>IFERROR(VLOOKUP(B722,'MASTER DATA'!$A$1:$E$212,5,FALSE),"")</f>
        <v/>
      </c>
      <c r="E722" s="17"/>
      <c r="F722" s="17" t="str">
        <f>IFERROR(VLOOKUP(B722,'MASTER DATA'!$A$1:$E$212,4,FALSE),"")</f>
        <v/>
      </c>
      <c r="G722" s="17"/>
      <c r="H722" s="17"/>
      <c r="I722" s="17"/>
      <c r="J722" s="17" t="b">
        <v>0</v>
      </c>
    </row>
    <row r="723">
      <c r="A723" s="17"/>
      <c r="B723" s="17"/>
      <c r="C723" s="17" t="str">
        <f>IFERROR(VLOOKUP(B723,'MASTER DATA'!$A$1:$E$212,2,FALSE),"")</f>
        <v/>
      </c>
      <c r="D723" s="17" t="str">
        <f>IFERROR(VLOOKUP(B723,'MASTER DATA'!$A$1:$E$212,5,FALSE),"")</f>
        <v/>
      </c>
      <c r="E723" s="17"/>
      <c r="F723" s="17" t="str">
        <f>IFERROR(VLOOKUP(B723,'MASTER DATA'!$A$1:$E$212,4,FALSE),"")</f>
        <v/>
      </c>
      <c r="G723" s="17"/>
      <c r="H723" s="17"/>
      <c r="I723" s="17"/>
      <c r="J723" s="17" t="b">
        <v>0</v>
      </c>
    </row>
    <row r="724">
      <c r="A724" s="17"/>
      <c r="B724" s="17"/>
      <c r="C724" s="17" t="str">
        <f>IFERROR(VLOOKUP(B724,'MASTER DATA'!$A$1:$E$212,2,FALSE),"")</f>
        <v/>
      </c>
      <c r="D724" s="17" t="str">
        <f>IFERROR(VLOOKUP(B724,'MASTER DATA'!$A$1:$E$212,5,FALSE),"")</f>
        <v/>
      </c>
      <c r="E724" s="17"/>
      <c r="F724" s="17" t="str">
        <f>IFERROR(VLOOKUP(B724,'MASTER DATA'!$A$1:$E$212,4,FALSE),"")</f>
        <v/>
      </c>
      <c r="G724" s="17"/>
      <c r="H724" s="17"/>
      <c r="I724" s="17"/>
      <c r="J724" s="17" t="b">
        <v>0</v>
      </c>
    </row>
    <row r="725">
      <c r="A725" s="17"/>
      <c r="B725" s="17"/>
      <c r="C725" s="17" t="str">
        <f>IFERROR(VLOOKUP(B725,'MASTER DATA'!$A$1:$E$212,2,FALSE),"")</f>
        <v/>
      </c>
      <c r="D725" s="17" t="str">
        <f>IFERROR(VLOOKUP(B725,'MASTER DATA'!$A$1:$E$212,5,FALSE),"")</f>
        <v/>
      </c>
      <c r="E725" s="17"/>
      <c r="F725" s="17" t="str">
        <f>IFERROR(VLOOKUP(B725,'MASTER DATA'!$A$1:$E$212,4,FALSE),"")</f>
        <v/>
      </c>
      <c r="G725" s="17"/>
      <c r="H725" s="17"/>
      <c r="I725" s="17"/>
      <c r="J725" s="17" t="b">
        <v>0</v>
      </c>
    </row>
    <row r="726">
      <c r="A726" s="17"/>
      <c r="B726" s="17"/>
      <c r="C726" s="17" t="str">
        <f>IFERROR(VLOOKUP(B726,'MASTER DATA'!$A$1:$E$212,2,FALSE),"")</f>
        <v/>
      </c>
      <c r="D726" s="17" t="str">
        <f>IFERROR(VLOOKUP(B726,'MASTER DATA'!$A$1:$E$212,5,FALSE),"")</f>
        <v/>
      </c>
      <c r="E726" s="17"/>
      <c r="F726" s="17" t="str">
        <f>IFERROR(VLOOKUP(B726,'MASTER DATA'!$A$1:$E$212,4,FALSE),"")</f>
        <v/>
      </c>
      <c r="G726" s="17"/>
      <c r="H726" s="17"/>
      <c r="I726" s="17"/>
      <c r="J726" s="17" t="b">
        <v>0</v>
      </c>
    </row>
    <row r="727">
      <c r="A727" s="17"/>
      <c r="B727" s="17"/>
      <c r="C727" s="17" t="str">
        <f>IFERROR(VLOOKUP(B727,'MASTER DATA'!$A$1:$E$212,2,FALSE),"")</f>
        <v/>
      </c>
      <c r="D727" s="17" t="str">
        <f>IFERROR(VLOOKUP(B727,'MASTER DATA'!$A$1:$E$212,5,FALSE),"")</f>
        <v/>
      </c>
      <c r="E727" s="17"/>
      <c r="F727" s="17" t="str">
        <f>IFERROR(VLOOKUP(B727,'MASTER DATA'!$A$1:$E$212,4,FALSE),"")</f>
        <v/>
      </c>
      <c r="G727" s="17"/>
      <c r="H727" s="17"/>
      <c r="I727" s="17"/>
      <c r="J727" s="17" t="b">
        <v>0</v>
      </c>
    </row>
    <row r="728">
      <c r="A728" s="17"/>
      <c r="B728" s="17"/>
      <c r="C728" s="17" t="str">
        <f>IFERROR(VLOOKUP(B728,'MASTER DATA'!$A$1:$E$212,2,FALSE),"")</f>
        <v/>
      </c>
      <c r="D728" s="17" t="str">
        <f>IFERROR(VLOOKUP(B728,'MASTER DATA'!$A$1:$E$212,5,FALSE),"")</f>
        <v/>
      </c>
      <c r="E728" s="17"/>
      <c r="F728" s="17" t="str">
        <f>IFERROR(VLOOKUP(B728,'MASTER DATA'!$A$1:$E$212,4,FALSE),"")</f>
        <v/>
      </c>
      <c r="G728" s="17"/>
      <c r="H728" s="17"/>
      <c r="I728" s="17"/>
      <c r="J728" s="17" t="b">
        <v>0</v>
      </c>
    </row>
    <row r="729">
      <c r="A729" s="17"/>
      <c r="B729" s="17"/>
      <c r="C729" s="17" t="str">
        <f>IFERROR(VLOOKUP(B729,'MASTER DATA'!$A$1:$E$212,2,FALSE),"")</f>
        <v/>
      </c>
      <c r="D729" s="17" t="str">
        <f>IFERROR(VLOOKUP(B729,'MASTER DATA'!$A$1:$E$212,5,FALSE),"")</f>
        <v/>
      </c>
      <c r="E729" s="17"/>
      <c r="F729" s="17" t="str">
        <f>IFERROR(VLOOKUP(B729,'MASTER DATA'!$A$1:$E$212,4,FALSE),"")</f>
        <v/>
      </c>
      <c r="G729" s="17"/>
      <c r="H729" s="17"/>
      <c r="I729" s="17"/>
      <c r="J729" s="17" t="b">
        <v>0</v>
      </c>
    </row>
    <row r="730">
      <c r="A730" s="17"/>
      <c r="B730" s="17"/>
      <c r="C730" s="17" t="str">
        <f>IFERROR(VLOOKUP(B730,'MASTER DATA'!$A$1:$E$212,2,FALSE),"")</f>
        <v/>
      </c>
      <c r="D730" s="17" t="str">
        <f>IFERROR(VLOOKUP(B730,'MASTER DATA'!$A$1:$E$212,5,FALSE),"")</f>
        <v/>
      </c>
      <c r="E730" s="17"/>
      <c r="F730" s="17" t="str">
        <f>IFERROR(VLOOKUP(B730,'MASTER DATA'!$A$1:$E$212,4,FALSE),"")</f>
        <v/>
      </c>
      <c r="G730" s="17"/>
      <c r="H730" s="17"/>
      <c r="I730" s="17"/>
      <c r="J730" s="17" t="b">
        <v>0</v>
      </c>
    </row>
    <row r="731">
      <c r="A731" s="17"/>
      <c r="B731" s="17"/>
      <c r="C731" s="17" t="str">
        <f>IFERROR(VLOOKUP(B731,'MASTER DATA'!$A$1:$E$212,2,FALSE),"")</f>
        <v/>
      </c>
      <c r="D731" s="17" t="str">
        <f>IFERROR(VLOOKUP(B731,'MASTER DATA'!$A$1:$E$212,5,FALSE),"")</f>
        <v/>
      </c>
      <c r="E731" s="17"/>
      <c r="F731" s="17" t="str">
        <f>IFERROR(VLOOKUP(B731,'MASTER DATA'!$A$1:$E$212,4,FALSE),"")</f>
        <v/>
      </c>
      <c r="G731" s="17"/>
      <c r="H731" s="17"/>
      <c r="I731" s="17"/>
      <c r="J731" s="17" t="b">
        <v>0</v>
      </c>
    </row>
    <row r="732">
      <c r="A732" s="17"/>
      <c r="B732" s="17"/>
      <c r="C732" s="17" t="str">
        <f>IFERROR(VLOOKUP(B732,'MASTER DATA'!$A$1:$E$212,2,FALSE),"")</f>
        <v/>
      </c>
      <c r="D732" s="17" t="str">
        <f>IFERROR(VLOOKUP(B732,'MASTER DATA'!$A$1:$E$212,5,FALSE),"")</f>
        <v/>
      </c>
      <c r="E732" s="17"/>
      <c r="F732" s="17" t="str">
        <f>IFERROR(VLOOKUP(B732,'MASTER DATA'!$A$1:$E$212,4,FALSE),"")</f>
        <v/>
      </c>
      <c r="G732" s="17"/>
      <c r="H732" s="17"/>
      <c r="I732" s="17"/>
      <c r="J732" s="17" t="b">
        <v>0</v>
      </c>
    </row>
    <row r="733">
      <c r="A733" s="17"/>
      <c r="B733" s="17"/>
      <c r="C733" s="17" t="str">
        <f>IFERROR(VLOOKUP(B733,'MASTER DATA'!$A$1:$E$212,2,FALSE),"")</f>
        <v/>
      </c>
      <c r="D733" s="17" t="str">
        <f>IFERROR(VLOOKUP(B733,'MASTER DATA'!$A$1:$E$212,5,FALSE),"")</f>
        <v/>
      </c>
      <c r="E733" s="17"/>
      <c r="F733" s="17" t="str">
        <f>IFERROR(VLOOKUP(B733,'MASTER DATA'!$A$1:$E$212,4,FALSE),"")</f>
        <v/>
      </c>
      <c r="G733" s="17"/>
      <c r="H733" s="17"/>
      <c r="I733" s="17"/>
      <c r="J733" s="17" t="b">
        <v>0</v>
      </c>
    </row>
    <row r="734">
      <c r="A734" s="17"/>
      <c r="B734" s="17"/>
      <c r="C734" s="17" t="str">
        <f>IFERROR(VLOOKUP(B734,'MASTER DATA'!$A$1:$E$212,2,FALSE),"")</f>
        <v/>
      </c>
      <c r="D734" s="17" t="str">
        <f>IFERROR(VLOOKUP(B734,'MASTER DATA'!$A$1:$E$212,5,FALSE),"")</f>
        <v/>
      </c>
      <c r="E734" s="17"/>
      <c r="F734" s="17" t="str">
        <f>IFERROR(VLOOKUP(B734,'MASTER DATA'!$A$1:$E$212,4,FALSE),"")</f>
        <v/>
      </c>
      <c r="G734" s="17"/>
      <c r="H734" s="17"/>
      <c r="I734" s="17"/>
      <c r="J734" s="17" t="b">
        <v>0</v>
      </c>
    </row>
    <row r="735">
      <c r="A735" s="17"/>
      <c r="B735" s="17"/>
      <c r="C735" s="17" t="str">
        <f>IFERROR(VLOOKUP(B735,'MASTER DATA'!$A$1:$E$212,2,FALSE),"")</f>
        <v/>
      </c>
      <c r="D735" s="17" t="str">
        <f>IFERROR(VLOOKUP(B735,'MASTER DATA'!$A$1:$E$212,5,FALSE),"")</f>
        <v/>
      </c>
      <c r="E735" s="17"/>
      <c r="F735" s="17" t="str">
        <f>IFERROR(VLOOKUP(B735,'MASTER DATA'!$A$1:$E$212,4,FALSE),"")</f>
        <v/>
      </c>
      <c r="G735" s="17"/>
      <c r="H735" s="17"/>
      <c r="I735" s="17"/>
      <c r="J735" s="17" t="b">
        <v>0</v>
      </c>
    </row>
    <row r="736">
      <c r="A736" s="17"/>
      <c r="B736" s="17"/>
      <c r="C736" s="17" t="str">
        <f>IFERROR(VLOOKUP(B736,'MASTER DATA'!$A$1:$E$212,2,FALSE),"")</f>
        <v/>
      </c>
      <c r="D736" s="17" t="str">
        <f>IFERROR(VLOOKUP(B736,'MASTER DATA'!$A$1:$E$212,5,FALSE),"")</f>
        <v/>
      </c>
      <c r="E736" s="17"/>
      <c r="F736" s="17" t="str">
        <f>IFERROR(VLOOKUP(B736,'MASTER DATA'!$A$1:$E$212,4,FALSE),"")</f>
        <v/>
      </c>
      <c r="G736" s="17"/>
      <c r="H736" s="17"/>
      <c r="I736" s="17"/>
      <c r="J736" s="17" t="b">
        <v>0</v>
      </c>
    </row>
    <row r="737">
      <c r="A737" s="17"/>
      <c r="B737" s="17"/>
      <c r="C737" s="17" t="str">
        <f>IFERROR(VLOOKUP(B737,'MASTER DATA'!$A$1:$E$212,2,FALSE),"")</f>
        <v/>
      </c>
      <c r="D737" s="17" t="str">
        <f>IFERROR(VLOOKUP(B737,'MASTER DATA'!$A$1:$E$212,5,FALSE),"")</f>
        <v/>
      </c>
      <c r="E737" s="17"/>
      <c r="F737" s="17" t="str">
        <f>IFERROR(VLOOKUP(B737,'MASTER DATA'!$A$1:$E$212,4,FALSE),"")</f>
        <v/>
      </c>
      <c r="G737" s="17"/>
      <c r="H737" s="17"/>
      <c r="I737" s="17"/>
      <c r="J737" s="17" t="b">
        <v>0</v>
      </c>
    </row>
    <row r="738">
      <c r="A738" s="17"/>
      <c r="B738" s="17"/>
      <c r="C738" s="17" t="str">
        <f>IFERROR(VLOOKUP(B738,'MASTER DATA'!$A$1:$E$212,2,FALSE),"")</f>
        <v/>
      </c>
      <c r="D738" s="17" t="str">
        <f>IFERROR(VLOOKUP(B738,'MASTER DATA'!$A$1:$E$212,5,FALSE),"")</f>
        <v/>
      </c>
      <c r="E738" s="17"/>
      <c r="F738" s="17" t="str">
        <f>IFERROR(VLOOKUP(B738,'MASTER DATA'!$A$1:$E$212,4,FALSE),"")</f>
        <v/>
      </c>
      <c r="G738" s="17"/>
      <c r="H738" s="17"/>
      <c r="I738" s="17"/>
      <c r="J738" s="17" t="b">
        <v>0</v>
      </c>
    </row>
    <row r="739">
      <c r="A739" s="17"/>
      <c r="B739" s="17"/>
      <c r="C739" s="17" t="str">
        <f>IFERROR(VLOOKUP(B739,'MASTER DATA'!$A$1:$E$212,2,FALSE),"")</f>
        <v/>
      </c>
      <c r="D739" s="17" t="str">
        <f>IFERROR(VLOOKUP(B739,'MASTER DATA'!$A$1:$E$212,5,FALSE),"")</f>
        <v/>
      </c>
      <c r="E739" s="17"/>
      <c r="F739" s="17" t="str">
        <f>IFERROR(VLOOKUP(B739,'MASTER DATA'!$A$1:$E$212,4,FALSE),"")</f>
        <v/>
      </c>
      <c r="G739" s="17"/>
      <c r="H739" s="17"/>
      <c r="I739" s="17"/>
      <c r="J739" s="17" t="b">
        <v>0</v>
      </c>
    </row>
    <row r="740">
      <c r="A740" s="17"/>
      <c r="B740" s="17"/>
      <c r="C740" s="17" t="str">
        <f>IFERROR(VLOOKUP(B740,'MASTER DATA'!$A$1:$E$212,2,FALSE),"")</f>
        <v/>
      </c>
      <c r="D740" s="17" t="str">
        <f>IFERROR(VLOOKUP(B740,'MASTER DATA'!$A$1:$E$212,5,FALSE),"")</f>
        <v/>
      </c>
      <c r="E740" s="17"/>
      <c r="F740" s="17" t="str">
        <f>IFERROR(VLOOKUP(B740,'MASTER DATA'!$A$1:$E$212,4,FALSE),"")</f>
        <v/>
      </c>
      <c r="G740" s="17"/>
      <c r="H740" s="17"/>
      <c r="I740" s="17"/>
      <c r="J740" s="17" t="b">
        <v>0</v>
      </c>
    </row>
    <row r="741">
      <c r="A741" s="17"/>
      <c r="B741" s="17"/>
      <c r="C741" s="17" t="str">
        <f>IFERROR(VLOOKUP(B741,'MASTER DATA'!$A$1:$E$212,2,FALSE),"")</f>
        <v/>
      </c>
      <c r="D741" s="17" t="str">
        <f>IFERROR(VLOOKUP(B741,'MASTER DATA'!$A$1:$E$212,5,FALSE),"")</f>
        <v/>
      </c>
      <c r="E741" s="17"/>
      <c r="F741" s="17" t="str">
        <f>IFERROR(VLOOKUP(B741,'MASTER DATA'!$A$1:$E$212,4,FALSE),"")</f>
        <v/>
      </c>
      <c r="G741" s="17"/>
      <c r="H741" s="17"/>
      <c r="I741" s="17"/>
      <c r="J741" s="17" t="b">
        <v>0</v>
      </c>
    </row>
    <row r="742">
      <c r="A742" s="17"/>
      <c r="B742" s="17"/>
      <c r="C742" s="17" t="str">
        <f>IFERROR(VLOOKUP(B742,'MASTER DATA'!$A$1:$E$212,2,FALSE),"")</f>
        <v/>
      </c>
      <c r="D742" s="17" t="str">
        <f>IFERROR(VLOOKUP(B742,'MASTER DATA'!$A$1:$E$212,5,FALSE),"")</f>
        <v/>
      </c>
      <c r="E742" s="17"/>
      <c r="F742" s="17" t="str">
        <f>IFERROR(VLOOKUP(B742,'MASTER DATA'!$A$1:$E$212,4,FALSE),"")</f>
        <v/>
      </c>
      <c r="G742" s="17"/>
      <c r="H742" s="17"/>
      <c r="I742" s="17"/>
      <c r="J742" s="17" t="b">
        <v>0</v>
      </c>
    </row>
    <row r="743">
      <c r="A743" s="17"/>
      <c r="B743" s="17"/>
      <c r="C743" s="17" t="str">
        <f>IFERROR(VLOOKUP(B743,'MASTER DATA'!$A$1:$E$212,2,FALSE),"")</f>
        <v/>
      </c>
      <c r="D743" s="17" t="str">
        <f>IFERROR(VLOOKUP(B743,'MASTER DATA'!$A$1:$E$212,5,FALSE),"")</f>
        <v/>
      </c>
      <c r="E743" s="17"/>
      <c r="F743" s="17" t="str">
        <f>IFERROR(VLOOKUP(B743,'MASTER DATA'!$A$1:$E$212,4,FALSE),"")</f>
        <v/>
      </c>
      <c r="G743" s="17"/>
      <c r="H743" s="17"/>
      <c r="I743" s="17"/>
      <c r="J743" s="17" t="b">
        <v>0</v>
      </c>
    </row>
    <row r="744">
      <c r="A744" s="17"/>
      <c r="B744" s="17"/>
      <c r="C744" s="17" t="str">
        <f>IFERROR(VLOOKUP(B744,'MASTER DATA'!$A$1:$E$212,2,FALSE),"")</f>
        <v/>
      </c>
      <c r="D744" s="17" t="str">
        <f>IFERROR(VLOOKUP(B744,'MASTER DATA'!$A$1:$E$212,5,FALSE),"")</f>
        <v/>
      </c>
      <c r="E744" s="17"/>
      <c r="F744" s="17" t="str">
        <f>IFERROR(VLOOKUP(B744,'MASTER DATA'!$A$1:$E$212,4,FALSE),"")</f>
        <v/>
      </c>
      <c r="G744" s="17"/>
      <c r="H744" s="17"/>
      <c r="I744" s="17"/>
      <c r="J744" s="17" t="b">
        <v>0</v>
      </c>
    </row>
    <row r="745">
      <c r="A745" s="17"/>
      <c r="B745" s="17"/>
      <c r="C745" s="17" t="str">
        <f>IFERROR(VLOOKUP(B745,'MASTER DATA'!$A$1:$E$212,2,FALSE),"")</f>
        <v/>
      </c>
      <c r="D745" s="17" t="str">
        <f>IFERROR(VLOOKUP(B745,'MASTER DATA'!$A$1:$E$212,5,FALSE),"")</f>
        <v/>
      </c>
      <c r="E745" s="17"/>
      <c r="F745" s="17" t="str">
        <f>IFERROR(VLOOKUP(B745,'MASTER DATA'!$A$1:$E$212,4,FALSE),"")</f>
        <v/>
      </c>
      <c r="G745" s="17"/>
      <c r="H745" s="17"/>
      <c r="I745" s="17"/>
      <c r="J745" s="17" t="b">
        <v>0</v>
      </c>
    </row>
    <row r="746">
      <c r="A746" s="17"/>
      <c r="B746" s="17"/>
      <c r="C746" s="17" t="str">
        <f>IFERROR(VLOOKUP(B746,'MASTER DATA'!$A$1:$E$212,2,FALSE),"")</f>
        <v/>
      </c>
      <c r="D746" s="17" t="str">
        <f>IFERROR(VLOOKUP(B746,'MASTER DATA'!$A$1:$E$212,5,FALSE),"")</f>
        <v/>
      </c>
      <c r="E746" s="17"/>
      <c r="F746" s="17" t="str">
        <f>IFERROR(VLOOKUP(B746,'MASTER DATA'!$A$1:$E$212,4,FALSE),"")</f>
        <v/>
      </c>
      <c r="G746" s="17"/>
      <c r="H746" s="17"/>
      <c r="I746" s="17"/>
      <c r="J746" s="17" t="b">
        <v>0</v>
      </c>
    </row>
    <row r="747">
      <c r="A747" s="17"/>
      <c r="B747" s="17"/>
      <c r="C747" s="17" t="str">
        <f>IFERROR(VLOOKUP(B747,'MASTER DATA'!$A$1:$E$212,2,FALSE),"")</f>
        <v/>
      </c>
      <c r="D747" s="17" t="str">
        <f>IFERROR(VLOOKUP(B747,'MASTER DATA'!$A$1:$E$212,5,FALSE),"")</f>
        <v/>
      </c>
      <c r="E747" s="17"/>
      <c r="F747" s="17" t="str">
        <f>IFERROR(VLOOKUP(B747,'MASTER DATA'!$A$1:$E$212,4,FALSE),"")</f>
        <v/>
      </c>
      <c r="G747" s="17"/>
      <c r="H747" s="17"/>
      <c r="I747" s="17"/>
      <c r="J747" s="17" t="b">
        <v>0</v>
      </c>
    </row>
    <row r="748">
      <c r="A748" s="17"/>
      <c r="B748" s="17"/>
      <c r="C748" s="17" t="str">
        <f>IFERROR(VLOOKUP(B748,'MASTER DATA'!$A$1:$E$212,2,FALSE),"")</f>
        <v/>
      </c>
      <c r="D748" s="17" t="str">
        <f>IFERROR(VLOOKUP(B748,'MASTER DATA'!$A$1:$E$212,5,FALSE),"")</f>
        <v/>
      </c>
      <c r="E748" s="17"/>
      <c r="F748" s="17" t="str">
        <f>IFERROR(VLOOKUP(B748,'MASTER DATA'!$A$1:$E$212,4,FALSE),"")</f>
        <v/>
      </c>
      <c r="G748" s="17"/>
      <c r="H748" s="17"/>
      <c r="I748" s="17"/>
      <c r="J748" s="17" t="b">
        <v>0</v>
      </c>
    </row>
    <row r="749">
      <c r="A749" s="17"/>
      <c r="B749" s="17"/>
      <c r="C749" s="17" t="str">
        <f>IFERROR(VLOOKUP(B749,'MASTER DATA'!$A$1:$E$212,2,FALSE),"")</f>
        <v/>
      </c>
      <c r="D749" s="17" t="str">
        <f>IFERROR(VLOOKUP(B749,'MASTER DATA'!$A$1:$E$212,5,FALSE),"")</f>
        <v/>
      </c>
      <c r="E749" s="17"/>
      <c r="F749" s="17" t="str">
        <f>IFERROR(VLOOKUP(B749,'MASTER DATA'!$A$1:$E$212,4,FALSE),"")</f>
        <v/>
      </c>
      <c r="G749" s="17"/>
      <c r="H749" s="17"/>
      <c r="I749" s="17"/>
      <c r="J749" s="17" t="b">
        <v>0</v>
      </c>
    </row>
    <row r="750">
      <c r="A750" s="17"/>
      <c r="B750" s="17"/>
      <c r="C750" s="17" t="str">
        <f>IFERROR(VLOOKUP(B750,'MASTER DATA'!$A$1:$E$212,2,FALSE),"")</f>
        <v/>
      </c>
      <c r="D750" s="17" t="str">
        <f>IFERROR(VLOOKUP(B750,'MASTER DATA'!$A$1:$E$212,5,FALSE),"")</f>
        <v/>
      </c>
      <c r="E750" s="17"/>
      <c r="F750" s="17" t="str">
        <f>IFERROR(VLOOKUP(B750,'MASTER DATA'!$A$1:$E$212,4,FALSE),"")</f>
        <v/>
      </c>
      <c r="G750" s="17"/>
      <c r="H750" s="17"/>
      <c r="I750" s="17"/>
      <c r="J750" s="17" t="b">
        <v>0</v>
      </c>
    </row>
    <row r="751">
      <c r="A751" s="17"/>
      <c r="B751" s="17"/>
      <c r="C751" s="17" t="str">
        <f>IFERROR(VLOOKUP(B751,'MASTER DATA'!$A$1:$E$212,2,FALSE),"")</f>
        <v/>
      </c>
      <c r="D751" s="17" t="str">
        <f>IFERROR(VLOOKUP(B751,'MASTER DATA'!$A$1:$E$212,5,FALSE),"")</f>
        <v/>
      </c>
      <c r="E751" s="17"/>
      <c r="F751" s="17" t="str">
        <f>IFERROR(VLOOKUP(B751,'MASTER DATA'!$A$1:$E$212,4,FALSE),"")</f>
        <v/>
      </c>
      <c r="G751" s="17"/>
      <c r="H751" s="17"/>
      <c r="I751" s="17"/>
      <c r="J751" s="17" t="b">
        <v>0</v>
      </c>
    </row>
    <row r="752">
      <c r="A752" s="17"/>
      <c r="B752" s="17"/>
      <c r="C752" s="17" t="str">
        <f>IFERROR(VLOOKUP(B752,'MASTER DATA'!$A$1:$E$212,2,FALSE),"")</f>
        <v/>
      </c>
      <c r="D752" s="17" t="str">
        <f>IFERROR(VLOOKUP(B752,'MASTER DATA'!$A$1:$E$212,5,FALSE),"")</f>
        <v/>
      </c>
      <c r="E752" s="17"/>
      <c r="F752" s="17" t="str">
        <f>IFERROR(VLOOKUP(B752,'MASTER DATA'!$A$1:$E$212,4,FALSE),"")</f>
        <v/>
      </c>
      <c r="G752" s="17"/>
      <c r="H752" s="17"/>
      <c r="I752" s="17"/>
      <c r="J752" s="17" t="b">
        <v>0</v>
      </c>
    </row>
    <row r="753">
      <c r="A753" s="17"/>
      <c r="B753" s="17"/>
      <c r="C753" s="17" t="str">
        <f>IFERROR(VLOOKUP(B753,'MASTER DATA'!$A$1:$E$212,2,FALSE),"")</f>
        <v/>
      </c>
      <c r="D753" s="17" t="str">
        <f>IFERROR(VLOOKUP(B753,'MASTER DATA'!$A$1:$E$212,5,FALSE),"")</f>
        <v/>
      </c>
      <c r="E753" s="17"/>
      <c r="F753" s="17" t="str">
        <f>IFERROR(VLOOKUP(B753,'MASTER DATA'!$A$1:$E$212,4,FALSE),"")</f>
        <v/>
      </c>
      <c r="G753" s="17"/>
      <c r="H753" s="17"/>
      <c r="I753" s="17"/>
      <c r="J753" s="17" t="b">
        <v>0</v>
      </c>
    </row>
    <row r="754">
      <c r="A754" s="17"/>
      <c r="B754" s="17"/>
      <c r="C754" s="17" t="str">
        <f>IFERROR(VLOOKUP(B754,'MASTER DATA'!$A$1:$E$212,2,FALSE),"")</f>
        <v/>
      </c>
      <c r="D754" s="17" t="str">
        <f>IFERROR(VLOOKUP(B754,'MASTER DATA'!$A$1:$E$212,5,FALSE),"")</f>
        <v/>
      </c>
      <c r="E754" s="17"/>
      <c r="F754" s="17" t="str">
        <f>IFERROR(VLOOKUP(B754,'MASTER DATA'!$A$1:$E$212,4,FALSE),"")</f>
        <v/>
      </c>
      <c r="G754" s="17"/>
      <c r="H754" s="17"/>
      <c r="I754" s="17"/>
      <c r="J754" s="17" t="b">
        <v>0</v>
      </c>
    </row>
    <row r="755">
      <c r="A755" s="17"/>
      <c r="B755" s="17"/>
      <c r="C755" s="17" t="str">
        <f>IFERROR(VLOOKUP(B755,'MASTER DATA'!$A$1:$E$212,2,FALSE),"")</f>
        <v/>
      </c>
      <c r="D755" s="17" t="str">
        <f>IFERROR(VLOOKUP(B755,'MASTER DATA'!$A$1:$E$212,5,FALSE),"")</f>
        <v/>
      </c>
      <c r="E755" s="17"/>
      <c r="F755" s="17" t="str">
        <f>IFERROR(VLOOKUP(B755,'MASTER DATA'!$A$1:$E$212,4,FALSE),"")</f>
        <v/>
      </c>
      <c r="G755" s="17"/>
      <c r="H755" s="17"/>
      <c r="I755" s="17"/>
      <c r="J755" s="17" t="b">
        <v>0</v>
      </c>
    </row>
    <row r="756">
      <c r="A756" s="17"/>
      <c r="B756" s="17"/>
      <c r="C756" s="17" t="str">
        <f>IFERROR(VLOOKUP(B756,'MASTER DATA'!$A$1:$E$212,2,FALSE),"")</f>
        <v/>
      </c>
      <c r="D756" s="17" t="str">
        <f>IFERROR(VLOOKUP(B756,'MASTER DATA'!$A$1:$E$212,5,FALSE),"")</f>
        <v/>
      </c>
      <c r="E756" s="17"/>
      <c r="F756" s="17" t="str">
        <f>IFERROR(VLOOKUP(B756,'MASTER DATA'!$A$1:$E$212,4,FALSE),"")</f>
        <v/>
      </c>
      <c r="G756" s="17"/>
      <c r="H756" s="17"/>
      <c r="I756" s="17"/>
      <c r="J756" s="17" t="b">
        <v>0</v>
      </c>
    </row>
    <row r="757">
      <c r="A757" s="17"/>
      <c r="B757" s="17"/>
      <c r="C757" s="17" t="str">
        <f>IFERROR(VLOOKUP(B757,'MASTER DATA'!$A$1:$E$212,2,FALSE),"")</f>
        <v/>
      </c>
      <c r="D757" s="17" t="str">
        <f>IFERROR(VLOOKUP(B757,'MASTER DATA'!$A$1:$E$212,5,FALSE),"")</f>
        <v/>
      </c>
      <c r="E757" s="17"/>
      <c r="F757" s="17" t="str">
        <f>IFERROR(VLOOKUP(B757,'MASTER DATA'!$A$1:$E$212,4,FALSE),"")</f>
        <v/>
      </c>
      <c r="G757" s="17"/>
      <c r="H757" s="17"/>
      <c r="I757" s="17"/>
      <c r="J757" s="17" t="b">
        <v>0</v>
      </c>
    </row>
    <row r="758">
      <c r="A758" s="17"/>
      <c r="B758" s="17"/>
      <c r="C758" s="17" t="str">
        <f>IFERROR(VLOOKUP(B758,'MASTER DATA'!$A$1:$E$212,2,FALSE),"")</f>
        <v/>
      </c>
      <c r="D758" s="17" t="str">
        <f>IFERROR(VLOOKUP(B758,'MASTER DATA'!$A$1:$E$212,5,FALSE),"")</f>
        <v/>
      </c>
      <c r="E758" s="17"/>
      <c r="F758" s="17" t="str">
        <f>IFERROR(VLOOKUP(B758,'MASTER DATA'!$A$1:$E$212,4,FALSE),"")</f>
        <v/>
      </c>
      <c r="G758" s="17"/>
      <c r="H758" s="17"/>
      <c r="I758" s="17"/>
      <c r="J758" s="17" t="b">
        <v>0</v>
      </c>
    </row>
    <row r="759">
      <c r="A759" s="17"/>
      <c r="B759" s="17"/>
      <c r="C759" s="17" t="str">
        <f>IFERROR(VLOOKUP(B759,'MASTER DATA'!$A$1:$E$212,2,FALSE),"")</f>
        <v/>
      </c>
      <c r="D759" s="17" t="str">
        <f>IFERROR(VLOOKUP(B759,'MASTER DATA'!$A$1:$E$212,5,FALSE),"")</f>
        <v/>
      </c>
      <c r="E759" s="17"/>
      <c r="F759" s="17" t="str">
        <f>IFERROR(VLOOKUP(B759,'MASTER DATA'!$A$1:$E$212,4,FALSE),"")</f>
        <v/>
      </c>
      <c r="G759" s="17"/>
      <c r="H759" s="17"/>
      <c r="I759" s="17"/>
      <c r="J759" s="17" t="b">
        <v>0</v>
      </c>
    </row>
    <row r="760">
      <c r="A760" s="17"/>
      <c r="B760" s="17"/>
      <c r="C760" s="17" t="str">
        <f>IFERROR(VLOOKUP(B760,'MASTER DATA'!$A$1:$E$212,2,FALSE),"")</f>
        <v/>
      </c>
      <c r="D760" s="17" t="str">
        <f>IFERROR(VLOOKUP(B760,'MASTER DATA'!$A$1:$E$212,5,FALSE),"")</f>
        <v/>
      </c>
      <c r="E760" s="17"/>
      <c r="F760" s="17" t="str">
        <f>IFERROR(VLOOKUP(B760,'MASTER DATA'!$A$1:$E$212,4,FALSE),"")</f>
        <v/>
      </c>
      <c r="G760" s="17"/>
      <c r="H760" s="17"/>
      <c r="I760" s="17"/>
      <c r="J760" s="17" t="b">
        <v>0</v>
      </c>
    </row>
    <row r="761">
      <c r="A761" s="17"/>
      <c r="B761" s="17"/>
      <c r="C761" s="17" t="str">
        <f>IFERROR(VLOOKUP(B761,'MASTER DATA'!$A$1:$E$212,2,FALSE),"")</f>
        <v/>
      </c>
      <c r="D761" s="17" t="str">
        <f>IFERROR(VLOOKUP(B761,'MASTER DATA'!$A$1:$E$212,5,FALSE),"")</f>
        <v/>
      </c>
      <c r="E761" s="17"/>
      <c r="F761" s="17" t="str">
        <f>IFERROR(VLOOKUP(B761,'MASTER DATA'!$A$1:$E$212,4,FALSE),"")</f>
        <v/>
      </c>
      <c r="G761" s="17"/>
      <c r="H761" s="17"/>
      <c r="I761" s="17"/>
      <c r="J761" s="17" t="b">
        <v>0</v>
      </c>
    </row>
    <row r="762">
      <c r="A762" s="17"/>
      <c r="B762" s="17"/>
      <c r="C762" s="17" t="str">
        <f>IFERROR(VLOOKUP(B762,'MASTER DATA'!$A$1:$E$212,2,FALSE),"")</f>
        <v/>
      </c>
      <c r="D762" s="17" t="str">
        <f>IFERROR(VLOOKUP(B762,'MASTER DATA'!$A$1:$E$212,5,FALSE),"")</f>
        <v/>
      </c>
      <c r="E762" s="17"/>
      <c r="F762" s="17" t="str">
        <f>IFERROR(VLOOKUP(B762,'MASTER DATA'!$A$1:$E$212,4,FALSE),"")</f>
        <v/>
      </c>
      <c r="G762" s="17"/>
      <c r="H762" s="17"/>
      <c r="I762" s="17"/>
      <c r="J762" s="17" t="b">
        <v>0</v>
      </c>
    </row>
    <row r="763">
      <c r="A763" s="17"/>
      <c r="B763" s="17"/>
      <c r="C763" s="17" t="str">
        <f>IFERROR(VLOOKUP(B763,'MASTER DATA'!$A$1:$E$212,2,FALSE),"")</f>
        <v/>
      </c>
      <c r="D763" s="17" t="str">
        <f>IFERROR(VLOOKUP(B763,'MASTER DATA'!$A$1:$E$212,5,FALSE),"")</f>
        <v/>
      </c>
      <c r="E763" s="17"/>
      <c r="F763" s="17" t="str">
        <f>IFERROR(VLOOKUP(B763,'MASTER DATA'!$A$1:$E$212,4,FALSE),"")</f>
        <v/>
      </c>
      <c r="G763" s="17"/>
      <c r="H763" s="17"/>
      <c r="I763" s="17"/>
      <c r="J763" s="17" t="b">
        <v>0</v>
      </c>
    </row>
    <row r="764">
      <c r="A764" s="17"/>
      <c r="B764" s="17"/>
      <c r="C764" s="17" t="str">
        <f>IFERROR(VLOOKUP(B764,'MASTER DATA'!$A$1:$E$212,2,FALSE),"")</f>
        <v/>
      </c>
      <c r="D764" s="17" t="str">
        <f>IFERROR(VLOOKUP(B764,'MASTER DATA'!$A$1:$E$212,5,FALSE),"")</f>
        <v/>
      </c>
      <c r="E764" s="17"/>
      <c r="F764" s="17" t="str">
        <f>IFERROR(VLOOKUP(B764,'MASTER DATA'!$A$1:$E$212,4,FALSE),"")</f>
        <v/>
      </c>
      <c r="G764" s="17"/>
      <c r="H764" s="17"/>
      <c r="I764" s="17"/>
      <c r="J764" s="17" t="b">
        <v>0</v>
      </c>
    </row>
    <row r="765">
      <c r="A765" s="17"/>
      <c r="B765" s="17"/>
      <c r="C765" s="17" t="str">
        <f>IFERROR(VLOOKUP(B765,'MASTER DATA'!$A$1:$E$212,2,FALSE),"")</f>
        <v/>
      </c>
      <c r="D765" s="17" t="str">
        <f>IFERROR(VLOOKUP(B765,'MASTER DATA'!$A$1:$E$212,5,FALSE),"")</f>
        <v/>
      </c>
      <c r="E765" s="17"/>
      <c r="F765" s="17" t="str">
        <f>IFERROR(VLOOKUP(B765,'MASTER DATA'!$A$1:$E$212,4,FALSE),"")</f>
        <v/>
      </c>
      <c r="G765" s="17"/>
      <c r="H765" s="17"/>
      <c r="I765" s="17"/>
      <c r="J765" s="17" t="b">
        <v>0</v>
      </c>
    </row>
    <row r="766">
      <c r="A766" s="17"/>
      <c r="B766" s="17"/>
      <c r="C766" s="17" t="str">
        <f>IFERROR(VLOOKUP(B766,'MASTER DATA'!$A$1:$E$212,2,FALSE),"")</f>
        <v/>
      </c>
      <c r="D766" s="17" t="str">
        <f>IFERROR(VLOOKUP(B766,'MASTER DATA'!$A$1:$E$212,5,FALSE),"")</f>
        <v/>
      </c>
      <c r="E766" s="17"/>
      <c r="F766" s="17" t="str">
        <f>IFERROR(VLOOKUP(B766,'MASTER DATA'!$A$1:$E$212,4,FALSE),"")</f>
        <v/>
      </c>
      <c r="G766" s="17"/>
      <c r="H766" s="17"/>
      <c r="I766" s="17"/>
      <c r="J766" s="17" t="b">
        <v>0</v>
      </c>
    </row>
    <row r="767">
      <c r="A767" s="17"/>
      <c r="B767" s="17"/>
      <c r="C767" s="17" t="str">
        <f>IFERROR(VLOOKUP(B767,'MASTER DATA'!$A$1:$E$212,2,FALSE),"")</f>
        <v/>
      </c>
      <c r="D767" s="17" t="str">
        <f>IFERROR(VLOOKUP(B767,'MASTER DATA'!$A$1:$E$212,5,FALSE),"")</f>
        <v/>
      </c>
      <c r="E767" s="17"/>
      <c r="F767" s="17" t="str">
        <f>IFERROR(VLOOKUP(B767,'MASTER DATA'!$A$1:$E$212,4,FALSE),"")</f>
        <v/>
      </c>
      <c r="G767" s="17"/>
      <c r="H767" s="17"/>
      <c r="I767" s="17"/>
      <c r="J767" s="17" t="b">
        <v>0</v>
      </c>
    </row>
    <row r="768">
      <c r="A768" s="17"/>
      <c r="B768" s="17"/>
      <c r="C768" s="17" t="str">
        <f>IFERROR(VLOOKUP(B768,'MASTER DATA'!$A$1:$E$212,2,FALSE),"")</f>
        <v/>
      </c>
      <c r="D768" s="17" t="str">
        <f>IFERROR(VLOOKUP(B768,'MASTER DATA'!$A$1:$E$212,5,FALSE),"")</f>
        <v/>
      </c>
      <c r="E768" s="17"/>
      <c r="F768" s="17" t="str">
        <f>IFERROR(VLOOKUP(B768,'MASTER DATA'!$A$1:$E$212,4,FALSE),"")</f>
        <v/>
      </c>
      <c r="G768" s="17"/>
      <c r="H768" s="17"/>
      <c r="I768" s="17"/>
      <c r="J768" s="17" t="b">
        <v>0</v>
      </c>
    </row>
    <row r="769">
      <c r="A769" s="17"/>
      <c r="B769" s="17"/>
      <c r="C769" s="17" t="str">
        <f>IFERROR(VLOOKUP(B769,'MASTER DATA'!$A$1:$E$212,2,FALSE),"")</f>
        <v/>
      </c>
      <c r="D769" s="17" t="str">
        <f>IFERROR(VLOOKUP(B769,'MASTER DATA'!$A$1:$E$212,5,FALSE),"")</f>
        <v/>
      </c>
      <c r="E769" s="17"/>
      <c r="F769" s="17" t="str">
        <f>IFERROR(VLOOKUP(B769,'MASTER DATA'!$A$1:$E$212,4,FALSE),"")</f>
        <v/>
      </c>
      <c r="G769" s="17"/>
      <c r="H769" s="17"/>
      <c r="I769" s="17"/>
      <c r="J769" s="17" t="b">
        <v>0</v>
      </c>
    </row>
    <row r="770">
      <c r="A770" s="17"/>
      <c r="B770" s="17"/>
      <c r="C770" s="17" t="str">
        <f>IFERROR(VLOOKUP(B770,'MASTER DATA'!$A$1:$E$212,2,FALSE),"")</f>
        <v/>
      </c>
      <c r="D770" s="17" t="str">
        <f>IFERROR(VLOOKUP(B770,'MASTER DATA'!$A$1:$E$212,5,FALSE),"")</f>
        <v/>
      </c>
      <c r="E770" s="17"/>
      <c r="F770" s="17" t="str">
        <f>IFERROR(VLOOKUP(B770,'MASTER DATA'!$A$1:$E$212,4,FALSE),"")</f>
        <v/>
      </c>
      <c r="G770" s="17"/>
      <c r="H770" s="17"/>
      <c r="I770" s="17"/>
      <c r="J770" s="17" t="b">
        <v>0</v>
      </c>
    </row>
    <row r="771">
      <c r="A771" s="17"/>
      <c r="B771" s="17"/>
      <c r="C771" s="17" t="str">
        <f>IFERROR(VLOOKUP(B771,'MASTER DATA'!$A$1:$E$212,2,FALSE),"")</f>
        <v/>
      </c>
      <c r="D771" s="17" t="str">
        <f>IFERROR(VLOOKUP(B771,'MASTER DATA'!$A$1:$E$212,5,FALSE),"")</f>
        <v/>
      </c>
      <c r="E771" s="17"/>
      <c r="F771" s="17" t="str">
        <f>IFERROR(VLOOKUP(B771,'MASTER DATA'!$A$1:$E$212,4,FALSE),"")</f>
        <v/>
      </c>
      <c r="G771" s="17"/>
      <c r="H771" s="17"/>
      <c r="I771" s="17"/>
      <c r="J771" s="17" t="b">
        <v>0</v>
      </c>
    </row>
    <row r="772">
      <c r="A772" s="17"/>
      <c r="B772" s="17"/>
      <c r="C772" s="17" t="str">
        <f>IFERROR(VLOOKUP(B772,'MASTER DATA'!$A$1:$E$212,2,FALSE),"")</f>
        <v/>
      </c>
      <c r="D772" s="17" t="str">
        <f>IFERROR(VLOOKUP(B772,'MASTER DATA'!$A$1:$E$212,5,FALSE),"")</f>
        <v/>
      </c>
      <c r="E772" s="17"/>
      <c r="F772" s="17" t="str">
        <f>IFERROR(VLOOKUP(B772,'MASTER DATA'!$A$1:$E$212,4,FALSE),"")</f>
        <v/>
      </c>
      <c r="G772" s="17"/>
      <c r="H772" s="17"/>
      <c r="I772" s="17"/>
      <c r="J772" s="17" t="b">
        <v>0</v>
      </c>
    </row>
    <row r="773">
      <c r="A773" s="17"/>
      <c r="B773" s="17"/>
      <c r="C773" s="17" t="str">
        <f>IFERROR(VLOOKUP(B773,'MASTER DATA'!$A$1:$E$212,2,FALSE),"")</f>
        <v/>
      </c>
      <c r="D773" s="17" t="str">
        <f>IFERROR(VLOOKUP(B773,'MASTER DATA'!$A$1:$E$212,5,FALSE),"")</f>
        <v/>
      </c>
      <c r="E773" s="17"/>
      <c r="F773" s="17" t="str">
        <f>IFERROR(VLOOKUP(B773,'MASTER DATA'!$A$1:$E$212,4,FALSE),"")</f>
        <v/>
      </c>
      <c r="G773" s="17"/>
      <c r="H773" s="17"/>
      <c r="I773" s="17"/>
      <c r="J773" s="17" t="b">
        <v>0</v>
      </c>
    </row>
    <row r="774">
      <c r="A774" s="17"/>
      <c r="B774" s="17"/>
      <c r="C774" s="17" t="str">
        <f>IFERROR(VLOOKUP(B774,'MASTER DATA'!$A$1:$E$212,2,FALSE),"")</f>
        <v/>
      </c>
      <c r="D774" s="17" t="str">
        <f>IFERROR(VLOOKUP(B774,'MASTER DATA'!$A$1:$E$212,5,FALSE),"")</f>
        <v/>
      </c>
      <c r="E774" s="17"/>
      <c r="F774" s="17" t="str">
        <f>IFERROR(VLOOKUP(B774,'MASTER DATA'!$A$1:$E$212,4,FALSE),"")</f>
        <v/>
      </c>
      <c r="G774" s="17"/>
      <c r="H774" s="17"/>
      <c r="I774" s="17"/>
      <c r="J774" s="17" t="b">
        <v>0</v>
      </c>
    </row>
    <row r="775">
      <c r="A775" s="17"/>
      <c r="B775" s="17"/>
      <c r="C775" s="17" t="str">
        <f>IFERROR(VLOOKUP(B775,'MASTER DATA'!$A$1:$E$212,2,FALSE),"")</f>
        <v/>
      </c>
      <c r="D775" s="17" t="str">
        <f>IFERROR(VLOOKUP(B775,'MASTER DATA'!$A$1:$E$212,5,FALSE),"")</f>
        <v/>
      </c>
      <c r="E775" s="17"/>
      <c r="F775" s="17" t="str">
        <f>IFERROR(VLOOKUP(B775,'MASTER DATA'!$A$1:$E$212,4,FALSE),"")</f>
        <v/>
      </c>
      <c r="G775" s="17"/>
      <c r="H775" s="17"/>
      <c r="I775" s="17"/>
      <c r="J775" s="17" t="b">
        <v>0</v>
      </c>
    </row>
    <row r="776">
      <c r="A776" s="17"/>
      <c r="B776" s="17"/>
      <c r="C776" s="17" t="str">
        <f>IFERROR(VLOOKUP(B776,'MASTER DATA'!$A$1:$E$212,2,FALSE),"")</f>
        <v/>
      </c>
      <c r="D776" s="17" t="str">
        <f>IFERROR(VLOOKUP(B776,'MASTER DATA'!$A$1:$E$212,5,FALSE),"")</f>
        <v/>
      </c>
      <c r="E776" s="17"/>
      <c r="F776" s="17" t="str">
        <f>IFERROR(VLOOKUP(B776,'MASTER DATA'!$A$1:$E$212,4,FALSE),"")</f>
        <v/>
      </c>
      <c r="G776" s="17"/>
      <c r="H776" s="17"/>
      <c r="I776" s="17"/>
      <c r="J776" s="17" t="b">
        <v>0</v>
      </c>
    </row>
    <row r="777">
      <c r="A777" s="17"/>
      <c r="B777" s="17"/>
      <c r="C777" s="17" t="str">
        <f>IFERROR(VLOOKUP(B777,'MASTER DATA'!$A$1:$E$212,2,FALSE),"")</f>
        <v/>
      </c>
      <c r="D777" s="17" t="str">
        <f>IFERROR(VLOOKUP(B777,'MASTER DATA'!$A$1:$E$212,5,FALSE),"")</f>
        <v/>
      </c>
      <c r="E777" s="17"/>
      <c r="F777" s="17" t="str">
        <f>IFERROR(VLOOKUP(B777,'MASTER DATA'!$A$1:$E$212,4,FALSE),"")</f>
        <v/>
      </c>
      <c r="G777" s="17"/>
      <c r="H777" s="17"/>
      <c r="I777" s="17"/>
      <c r="J777" s="17" t="b">
        <v>0</v>
      </c>
    </row>
    <row r="778">
      <c r="A778" s="17"/>
      <c r="B778" s="17"/>
      <c r="C778" s="17" t="str">
        <f>IFERROR(VLOOKUP(B778,'MASTER DATA'!$A$1:$E$212,2,FALSE),"")</f>
        <v/>
      </c>
      <c r="D778" s="17" t="str">
        <f>IFERROR(VLOOKUP(B778,'MASTER DATA'!$A$1:$E$212,5,FALSE),"")</f>
        <v/>
      </c>
      <c r="E778" s="17"/>
      <c r="F778" s="17" t="str">
        <f>IFERROR(VLOOKUP(B778,'MASTER DATA'!$A$1:$E$212,4,FALSE),"")</f>
        <v/>
      </c>
      <c r="G778" s="17"/>
      <c r="H778" s="17"/>
      <c r="I778" s="17"/>
      <c r="J778" s="17" t="b">
        <v>0</v>
      </c>
    </row>
    <row r="779">
      <c r="A779" s="17"/>
      <c r="B779" s="17"/>
      <c r="C779" s="17" t="str">
        <f>IFERROR(VLOOKUP(B779,'MASTER DATA'!$A$1:$E$212,2,FALSE),"")</f>
        <v/>
      </c>
      <c r="D779" s="17" t="str">
        <f>IFERROR(VLOOKUP(B779,'MASTER DATA'!$A$1:$E$212,5,FALSE),"")</f>
        <v/>
      </c>
      <c r="E779" s="17"/>
      <c r="F779" s="17" t="str">
        <f>IFERROR(VLOOKUP(B779,'MASTER DATA'!$A$1:$E$212,4,FALSE),"")</f>
        <v/>
      </c>
      <c r="G779" s="17"/>
      <c r="H779" s="17"/>
      <c r="I779" s="17"/>
      <c r="J779" s="17" t="b">
        <v>0</v>
      </c>
    </row>
    <row r="780">
      <c r="A780" s="17"/>
      <c r="B780" s="17"/>
      <c r="C780" s="17" t="str">
        <f>IFERROR(VLOOKUP(B780,'MASTER DATA'!$A$1:$E$212,2,FALSE),"")</f>
        <v/>
      </c>
      <c r="D780" s="17" t="str">
        <f>IFERROR(VLOOKUP(B780,'MASTER DATA'!$A$1:$E$212,5,FALSE),"")</f>
        <v/>
      </c>
      <c r="E780" s="17"/>
      <c r="F780" s="17" t="str">
        <f>IFERROR(VLOOKUP(B780,'MASTER DATA'!$A$1:$E$212,4,FALSE),"")</f>
        <v/>
      </c>
      <c r="G780" s="17"/>
      <c r="H780" s="17"/>
      <c r="I780" s="17"/>
      <c r="J780" s="17" t="b">
        <v>0</v>
      </c>
    </row>
    <row r="781">
      <c r="A781" s="17"/>
      <c r="B781" s="17"/>
      <c r="C781" s="17" t="str">
        <f>IFERROR(VLOOKUP(B781,'MASTER DATA'!$A$1:$E$212,2,FALSE),"")</f>
        <v/>
      </c>
      <c r="D781" s="17" t="str">
        <f>IFERROR(VLOOKUP(B781,'MASTER DATA'!$A$1:$E$212,5,FALSE),"")</f>
        <v/>
      </c>
      <c r="E781" s="17"/>
      <c r="F781" s="17" t="str">
        <f>IFERROR(VLOOKUP(B781,'MASTER DATA'!$A$1:$E$212,4,FALSE),"")</f>
        <v/>
      </c>
      <c r="G781" s="17"/>
      <c r="H781" s="17"/>
      <c r="I781" s="17"/>
      <c r="J781" s="17" t="b">
        <v>0</v>
      </c>
    </row>
    <row r="782">
      <c r="A782" s="17"/>
      <c r="B782" s="17"/>
      <c r="C782" s="17" t="str">
        <f>IFERROR(VLOOKUP(B782,'MASTER DATA'!$A$1:$E$212,2,FALSE),"")</f>
        <v/>
      </c>
      <c r="D782" s="17" t="str">
        <f>IFERROR(VLOOKUP(B782,'MASTER DATA'!$A$1:$E$212,5,FALSE),"")</f>
        <v/>
      </c>
      <c r="E782" s="17"/>
      <c r="F782" s="17" t="str">
        <f>IFERROR(VLOOKUP(B782,'MASTER DATA'!$A$1:$E$212,4,FALSE),"")</f>
        <v/>
      </c>
      <c r="G782" s="17"/>
      <c r="H782" s="17"/>
      <c r="I782" s="17"/>
      <c r="J782" s="17" t="b">
        <v>0</v>
      </c>
    </row>
    <row r="783">
      <c r="A783" s="17"/>
      <c r="B783" s="17"/>
      <c r="C783" s="17" t="str">
        <f>IFERROR(VLOOKUP(B783,'MASTER DATA'!$A$1:$E$212,2,FALSE),"")</f>
        <v/>
      </c>
      <c r="D783" s="17" t="str">
        <f>IFERROR(VLOOKUP(B783,'MASTER DATA'!$A$1:$E$212,5,FALSE),"")</f>
        <v/>
      </c>
      <c r="E783" s="17"/>
      <c r="F783" s="17" t="str">
        <f>IFERROR(VLOOKUP(B783,'MASTER DATA'!$A$1:$E$212,4,FALSE),"")</f>
        <v/>
      </c>
      <c r="G783" s="17"/>
      <c r="H783" s="17"/>
      <c r="I783" s="17"/>
      <c r="J783" s="17" t="b">
        <v>0</v>
      </c>
    </row>
    <row r="784">
      <c r="A784" s="17"/>
      <c r="B784" s="17"/>
      <c r="C784" s="17" t="str">
        <f>IFERROR(VLOOKUP(B784,'MASTER DATA'!$A$1:$E$212,2,FALSE),"")</f>
        <v/>
      </c>
      <c r="D784" s="17" t="str">
        <f>IFERROR(VLOOKUP(B784,'MASTER DATA'!$A$1:$E$212,5,FALSE),"")</f>
        <v/>
      </c>
      <c r="E784" s="17"/>
      <c r="F784" s="17" t="str">
        <f>IFERROR(VLOOKUP(B784,'MASTER DATA'!$A$1:$E$212,4,FALSE),"")</f>
        <v/>
      </c>
      <c r="G784" s="17"/>
      <c r="H784" s="17"/>
      <c r="I784" s="17"/>
      <c r="J784" s="17" t="b">
        <v>0</v>
      </c>
    </row>
    <row r="785">
      <c r="A785" s="17"/>
      <c r="B785" s="17"/>
      <c r="C785" s="17" t="str">
        <f>IFERROR(VLOOKUP(B785,'MASTER DATA'!$A$1:$E$212,2,FALSE),"")</f>
        <v/>
      </c>
      <c r="D785" s="17" t="str">
        <f>IFERROR(VLOOKUP(B785,'MASTER DATA'!$A$1:$E$212,5,FALSE),"")</f>
        <v/>
      </c>
      <c r="E785" s="17"/>
      <c r="F785" s="17" t="str">
        <f>IFERROR(VLOOKUP(B785,'MASTER DATA'!$A$1:$E$212,4,FALSE),"")</f>
        <v/>
      </c>
      <c r="G785" s="17"/>
      <c r="H785" s="17"/>
      <c r="I785" s="17"/>
      <c r="J785" s="17" t="b">
        <v>0</v>
      </c>
    </row>
    <row r="786">
      <c r="A786" s="17"/>
      <c r="B786" s="17"/>
      <c r="C786" s="17" t="str">
        <f>IFERROR(VLOOKUP(B786,'MASTER DATA'!$A$1:$E$212,2,FALSE),"")</f>
        <v/>
      </c>
      <c r="D786" s="17" t="str">
        <f>IFERROR(VLOOKUP(B786,'MASTER DATA'!$A$1:$E$212,5,FALSE),"")</f>
        <v/>
      </c>
      <c r="E786" s="17"/>
      <c r="F786" s="17" t="str">
        <f>IFERROR(VLOOKUP(B786,'MASTER DATA'!$A$1:$E$212,4,FALSE),"")</f>
        <v/>
      </c>
      <c r="G786" s="17"/>
      <c r="H786" s="17"/>
      <c r="I786" s="17"/>
      <c r="J786" s="17" t="b">
        <v>0</v>
      </c>
    </row>
    <row r="787">
      <c r="A787" s="17"/>
      <c r="B787" s="17"/>
      <c r="C787" s="17" t="str">
        <f>IFERROR(VLOOKUP(B787,'MASTER DATA'!$A$1:$E$212,2,FALSE),"")</f>
        <v/>
      </c>
      <c r="D787" s="17" t="str">
        <f>IFERROR(VLOOKUP(B787,'MASTER DATA'!$A$1:$E$212,5,FALSE),"")</f>
        <v/>
      </c>
      <c r="E787" s="17"/>
      <c r="F787" s="17" t="str">
        <f>IFERROR(VLOOKUP(B787,'MASTER DATA'!$A$1:$E$212,4,FALSE),"")</f>
        <v/>
      </c>
      <c r="G787" s="17"/>
      <c r="H787" s="17"/>
      <c r="I787" s="17"/>
      <c r="J787" s="17" t="b">
        <v>0</v>
      </c>
    </row>
    <row r="788">
      <c r="A788" s="17"/>
      <c r="B788" s="17"/>
      <c r="C788" s="17" t="str">
        <f>IFERROR(VLOOKUP(B788,'MASTER DATA'!$A$1:$E$212,2,FALSE),"")</f>
        <v/>
      </c>
      <c r="D788" s="17" t="str">
        <f>IFERROR(VLOOKUP(B788,'MASTER DATA'!$A$1:$E$212,5,FALSE),"")</f>
        <v/>
      </c>
      <c r="E788" s="17"/>
      <c r="F788" s="17" t="str">
        <f>IFERROR(VLOOKUP(B788,'MASTER DATA'!$A$1:$E$212,4,FALSE),"")</f>
        <v/>
      </c>
      <c r="G788" s="17"/>
      <c r="H788" s="17"/>
      <c r="I788" s="17"/>
      <c r="J788" s="17" t="b">
        <v>0</v>
      </c>
    </row>
    <row r="789">
      <c r="A789" s="17"/>
      <c r="B789" s="17"/>
      <c r="C789" s="17" t="str">
        <f>IFERROR(VLOOKUP(B789,'MASTER DATA'!$A$1:$E$212,2,FALSE),"")</f>
        <v/>
      </c>
      <c r="D789" s="17" t="str">
        <f>IFERROR(VLOOKUP(B789,'MASTER DATA'!$A$1:$E$212,5,FALSE),"")</f>
        <v/>
      </c>
      <c r="E789" s="17"/>
      <c r="F789" s="17" t="str">
        <f>IFERROR(VLOOKUP(B789,'MASTER DATA'!$A$1:$E$212,4,FALSE),"")</f>
        <v/>
      </c>
      <c r="G789" s="17"/>
      <c r="H789" s="17"/>
      <c r="I789" s="17"/>
      <c r="J789" s="17" t="b">
        <v>0</v>
      </c>
    </row>
    <row r="790">
      <c r="A790" s="17"/>
      <c r="B790" s="17"/>
      <c r="C790" s="17" t="str">
        <f>IFERROR(VLOOKUP(B790,'MASTER DATA'!$A$1:$E$212,2,FALSE),"")</f>
        <v/>
      </c>
      <c r="D790" s="17" t="str">
        <f>IFERROR(VLOOKUP(B790,'MASTER DATA'!$A$1:$E$212,5,FALSE),"")</f>
        <v/>
      </c>
      <c r="E790" s="17"/>
      <c r="F790" s="17" t="str">
        <f>IFERROR(VLOOKUP(B790,'MASTER DATA'!$A$1:$E$212,4,FALSE),"")</f>
        <v/>
      </c>
      <c r="G790" s="17"/>
      <c r="H790" s="17"/>
      <c r="I790" s="17"/>
      <c r="J790" s="17" t="b">
        <v>0</v>
      </c>
    </row>
    <row r="791">
      <c r="A791" s="17"/>
      <c r="B791" s="17"/>
      <c r="C791" s="17" t="str">
        <f>IFERROR(VLOOKUP(B791,'MASTER DATA'!$A$1:$E$212,2,FALSE),"")</f>
        <v/>
      </c>
      <c r="D791" s="17" t="str">
        <f>IFERROR(VLOOKUP(B791,'MASTER DATA'!$A$1:$E$212,5,FALSE),"")</f>
        <v/>
      </c>
      <c r="E791" s="17"/>
      <c r="F791" s="17" t="str">
        <f>IFERROR(VLOOKUP(B791,'MASTER DATA'!$A$1:$E$212,4,FALSE),"")</f>
        <v/>
      </c>
      <c r="G791" s="17"/>
      <c r="H791" s="17"/>
      <c r="I791" s="17"/>
      <c r="J791" s="17" t="b">
        <v>0</v>
      </c>
    </row>
    <row r="792">
      <c r="A792" s="17"/>
      <c r="B792" s="17"/>
      <c r="C792" s="17" t="str">
        <f>IFERROR(VLOOKUP(B792,'MASTER DATA'!$A$1:$E$212,2,FALSE),"")</f>
        <v/>
      </c>
      <c r="D792" s="17" t="str">
        <f>IFERROR(VLOOKUP(B792,'MASTER DATA'!$A$1:$E$212,5,FALSE),"")</f>
        <v/>
      </c>
      <c r="E792" s="17"/>
      <c r="F792" s="17" t="str">
        <f>IFERROR(VLOOKUP(B792,'MASTER DATA'!$A$1:$E$212,4,FALSE),"")</f>
        <v/>
      </c>
      <c r="G792" s="17"/>
      <c r="H792" s="17"/>
      <c r="I792" s="17"/>
      <c r="J792" s="17" t="b">
        <v>0</v>
      </c>
    </row>
    <row r="793">
      <c r="A793" s="17"/>
      <c r="B793" s="17"/>
      <c r="C793" s="17" t="str">
        <f>IFERROR(VLOOKUP(B793,'MASTER DATA'!$A$1:$E$212,2,FALSE),"")</f>
        <v/>
      </c>
      <c r="D793" s="17" t="str">
        <f>IFERROR(VLOOKUP(B793,'MASTER DATA'!$A$1:$E$212,5,FALSE),"")</f>
        <v/>
      </c>
      <c r="E793" s="17"/>
      <c r="F793" s="17" t="str">
        <f>IFERROR(VLOOKUP(B793,'MASTER DATA'!$A$1:$E$212,4,FALSE),"")</f>
        <v/>
      </c>
      <c r="G793" s="17"/>
      <c r="H793" s="17"/>
      <c r="I793" s="17"/>
      <c r="J793" s="17" t="b">
        <v>0</v>
      </c>
    </row>
    <row r="794">
      <c r="A794" s="17"/>
      <c r="B794" s="17"/>
      <c r="C794" s="17" t="str">
        <f>IFERROR(VLOOKUP(B794,'MASTER DATA'!$A$1:$E$212,2,FALSE),"")</f>
        <v/>
      </c>
      <c r="D794" s="17" t="str">
        <f>IFERROR(VLOOKUP(B794,'MASTER DATA'!$A$1:$E$212,5,FALSE),"")</f>
        <v/>
      </c>
      <c r="E794" s="17"/>
      <c r="F794" s="17" t="str">
        <f>IFERROR(VLOOKUP(B794,'MASTER DATA'!$A$1:$E$212,4,FALSE),"")</f>
        <v/>
      </c>
      <c r="G794" s="17"/>
      <c r="H794" s="17"/>
      <c r="I794" s="17"/>
      <c r="J794" s="17" t="b">
        <v>0</v>
      </c>
    </row>
    <row r="795">
      <c r="A795" s="17"/>
      <c r="B795" s="17"/>
      <c r="C795" s="17" t="str">
        <f>IFERROR(VLOOKUP(B795,'MASTER DATA'!$A$1:$E$212,2,FALSE),"")</f>
        <v/>
      </c>
      <c r="D795" s="17" t="str">
        <f>IFERROR(VLOOKUP(B795,'MASTER DATA'!$A$1:$E$212,5,FALSE),"")</f>
        <v/>
      </c>
      <c r="E795" s="17"/>
      <c r="F795" s="17" t="str">
        <f>IFERROR(VLOOKUP(B795,'MASTER DATA'!$A$1:$E$212,4,FALSE),"")</f>
        <v/>
      </c>
      <c r="G795" s="17"/>
      <c r="H795" s="17"/>
      <c r="I795" s="17"/>
      <c r="J795" s="17" t="b">
        <v>0</v>
      </c>
    </row>
    <row r="796">
      <c r="A796" s="17"/>
      <c r="B796" s="17"/>
      <c r="C796" s="17" t="str">
        <f>IFERROR(VLOOKUP(B796,'MASTER DATA'!$A$1:$E$212,2,FALSE),"")</f>
        <v/>
      </c>
      <c r="D796" s="17" t="str">
        <f>IFERROR(VLOOKUP(B796,'MASTER DATA'!$A$1:$E$212,5,FALSE),"")</f>
        <v/>
      </c>
      <c r="E796" s="17"/>
      <c r="F796" s="17" t="str">
        <f>IFERROR(VLOOKUP(B796,'MASTER DATA'!$A$1:$E$212,4,FALSE),"")</f>
        <v/>
      </c>
      <c r="G796" s="17"/>
      <c r="H796" s="17"/>
      <c r="I796" s="17"/>
      <c r="J796" s="17" t="b">
        <v>0</v>
      </c>
    </row>
    <row r="797">
      <c r="A797" s="17"/>
      <c r="B797" s="17"/>
      <c r="C797" s="17" t="str">
        <f>IFERROR(VLOOKUP(B797,'MASTER DATA'!$A$1:$E$212,2,FALSE),"")</f>
        <v/>
      </c>
      <c r="D797" s="17" t="str">
        <f>IFERROR(VLOOKUP(B797,'MASTER DATA'!$A$1:$E$212,5,FALSE),"")</f>
        <v/>
      </c>
      <c r="E797" s="17"/>
      <c r="F797" s="17" t="str">
        <f>IFERROR(VLOOKUP(B797,'MASTER DATA'!$A$1:$E$212,4,FALSE),"")</f>
        <v/>
      </c>
      <c r="G797" s="17"/>
      <c r="H797" s="17"/>
      <c r="I797" s="17"/>
      <c r="J797" s="17" t="b">
        <v>0</v>
      </c>
    </row>
    <row r="798">
      <c r="A798" s="17"/>
      <c r="B798" s="17"/>
      <c r="C798" s="17" t="str">
        <f>IFERROR(VLOOKUP(B798,'MASTER DATA'!$A$1:$E$212,2,FALSE),"")</f>
        <v/>
      </c>
      <c r="D798" s="17" t="str">
        <f>IFERROR(VLOOKUP(B798,'MASTER DATA'!$A$1:$E$212,5,FALSE),"")</f>
        <v/>
      </c>
      <c r="E798" s="17"/>
      <c r="F798" s="17" t="str">
        <f>IFERROR(VLOOKUP(B798,'MASTER DATA'!$A$1:$E$212,4,FALSE),"")</f>
        <v/>
      </c>
      <c r="G798" s="17"/>
      <c r="H798" s="17"/>
      <c r="I798" s="17"/>
      <c r="J798" s="17" t="b">
        <v>0</v>
      </c>
    </row>
    <row r="799">
      <c r="A799" s="17"/>
      <c r="B799" s="17"/>
      <c r="C799" s="17" t="str">
        <f>IFERROR(VLOOKUP(B799,'MASTER DATA'!$A$1:$E$212,2,FALSE),"")</f>
        <v/>
      </c>
      <c r="D799" s="17" t="str">
        <f>IFERROR(VLOOKUP(B799,'MASTER DATA'!$A$1:$E$212,5,FALSE),"")</f>
        <v/>
      </c>
      <c r="E799" s="17"/>
      <c r="F799" s="17" t="str">
        <f>IFERROR(VLOOKUP(B799,'MASTER DATA'!$A$1:$E$212,4,FALSE),"")</f>
        <v/>
      </c>
      <c r="G799" s="17"/>
      <c r="H799" s="17"/>
      <c r="I799" s="17"/>
      <c r="J799" s="17" t="b">
        <v>0</v>
      </c>
    </row>
    <row r="800">
      <c r="A800" s="17"/>
      <c r="B800" s="17"/>
      <c r="C800" s="17" t="str">
        <f>IFERROR(VLOOKUP(B800,'MASTER DATA'!$A$1:$E$212,2,FALSE),"")</f>
        <v/>
      </c>
      <c r="D800" s="17" t="str">
        <f>IFERROR(VLOOKUP(B800,'MASTER DATA'!$A$1:$E$212,5,FALSE),"")</f>
        <v/>
      </c>
      <c r="E800" s="17"/>
      <c r="F800" s="17" t="str">
        <f>IFERROR(VLOOKUP(B800,'MASTER DATA'!$A$1:$E$212,4,FALSE),"")</f>
        <v/>
      </c>
      <c r="G800" s="17"/>
      <c r="H800" s="17"/>
      <c r="I800" s="17"/>
      <c r="J800" s="17" t="b">
        <v>0</v>
      </c>
    </row>
    <row r="801">
      <c r="A801" s="17"/>
      <c r="B801" s="17"/>
      <c r="C801" s="17" t="str">
        <f>IFERROR(VLOOKUP(B801,'MASTER DATA'!$A$1:$E$212,2,FALSE),"")</f>
        <v/>
      </c>
      <c r="D801" s="17" t="str">
        <f>IFERROR(VLOOKUP(B801,'MASTER DATA'!$A$1:$E$212,5,FALSE),"")</f>
        <v/>
      </c>
      <c r="E801" s="17"/>
      <c r="F801" s="17" t="str">
        <f>IFERROR(VLOOKUP(B801,'MASTER DATA'!$A$1:$E$212,4,FALSE),"")</f>
        <v/>
      </c>
      <c r="G801" s="17"/>
      <c r="H801" s="17"/>
      <c r="I801" s="17"/>
      <c r="J801" s="17" t="b">
        <v>0</v>
      </c>
    </row>
    <row r="802">
      <c r="A802" s="17"/>
      <c r="B802" s="17"/>
      <c r="C802" s="17" t="str">
        <f>IFERROR(VLOOKUP(B802,'MASTER DATA'!$A$1:$E$212,2,FALSE),"")</f>
        <v/>
      </c>
      <c r="D802" s="17" t="str">
        <f>IFERROR(VLOOKUP(B802,'MASTER DATA'!$A$1:$E$212,5,FALSE),"")</f>
        <v/>
      </c>
      <c r="E802" s="17"/>
      <c r="F802" s="17" t="str">
        <f>IFERROR(VLOOKUP(B802,'MASTER DATA'!$A$1:$E$212,4,FALSE),"")</f>
        <v/>
      </c>
      <c r="G802" s="17"/>
      <c r="H802" s="17"/>
      <c r="I802" s="17"/>
      <c r="J802" s="17" t="b">
        <v>0</v>
      </c>
    </row>
    <row r="803">
      <c r="A803" s="17"/>
      <c r="B803" s="17"/>
      <c r="C803" s="17" t="str">
        <f>IFERROR(VLOOKUP(B803,'MASTER DATA'!$A$1:$E$212,2,FALSE),"")</f>
        <v/>
      </c>
      <c r="D803" s="17" t="str">
        <f>IFERROR(VLOOKUP(B803,'MASTER DATA'!$A$1:$E$212,5,FALSE),"")</f>
        <v/>
      </c>
      <c r="E803" s="17"/>
      <c r="F803" s="17" t="str">
        <f>IFERROR(VLOOKUP(B803,'MASTER DATA'!$A$1:$E$212,4,FALSE),"")</f>
        <v/>
      </c>
      <c r="G803" s="17"/>
      <c r="H803" s="17"/>
      <c r="I803" s="17"/>
      <c r="J803" s="17" t="b">
        <v>0</v>
      </c>
    </row>
    <row r="804">
      <c r="A804" s="17"/>
      <c r="B804" s="17"/>
      <c r="C804" s="17" t="str">
        <f>IFERROR(VLOOKUP(B804,'MASTER DATA'!$A$1:$E$212,2,FALSE),"")</f>
        <v/>
      </c>
      <c r="D804" s="17" t="str">
        <f>IFERROR(VLOOKUP(B804,'MASTER DATA'!$A$1:$E$212,5,FALSE),"")</f>
        <v/>
      </c>
      <c r="E804" s="17"/>
      <c r="F804" s="17" t="str">
        <f>IFERROR(VLOOKUP(B804,'MASTER DATA'!$A$1:$E$212,4,FALSE),"")</f>
        <v/>
      </c>
      <c r="G804" s="17"/>
      <c r="H804" s="17"/>
      <c r="I804" s="17"/>
      <c r="J804" s="17" t="b">
        <v>0</v>
      </c>
    </row>
    <row r="805">
      <c r="A805" s="17"/>
      <c r="B805" s="17"/>
      <c r="C805" s="17" t="str">
        <f>IFERROR(VLOOKUP(B805,'MASTER DATA'!$A$1:$E$212,2,FALSE),"")</f>
        <v/>
      </c>
      <c r="D805" s="17" t="str">
        <f>IFERROR(VLOOKUP(B805,'MASTER DATA'!$A$1:$E$212,5,FALSE),"")</f>
        <v/>
      </c>
      <c r="E805" s="17"/>
      <c r="F805" s="17" t="str">
        <f>IFERROR(VLOOKUP(B805,'MASTER DATA'!$A$1:$E$212,4,FALSE),"")</f>
        <v/>
      </c>
      <c r="G805" s="17"/>
      <c r="H805" s="17"/>
      <c r="I805" s="17"/>
      <c r="J805" s="17" t="b">
        <v>0</v>
      </c>
    </row>
    <row r="806">
      <c r="A806" s="17"/>
      <c r="B806" s="17"/>
      <c r="C806" s="17" t="str">
        <f>IFERROR(VLOOKUP(B806,'MASTER DATA'!$A$1:$E$212,2,FALSE),"")</f>
        <v/>
      </c>
      <c r="D806" s="17" t="str">
        <f>IFERROR(VLOOKUP(B806,'MASTER DATA'!$A$1:$E$212,5,FALSE),"")</f>
        <v/>
      </c>
      <c r="E806" s="17"/>
      <c r="F806" s="17" t="str">
        <f>IFERROR(VLOOKUP(B806,'MASTER DATA'!$A$1:$E$212,4,FALSE),"")</f>
        <v/>
      </c>
      <c r="G806" s="17"/>
      <c r="H806" s="17"/>
      <c r="I806" s="17"/>
      <c r="J806" s="17" t="b">
        <v>0</v>
      </c>
    </row>
    <row r="807">
      <c r="A807" s="17"/>
      <c r="B807" s="17"/>
      <c r="C807" s="17" t="str">
        <f>IFERROR(VLOOKUP(B807,'MASTER DATA'!$A$1:$E$212,2,FALSE),"")</f>
        <v/>
      </c>
      <c r="D807" s="17" t="str">
        <f>IFERROR(VLOOKUP(B807,'MASTER DATA'!$A$1:$E$212,5,FALSE),"")</f>
        <v/>
      </c>
      <c r="E807" s="17"/>
      <c r="F807" s="17" t="str">
        <f>IFERROR(VLOOKUP(B807,'MASTER DATA'!$A$1:$E$212,4,FALSE),"")</f>
        <v/>
      </c>
      <c r="G807" s="17"/>
      <c r="H807" s="17"/>
      <c r="I807" s="17"/>
      <c r="J807" s="17" t="b">
        <v>0</v>
      </c>
    </row>
    <row r="808">
      <c r="A808" s="17"/>
      <c r="B808" s="17"/>
      <c r="C808" s="17" t="str">
        <f>IFERROR(VLOOKUP(B808,'MASTER DATA'!$A$1:$E$212,2,FALSE),"")</f>
        <v/>
      </c>
      <c r="D808" s="17" t="str">
        <f>IFERROR(VLOOKUP(B808,'MASTER DATA'!$A$1:$E$212,5,FALSE),"")</f>
        <v/>
      </c>
      <c r="E808" s="17"/>
      <c r="F808" s="17" t="str">
        <f>IFERROR(VLOOKUP(B808,'MASTER DATA'!$A$1:$E$212,4,FALSE),"")</f>
        <v/>
      </c>
      <c r="G808" s="17"/>
      <c r="H808" s="17"/>
      <c r="I808" s="17"/>
      <c r="J808" s="17" t="b">
        <v>0</v>
      </c>
    </row>
    <row r="809">
      <c r="A809" s="17"/>
      <c r="B809" s="17"/>
      <c r="C809" s="17" t="str">
        <f>IFERROR(VLOOKUP(B809,'MASTER DATA'!$A$1:$E$212,2,FALSE),"")</f>
        <v/>
      </c>
      <c r="D809" s="17" t="str">
        <f>IFERROR(VLOOKUP(B809,'MASTER DATA'!$A$1:$E$212,5,FALSE),"")</f>
        <v/>
      </c>
      <c r="E809" s="17"/>
      <c r="F809" s="17" t="str">
        <f>IFERROR(VLOOKUP(B809,'MASTER DATA'!$A$1:$E$212,4,FALSE),"")</f>
        <v/>
      </c>
      <c r="G809" s="17"/>
      <c r="H809" s="17"/>
      <c r="I809" s="17"/>
      <c r="J809" s="17" t="b">
        <v>0</v>
      </c>
    </row>
    <row r="810">
      <c r="A810" s="17"/>
      <c r="B810" s="17"/>
      <c r="C810" s="17" t="str">
        <f>IFERROR(VLOOKUP(B810,'MASTER DATA'!$A$1:$E$212,2,FALSE),"")</f>
        <v/>
      </c>
      <c r="D810" s="17" t="str">
        <f>IFERROR(VLOOKUP(B810,'MASTER DATA'!$A$1:$E$212,5,FALSE),"")</f>
        <v/>
      </c>
      <c r="E810" s="17"/>
      <c r="F810" s="17" t="str">
        <f>IFERROR(VLOOKUP(B810,'MASTER DATA'!$A$1:$E$212,4,FALSE),"")</f>
        <v/>
      </c>
      <c r="G810" s="17"/>
      <c r="H810" s="17"/>
      <c r="I810" s="17"/>
      <c r="J810" s="17" t="b">
        <v>0</v>
      </c>
    </row>
    <row r="811">
      <c r="A811" s="17"/>
      <c r="B811" s="17"/>
      <c r="C811" s="17" t="str">
        <f>IFERROR(VLOOKUP(B811,'MASTER DATA'!$A$1:$E$212,2,FALSE),"")</f>
        <v/>
      </c>
      <c r="D811" s="17" t="str">
        <f>IFERROR(VLOOKUP(B811,'MASTER DATA'!$A$1:$E$212,5,FALSE),"")</f>
        <v/>
      </c>
      <c r="E811" s="17"/>
      <c r="F811" s="17" t="str">
        <f>IFERROR(VLOOKUP(B811,'MASTER DATA'!$A$1:$E$212,4,FALSE),"")</f>
        <v/>
      </c>
      <c r="G811" s="17"/>
      <c r="H811" s="17"/>
      <c r="I811" s="17"/>
      <c r="J811" s="17" t="b">
        <v>0</v>
      </c>
    </row>
    <row r="812">
      <c r="A812" s="17"/>
      <c r="B812" s="17"/>
      <c r="C812" s="17" t="str">
        <f>IFERROR(VLOOKUP(B812,'MASTER DATA'!$A$1:$E$212,2,FALSE),"")</f>
        <v/>
      </c>
      <c r="D812" s="17" t="str">
        <f>IFERROR(VLOOKUP(B812,'MASTER DATA'!$A$1:$E$212,5,FALSE),"")</f>
        <v/>
      </c>
      <c r="E812" s="17"/>
      <c r="F812" s="17" t="str">
        <f>IFERROR(VLOOKUP(B812,'MASTER DATA'!$A$1:$E$212,4,FALSE),"")</f>
        <v/>
      </c>
      <c r="G812" s="17"/>
      <c r="H812" s="17"/>
      <c r="I812" s="17"/>
      <c r="J812" s="17" t="b">
        <v>0</v>
      </c>
    </row>
    <row r="813">
      <c r="A813" s="17"/>
      <c r="B813" s="17"/>
      <c r="C813" s="17" t="str">
        <f>IFERROR(VLOOKUP(B813,'MASTER DATA'!$A$1:$E$212,2,FALSE),"")</f>
        <v/>
      </c>
      <c r="D813" s="17" t="str">
        <f>IFERROR(VLOOKUP(B813,'MASTER DATA'!$A$1:$E$212,5,FALSE),"")</f>
        <v/>
      </c>
      <c r="E813" s="17"/>
      <c r="F813" s="17" t="str">
        <f>IFERROR(VLOOKUP(B813,'MASTER DATA'!$A$1:$E$212,4,FALSE),"")</f>
        <v/>
      </c>
      <c r="G813" s="17"/>
      <c r="H813" s="17"/>
      <c r="I813" s="17"/>
      <c r="J813" s="17" t="b">
        <v>0</v>
      </c>
    </row>
    <row r="814">
      <c r="A814" s="17"/>
      <c r="B814" s="17"/>
      <c r="C814" s="17" t="str">
        <f>IFERROR(VLOOKUP(B814,'MASTER DATA'!$A$1:$E$212,2,FALSE),"")</f>
        <v/>
      </c>
      <c r="D814" s="17" t="str">
        <f>IFERROR(VLOOKUP(B814,'MASTER DATA'!$A$1:$E$212,5,FALSE),"")</f>
        <v/>
      </c>
      <c r="E814" s="17"/>
      <c r="F814" s="17" t="str">
        <f>IFERROR(VLOOKUP(B814,'MASTER DATA'!$A$1:$E$212,4,FALSE),"")</f>
        <v/>
      </c>
      <c r="G814" s="17"/>
      <c r="H814" s="17"/>
      <c r="I814" s="17"/>
      <c r="J814" s="17" t="b">
        <v>0</v>
      </c>
    </row>
    <row r="815">
      <c r="A815" s="17"/>
      <c r="B815" s="17"/>
      <c r="C815" s="17" t="str">
        <f>IFERROR(VLOOKUP(B815,'MASTER DATA'!$A$1:$E$212,2,FALSE),"")</f>
        <v/>
      </c>
      <c r="D815" s="17" t="str">
        <f>IFERROR(VLOOKUP(B815,'MASTER DATA'!$A$1:$E$212,5,FALSE),"")</f>
        <v/>
      </c>
      <c r="E815" s="17"/>
      <c r="F815" s="17" t="str">
        <f>IFERROR(VLOOKUP(B815,'MASTER DATA'!$A$1:$E$212,4,FALSE),"")</f>
        <v/>
      </c>
      <c r="G815" s="17"/>
      <c r="H815" s="17"/>
      <c r="I815" s="17"/>
      <c r="J815" s="17" t="b">
        <v>0</v>
      </c>
    </row>
    <row r="816">
      <c r="A816" s="17"/>
      <c r="B816" s="17"/>
      <c r="C816" s="17" t="str">
        <f>IFERROR(VLOOKUP(B816,'MASTER DATA'!$A$1:$E$212,2,FALSE),"")</f>
        <v/>
      </c>
      <c r="D816" s="17" t="str">
        <f>IFERROR(VLOOKUP(B816,'MASTER DATA'!$A$1:$E$212,5,FALSE),"")</f>
        <v/>
      </c>
      <c r="E816" s="17"/>
      <c r="F816" s="17" t="str">
        <f>IFERROR(VLOOKUP(B816,'MASTER DATA'!$A$1:$E$212,4,FALSE),"")</f>
        <v/>
      </c>
      <c r="G816" s="17"/>
      <c r="H816" s="17"/>
      <c r="I816" s="17"/>
      <c r="J816" s="17" t="b">
        <v>0</v>
      </c>
    </row>
    <row r="817">
      <c r="A817" s="17"/>
      <c r="B817" s="17"/>
      <c r="C817" s="17" t="str">
        <f>IFERROR(VLOOKUP(B817,'MASTER DATA'!$A$1:$E$212,2,FALSE),"")</f>
        <v/>
      </c>
      <c r="D817" s="17" t="str">
        <f>IFERROR(VLOOKUP(B817,'MASTER DATA'!$A$1:$E$212,5,FALSE),"")</f>
        <v/>
      </c>
      <c r="E817" s="17"/>
      <c r="F817" s="17" t="str">
        <f>IFERROR(VLOOKUP(B817,'MASTER DATA'!$A$1:$E$212,4,FALSE),"")</f>
        <v/>
      </c>
      <c r="G817" s="17"/>
      <c r="H817" s="17"/>
      <c r="I817" s="17"/>
      <c r="J817" s="17" t="b">
        <v>0</v>
      </c>
    </row>
    <row r="818">
      <c r="A818" s="17"/>
      <c r="B818" s="17"/>
      <c r="C818" s="17" t="str">
        <f>IFERROR(VLOOKUP(B818,'MASTER DATA'!$A$1:$E$212,2,FALSE),"")</f>
        <v/>
      </c>
      <c r="D818" s="17" t="str">
        <f>IFERROR(VLOOKUP(B818,'MASTER DATA'!$A$1:$E$212,5,FALSE),"")</f>
        <v/>
      </c>
      <c r="E818" s="17"/>
      <c r="F818" s="17" t="str">
        <f>IFERROR(VLOOKUP(B818,'MASTER DATA'!$A$1:$E$212,4,FALSE),"")</f>
        <v/>
      </c>
      <c r="G818" s="17"/>
      <c r="H818" s="17"/>
      <c r="I818" s="17"/>
      <c r="J818" s="17" t="b">
        <v>0</v>
      </c>
    </row>
    <row r="819">
      <c r="A819" s="17"/>
      <c r="B819" s="17"/>
      <c r="C819" s="17" t="str">
        <f>IFERROR(VLOOKUP(B819,'MASTER DATA'!$A$1:$E$212,2,FALSE),"")</f>
        <v/>
      </c>
      <c r="D819" s="17" t="str">
        <f>IFERROR(VLOOKUP(B819,'MASTER DATA'!$A$1:$E$212,5,FALSE),"")</f>
        <v/>
      </c>
      <c r="E819" s="17"/>
      <c r="F819" s="17" t="str">
        <f>IFERROR(VLOOKUP(B819,'MASTER DATA'!$A$1:$E$212,4,FALSE),"")</f>
        <v/>
      </c>
      <c r="G819" s="17"/>
      <c r="H819" s="17"/>
      <c r="I819" s="17"/>
      <c r="J819" s="17" t="b">
        <v>0</v>
      </c>
    </row>
    <row r="820">
      <c r="A820" s="17"/>
      <c r="B820" s="17"/>
      <c r="C820" s="17" t="str">
        <f>IFERROR(VLOOKUP(B820,'MASTER DATA'!$A$1:$E$212,2,FALSE),"")</f>
        <v/>
      </c>
      <c r="D820" s="17" t="str">
        <f>IFERROR(VLOOKUP(B820,'MASTER DATA'!$A$1:$E$212,5,FALSE),"")</f>
        <v/>
      </c>
      <c r="E820" s="17"/>
      <c r="F820" s="17" t="str">
        <f>IFERROR(VLOOKUP(B820,'MASTER DATA'!$A$1:$E$212,4,FALSE),"")</f>
        <v/>
      </c>
      <c r="G820" s="17"/>
      <c r="H820" s="17"/>
      <c r="I820" s="17"/>
      <c r="J820" s="17" t="b">
        <v>0</v>
      </c>
    </row>
    <row r="821">
      <c r="A821" s="17"/>
      <c r="B821" s="17"/>
      <c r="C821" s="17" t="str">
        <f>IFERROR(VLOOKUP(B821,'MASTER DATA'!$A$1:$E$212,2,FALSE),"")</f>
        <v/>
      </c>
      <c r="D821" s="17" t="str">
        <f>IFERROR(VLOOKUP(B821,'MASTER DATA'!$A$1:$E$212,5,FALSE),"")</f>
        <v/>
      </c>
      <c r="E821" s="17"/>
      <c r="F821" s="17" t="str">
        <f>IFERROR(VLOOKUP(B821,'MASTER DATA'!$A$1:$E$212,4,FALSE),"")</f>
        <v/>
      </c>
      <c r="G821" s="17"/>
      <c r="H821" s="17"/>
      <c r="I821" s="17"/>
      <c r="J821" s="17" t="b">
        <v>0</v>
      </c>
    </row>
    <row r="822">
      <c r="A822" s="17"/>
      <c r="B822" s="17"/>
      <c r="C822" s="17" t="str">
        <f>IFERROR(VLOOKUP(B822,'MASTER DATA'!$A$1:$E$212,2,FALSE),"")</f>
        <v/>
      </c>
      <c r="D822" s="17" t="str">
        <f>IFERROR(VLOOKUP(B822,'MASTER DATA'!$A$1:$E$212,5,FALSE),"")</f>
        <v/>
      </c>
      <c r="E822" s="17"/>
      <c r="F822" s="17" t="str">
        <f>IFERROR(VLOOKUP(B822,'MASTER DATA'!$A$1:$E$212,4,FALSE),"")</f>
        <v/>
      </c>
      <c r="G822" s="17"/>
      <c r="H822" s="17"/>
      <c r="I822" s="17"/>
      <c r="J822" s="17" t="b">
        <v>0</v>
      </c>
    </row>
    <row r="823">
      <c r="A823" s="17"/>
      <c r="B823" s="17"/>
      <c r="C823" s="17" t="str">
        <f>IFERROR(VLOOKUP(B823,'MASTER DATA'!$A$1:$E$212,2,FALSE),"")</f>
        <v/>
      </c>
      <c r="D823" s="17" t="str">
        <f>IFERROR(VLOOKUP(B823,'MASTER DATA'!$A$1:$E$212,5,FALSE),"")</f>
        <v/>
      </c>
      <c r="E823" s="17"/>
      <c r="F823" s="17" t="str">
        <f>IFERROR(VLOOKUP(B823,'MASTER DATA'!$A$1:$E$212,4,FALSE),"")</f>
        <v/>
      </c>
      <c r="G823" s="17"/>
      <c r="H823" s="17"/>
      <c r="I823" s="17"/>
      <c r="J823" s="17" t="b">
        <v>0</v>
      </c>
    </row>
    <row r="824">
      <c r="A824" s="17"/>
      <c r="B824" s="17"/>
      <c r="C824" s="17" t="str">
        <f>IFERROR(VLOOKUP(B824,'MASTER DATA'!$A$1:$E$212,2,FALSE),"")</f>
        <v/>
      </c>
      <c r="D824" s="17" t="str">
        <f>IFERROR(VLOOKUP(B824,'MASTER DATA'!$A$1:$E$212,5,FALSE),"")</f>
        <v/>
      </c>
      <c r="E824" s="17"/>
      <c r="F824" s="17" t="str">
        <f>IFERROR(VLOOKUP(B824,'MASTER DATA'!$A$1:$E$212,4,FALSE),"")</f>
        <v/>
      </c>
      <c r="G824" s="17"/>
      <c r="H824" s="17"/>
      <c r="I824" s="17"/>
      <c r="J824" s="17" t="b">
        <v>0</v>
      </c>
    </row>
    <row r="825">
      <c r="A825" s="17"/>
      <c r="B825" s="17"/>
      <c r="C825" s="17" t="str">
        <f>IFERROR(VLOOKUP(B825,'MASTER DATA'!$A$1:$E$212,2,FALSE),"")</f>
        <v/>
      </c>
      <c r="D825" s="17" t="str">
        <f>IFERROR(VLOOKUP(B825,'MASTER DATA'!$A$1:$E$212,5,FALSE),"")</f>
        <v/>
      </c>
      <c r="E825" s="17"/>
      <c r="F825" s="17" t="str">
        <f>IFERROR(VLOOKUP(B825,'MASTER DATA'!$A$1:$E$212,4,FALSE),"")</f>
        <v/>
      </c>
      <c r="G825" s="17"/>
      <c r="H825" s="17"/>
      <c r="I825" s="17"/>
      <c r="J825" s="17" t="b">
        <v>0</v>
      </c>
    </row>
    <row r="826">
      <c r="A826" s="17"/>
      <c r="B826" s="17"/>
      <c r="C826" s="17" t="str">
        <f>IFERROR(VLOOKUP(B826,'MASTER DATA'!$A$1:$E$212,2,FALSE),"")</f>
        <v/>
      </c>
      <c r="D826" s="17" t="str">
        <f>IFERROR(VLOOKUP(B826,'MASTER DATA'!$A$1:$E$212,5,FALSE),"")</f>
        <v/>
      </c>
      <c r="E826" s="17"/>
      <c r="F826" s="17" t="str">
        <f>IFERROR(VLOOKUP(B826,'MASTER DATA'!$A$1:$E$212,4,FALSE),"")</f>
        <v/>
      </c>
      <c r="G826" s="17"/>
      <c r="H826" s="17"/>
      <c r="I826" s="17"/>
      <c r="J826" s="17" t="b">
        <v>0</v>
      </c>
    </row>
    <row r="827">
      <c r="A827" s="17"/>
      <c r="B827" s="17"/>
      <c r="C827" s="17" t="str">
        <f>IFERROR(VLOOKUP(B827,'MASTER DATA'!$A$1:$E$212,2,FALSE),"")</f>
        <v/>
      </c>
      <c r="D827" s="17" t="str">
        <f>IFERROR(VLOOKUP(B827,'MASTER DATA'!$A$1:$E$212,5,FALSE),"")</f>
        <v/>
      </c>
      <c r="E827" s="17"/>
      <c r="F827" s="17" t="str">
        <f>IFERROR(VLOOKUP(B827,'MASTER DATA'!$A$1:$E$212,4,FALSE),"")</f>
        <v/>
      </c>
      <c r="G827" s="17"/>
      <c r="H827" s="17"/>
      <c r="I827" s="17"/>
      <c r="J827" s="17" t="b">
        <v>0</v>
      </c>
    </row>
    <row r="828">
      <c r="A828" s="17"/>
      <c r="B828" s="17"/>
      <c r="C828" s="17" t="str">
        <f>IFERROR(VLOOKUP(B828,'MASTER DATA'!$A$1:$E$212,2,FALSE),"")</f>
        <v/>
      </c>
      <c r="D828" s="17" t="str">
        <f>IFERROR(VLOOKUP(B828,'MASTER DATA'!$A$1:$E$212,5,FALSE),"")</f>
        <v/>
      </c>
      <c r="E828" s="17"/>
      <c r="F828" s="17" t="str">
        <f>IFERROR(VLOOKUP(B828,'MASTER DATA'!$A$1:$E$212,4,FALSE),"")</f>
        <v/>
      </c>
      <c r="G828" s="17"/>
      <c r="H828" s="17"/>
      <c r="I828" s="17"/>
      <c r="J828" s="17" t="b">
        <v>0</v>
      </c>
    </row>
    <row r="829">
      <c r="A829" s="17"/>
      <c r="B829" s="17"/>
      <c r="C829" s="17" t="str">
        <f>IFERROR(VLOOKUP(B829,'MASTER DATA'!$A$1:$E$212,2,FALSE),"")</f>
        <v/>
      </c>
      <c r="D829" s="17" t="str">
        <f>IFERROR(VLOOKUP(B829,'MASTER DATA'!$A$1:$E$212,5,FALSE),"")</f>
        <v/>
      </c>
      <c r="E829" s="17"/>
      <c r="F829" s="17" t="str">
        <f>IFERROR(VLOOKUP(B829,'MASTER DATA'!$A$1:$E$212,4,FALSE),"")</f>
        <v/>
      </c>
      <c r="G829" s="17"/>
      <c r="H829" s="17"/>
      <c r="I829" s="17"/>
      <c r="J829" s="17" t="b">
        <v>0</v>
      </c>
    </row>
    <row r="830">
      <c r="A830" s="17"/>
      <c r="B830" s="17"/>
      <c r="C830" s="17" t="str">
        <f>IFERROR(VLOOKUP(B830,'MASTER DATA'!$A$1:$E$212,2,FALSE),"")</f>
        <v/>
      </c>
      <c r="D830" s="17" t="str">
        <f>IFERROR(VLOOKUP(B830,'MASTER DATA'!$A$1:$E$212,5,FALSE),"")</f>
        <v/>
      </c>
      <c r="E830" s="17"/>
      <c r="F830" s="17" t="str">
        <f>IFERROR(VLOOKUP(B830,'MASTER DATA'!$A$1:$E$212,4,FALSE),"")</f>
        <v/>
      </c>
      <c r="G830" s="17"/>
      <c r="H830" s="17"/>
      <c r="I830" s="17"/>
      <c r="J830" s="17" t="b">
        <v>0</v>
      </c>
    </row>
    <row r="831">
      <c r="A831" s="17"/>
      <c r="B831" s="17"/>
      <c r="C831" s="17" t="str">
        <f>IFERROR(VLOOKUP(B831,'MASTER DATA'!$A$1:$E$212,2,FALSE),"")</f>
        <v/>
      </c>
      <c r="D831" s="17" t="str">
        <f>IFERROR(VLOOKUP(B831,'MASTER DATA'!$A$1:$E$212,5,FALSE),"")</f>
        <v/>
      </c>
      <c r="E831" s="17"/>
      <c r="F831" s="17" t="str">
        <f>IFERROR(VLOOKUP(B831,'MASTER DATA'!$A$1:$E$212,4,FALSE),"")</f>
        <v/>
      </c>
      <c r="G831" s="17"/>
      <c r="H831" s="17"/>
      <c r="I831" s="17"/>
      <c r="J831" s="17" t="b">
        <v>0</v>
      </c>
    </row>
    <row r="832">
      <c r="A832" s="17"/>
      <c r="B832" s="17"/>
      <c r="C832" s="17" t="str">
        <f>IFERROR(VLOOKUP(B832,'MASTER DATA'!$A$1:$E$212,2,FALSE),"")</f>
        <v/>
      </c>
      <c r="D832" s="17" t="str">
        <f>IFERROR(VLOOKUP(B832,'MASTER DATA'!$A$1:$E$212,5,FALSE),"")</f>
        <v/>
      </c>
      <c r="E832" s="17"/>
      <c r="F832" s="17" t="str">
        <f>IFERROR(VLOOKUP(B832,'MASTER DATA'!$A$1:$E$212,4,FALSE),"")</f>
        <v/>
      </c>
      <c r="G832" s="17"/>
      <c r="H832" s="17"/>
      <c r="I832" s="17"/>
      <c r="J832" s="17" t="b">
        <v>0</v>
      </c>
    </row>
    <row r="833">
      <c r="A833" s="17"/>
      <c r="B833" s="17"/>
      <c r="C833" s="17" t="str">
        <f>IFERROR(VLOOKUP(B833,'MASTER DATA'!$A$1:$E$212,2,FALSE),"")</f>
        <v/>
      </c>
      <c r="D833" s="17" t="str">
        <f>IFERROR(VLOOKUP(B833,'MASTER DATA'!$A$1:$E$212,5,FALSE),"")</f>
        <v/>
      </c>
      <c r="E833" s="17"/>
      <c r="F833" s="17" t="str">
        <f>IFERROR(VLOOKUP(B833,'MASTER DATA'!$A$1:$E$212,4,FALSE),"")</f>
        <v/>
      </c>
      <c r="G833" s="17"/>
      <c r="H833" s="17"/>
      <c r="I833" s="17"/>
      <c r="J833" s="17" t="b">
        <v>0</v>
      </c>
    </row>
    <row r="834">
      <c r="A834" s="17"/>
      <c r="B834" s="17"/>
      <c r="C834" s="17" t="str">
        <f>IFERROR(VLOOKUP(B834,'MASTER DATA'!$A$1:$E$212,2,FALSE),"")</f>
        <v/>
      </c>
      <c r="D834" s="17" t="str">
        <f>IFERROR(VLOOKUP(B834,'MASTER DATA'!$A$1:$E$212,5,FALSE),"")</f>
        <v/>
      </c>
      <c r="E834" s="17"/>
      <c r="F834" s="17" t="str">
        <f>IFERROR(VLOOKUP(B834,'MASTER DATA'!$A$1:$E$212,4,FALSE),"")</f>
        <v/>
      </c>
      <c r="G834" s="17"/>
      <c r="H834" s="17"/>
      <c r="I834" s="17"/>
      <c r="J834" s="17" t="b">
        <v>0</v>
      </c>
    </row>
    <row r="835">
      <c r="A835" s="17"/>
      <c r="B835" s="17"/>
      <c r="C835" s="17" t="str">
        <f>IFERROR(VLOOKUP(B835,'MASTER DATA'!$A$1:$E$212,2,FALSE),"")</f>
        <v/>
      </c>
      <c r="D835" s="17" t="str">
        <f>IFERROR(VLOOKUP(B835,'MASTER DATA'!$A$1:$E$212,5,FALSE),"")</f>
        <v/>
      </c>
      <c r="E835" s="17"/>
      <c r="F835" s="17" t="str">
        <f>IFERROR(VLOOKUP(B835,'MASTER DATA'!$A$1:$E$212,4,FALSE),"")</f>
        <v/>
      </c>
      <c r="G835" s="17"/>
      <c r="H835" s="17"/>
      <c r="I835" s="17"/>
      <c r="J835" s="17" t="b">
        <v>0</v>
      </c>
    </row>
    <row r="836">
      <c r="A836" s="17"/>
      <c r="B836" s="17"/>
      <c r="C836" s="17" t="str">
        <f>IFERROR(VLOOKUP(B836,'MASTER DATA'!$A$1:$E$212,2,FALSE),"")</f>
        <v/>
      </c>
      <c r="D836" s="17" t="str">
        <f>IFERROR(VLOOKUP(B836,'MASTER DATA'!$A$1:$E$212,5,FALSE),"")</f>
        <v/>
      </c>
      <c r="E836" s="17"/>
      <c r="F836" s="17" t="str">
        <f>IFERROR(VLOOKUP(B836,'MASTER DATA'!$A$1:$E$212,4,FALSE),"")</f>
        <v/>
      </c>
      <c r="G836" s="17"/>
      <c r="H836" s="17"/>
      <c r="I836" s="17"/>
      <c r="J836" s="17" t="b">
        <v>0</v>
      </c>
    </row>
    <row r="837">
      <c r="A837" s="17"/>
      <c r="B837" s="17"/>
      <c r="C837" s="17" t="str">
        <f>IFERROR(VLOOKUP(B837,'MASTER DATA'!$A$1:$E$212,2,FALSE),"")</f>
        <v/>
      </c>
      <c r="D837" s="17" t="str">
        <f>IFERROR(VLOOKUP(B837,'MASTER DATA'!$A$1:$E$212,5,FALSE),"")</f>
        <v/>
      </c>
      <c r="E837" s="17"/>
      <c r="F837" s="17" t="str">
        <f>IFERROR(VLOOKUP(B837,'MASTER DATA'!$A$1:$E$212,4,FALSE),"")</f>
        <v/>
      </c>
      <c r="G837" s="17"/>
      <c r="H837" s="17"/>
      <c r="I837" s="17"/>
      <c r="J837" s="17" t="b">
        <v>0</v>
      </c>
    </row>
    <row r="838">
      <c r="A838" s="17"/>
      <c r="B838" s="17"/>
      <c r="C838" s="17" t="str">
        <f>IFERROR(VLOOKUP(B838,'MASTER DATA'!$A$1:$E$212,2,FALSE),"")</f>
        <v/>
      </c>
      <c r="D838" s="17" t="str">
        <f>IFERROR(VLOOKUP(B838,'MASTER DATA'!$A$1:$E$212,5,FALSE),"")</f>
        <v/>
      </c>
      <c r="E838" s="17"/>
      <c r="F838" s="17" t="str">
        <f>IFERROR(VLOOKUP(B838,'MASTER DATA'!$A$1:$E$212,4,FALSE),"")</f>
        <v/>
      </c>
      <c r="G838" s="17"/>
      <c r="H838" s="17"/>
      <c r="I838" s="17"/>
      <c r="J838" s="17" t="b">
        <v>0</v>
      </c>
    </row>
    <row r="839">
      <c r="A839" s="17"/>
      <c r="B839" s="17"/>
      <c r="C839" s="17" t="str">
        <f>IFERROR(VLOOKUP(B839,'MASTER DATA'!$A$1:$E$212,2,FALSE),"")</f>
        <v/>
      </c>
      <c r="D839" s="17" t="str">
        <f>IFERROR(VLOOKUP(B839,'MASTER DATA'!$A$1:$E$212,5,FALSE),"")</f>
        <v/>
      </c>
      <c r="E839" s="17"/>
      <c r="F839" s="17" t="str">
        <f>IFERROR(VLOOKUP(B839,'MASTER DATA'!$A$1:$E$212,4,FALSE),"")</f>
        <v/>
      </c>
      <c r="G839" s="17"/>
      <c r="H839" s="17"/>
      <c r="I839" s="17"/>
      <c r="J839" s="17" t="b">
        <v>0</v>
      </c>
    </row>
    <row r="840">
      <c r="A840" s="17"/>
      <c r="B840" s="17"/>
      <c r="C840" s="17" t="str">
        <f>IFERROR(VLOOKUP(B840,'MASTER DATA'!$A$1:$E$212,2,FALSE),"")</f>
        <v/>
      </c>
      <c r="D840" s="17" t="str">
        <f>IFERROR(VLOOKUP(B840,'MASTER DATA'!$A$1:$E$212,5,FALSE),"")</f>
        <v/>
      </c>
      <c r="E840" s="17"/>
      <c r="F840" s="17" t="str">
        <f>IFERROR(VLOOKUP(B840,'MASTER DATA'!$A$1:$E$212,4,FALSE),"")</f>
        <v/>
      </c>
      <c r="G840" s="17"/>
      <c r="H840" s="17"/>
      <c r="I840" s="17"/>
      <c r="J840" s="17" t="b">
        <v>0</v>
      </c>
    </row>
    <row r="841">
      <c r="A841" s="17"/>
      <c r="B841" s="17"/>
      <c r="C841" s="17" t="str">
        <f>IFERROR(VLOOKUP(B841,'MASTER DATA'!$A$1:$E$212,2,FALSE),"")</f>
        <v/>
      </c>
      <c r="D841" s="17" t="str">
        <f>IFERROR(VLOOKUP(B841,'MASTER DATA'!$A$1:$E$212,5,FALSE),"")</f>
        <v/>
      </c>
      <c r="E841" s="17"/>
      <c r="F841" s="17" t="str">
        <f>IFERROR(VLOOKUP(B841,'MASTER DATA'!$A$1:$E$212,4,FALSE),"")</f>
        <v/>
      </c>
      <c r="G841" s="17"/>
      <c r="H841" s="17"/>
      <c r="I841" s="17"/>
      <c r="J841" s="17" t="b">
        <v>0</v>
      </c>
    </row>
    <row r="842">
      <c r="A842" s="17"/>
      <c r="B842" s="17"/>
      <c r="C842" s="17" t="str">
        <f>IFERROR(VLOOKUP(B842,'MASTER DATA'!$A$1:$E$212,2,FALSE),"")</f>
        <v/>
      </c>
      <c r="D842" s="17" t="str">
        <f>IFERROR(VLOOKUP(B842,'MASTER DATA'!$A$1:$E$212,5,FALSE),"")</f>
        <v/>
      </c>
      <c r="E842" s="17"/>
      <c r="F842" s="17" t="str">
        <f>IFERROR(VLOOKUP(B842,'MASTER DATA'!$A$1:$E$212,4,FALSE),"")</f>
        <v/>
      </c>
      <c r="G842" s="17"/>
      <c r="H842" s="17"/>
      <c r="I842" s="17"/>
      <c r="J842" s="17" t="b">
        <v>0</v>
      </c>
    </row>
    <row r="843">
      <c r="A843" s="17"/>
      <c r="B843" s="17"/>
      <c r="C843" s="17" t="str">
        <f>IFERROR(VLOOKUP(B843,'MASTER DATA'!$A$1:$E$212,2,FALSE),"")</f>
        <v/>
      </c>
      <c r="D843" s="17" t="str">
        <f>IFERROR(VLOOKUP(B843,'MASTER DATA'!$A$1:$E$212,5,FALSE),"")</f>
        <v/>
      </c>
      <c r="E843" s="17"/>
      <c r="F843" s="17" t="str">
        <f>IFERROR(VLOOKUP(B843,'MASTER DATA'!$A$1:$E$212,4,FALSE),"")</f>
        <v/>
      </c>
      <c r="G843" s="17"/>
      <c r="H843" s="17"/>
      <c r="I843" s="17"/>
      <c r="J843" s="17" t="b">
        <v>0</v>
      </c>
    </row>
    <row r="844">
      <c r="A844" s="17"/>
      <c r="B844" s="17"/>
      <c r="C844" s="17" t="str">
        <f>IFERROR(VLOOKUP(B844,'MASTER DATA'!$A$1:$E$212,2,FALSE),"")</f>
        <v/>
      </c>
      <c r="D844" s="17" t="str">
        <f>IFERROR(VLOOKUP(B844,'MASTER DATA'!$A$1:$E$212,5,FALSE),"")</f>
        <v/>
      </c>
      <c r="E844" s="17"/>
      <c r="F844" s="17" t="str">
        <f>IFERROR(VLOOKUP(B844,'MASTER DATA'!$A$1:$E$212,4,FALSE),"")</f>
        <v/>
      </c>
      <c r="G844" s="17"/>
      <c r="H844" s="17"/>
      <c r="I844" s="17"/>
      <c r="J844" s="17" t="b">
        <v>0</v>
      </c>
    </row>
    <row r="845">
      <c r="A845" s="17"/>
      <c r="B845" s="17"/>
      <c r="C845" s="17" t="str">
        <f>IFERROR(VLOOKUP(B845,'MASTER DATA'!$A$1:$E$212,2,FALSE),"")</f>
        <v/>
      </c>
      <c r="D845" s="17" t="str">
        <f>IFERROR(VLOOKUP(B845,'MASTER DATA'!$A$1:$E$212,5,FALSE),"")</f>
        <v/>
      </c>
      <c r="E845" s="17"/>
      <c r="F845" s="17" t="str">
        <f>IFERROR(VLOOKUP(B845,'MASTER DATA'!$A$1:$E$212,4,FALSE),"")</f>
        <v/>
      </c>
      <c r="G845" s="17"/>
      <c r="H845" s="17"/>
      <c r="I845" s="17"/>
      <c r="J845" s="17" t="b">
        <v>0</v>
      </c>
    </row>
    <row r="846">
      <c r="A846" s="17"/>
      <c r="B846" s="17"/>
      <c r="C846" s="17" t="str">
        <f>IFERROR(VLOOKUP(B846,'MASTER DATA'!$A$1:$E$212,2,FALSE),"")</f>
        <v/>
      </c>
      <c r="D846" s="17" t="str">
        <f>IFERROR(VLOOKUP(B846,'MASTER DATA'!$A$1:$E$212,5,FALSE),"")</f>
        <v/>
      </c>
      <c r="E846" s="17"/>
      <c r="F846" s="17" t="str">
        <f>IFERROR(VLOOKUP(B846,'MASTER DATA'!$A$1:$E$212,4,FALSE),"")</f>
        <v/>
      </c>
      <c r="G846" s="17"/>
      <c r="H846" s="17"/>
      <c r="I846" s="17"/>
      <c r="J846" s="17" t="b">
        <v>0</v>
      </c>
    </row>
    <row r="847">
      <c r="A847" s="17"/>
      <c r="B847" s="17"/>
      <c r="C847" s="17" t="str">
        <f>IFERROR(VLOOKUP(B847,'MASTER DATA'!$A$1:$E$212,2,FALSE),"")</f>
        <v/>
      </c>
      <c r="D847" s="17" t="str">
        <f>IFERROR(VLOOKUP(B847,'MASTER DATA'!$A$1:$E$212,5,FALSE),"")</f>
        <v/>
      </c>
      <c r="E847" s="17"/>
      <c r="F847" s="17" t="str">
        <f>IFERROR(VLOOKUP(B847,'MASTER DATA'!$A$1:$E$212,4,FALSE),"")</f>
        <v/>
      </c>
      <c r="G847" s="17"/>
      <c r="H847" s="17"/>
      <c r="I847" s="17"/>
      <c r="J847" s="17" t="b">
        <v>0</v>
      </c>
    </row>
    <row r="848">
      <c r="A848" s="17"/>
      <c r="B848" s="17"/>
      <c r="C848" s="17" t="str">
        <f>IFERROR(VLOOKUP(B848,'MASTER DATA'!$A$1:$E$212,2,FALSE),"")</f>
        <v/>
      </c>
      <c r="D848" s="17" t="str">
        <f>IFERROR(VLOOKUP(B848,'MASTER DATA'!$A$1:$E$212,5,FALSE),"")</f>
        <v/>
      </c>
      <c r="E848" s="17"/>
      <c r="F848" s="17" t="str">
        <f>IFERROR(VLOOKUP(B848,'MASTER DATA'!$A$1:$E$212,4,FALSE),"")</f>
        <v/>
      </c>
      <c r="G848" s="17"/>
      <c r="H848" s="17"/>
      <c r="I848" s="17"/>
      <c r="J848" s="17" t="b">
        <v>0</v>
      </c>
    </row>
    <row r="849">
      <c r="A849" s="17"/>
      <c r="B849" s="17"/>
      <c r="C849" s="17" t="str">
        <f>IFERROR(VLOOKUP(B849,'MASTER DATA'!$A$1:$E$212,2,FALSE),"")</f>
        <v/>
      </c>
      <c r="D849" s="17" t="str">
        <f>IFERROR(VLOOKUP(B849,'MASTER DATA'!$A$1:$E$212,5,FALSE),"")</f>
        <v/>
      </c>
      <c r="E849" s="17"/>
      <c r="F849" s="17" t="str">
        <f>IFERROR(VLOOKUP(B849,'MASTER DATA'!$A$1:$E$212,4,FALSE),"")</f>
        <v/>
      </c>
      <c r="G849" s="17"/>
      <c r="H849" s="17"/>
      <c r="I849" s="17"/>
      <c r="J849" s="17" t="b">
        <v>0</v>
      </c>
    </row>
    <row r="850">
      <c r="A850" s="17"/>
      <c r="B850" s="17"/>
      <c r="C850" s="17" t="str">
        <f>IFERROR(VLOOKUP(B850,'MASTER DATA'!$A$1:$E$212,2,FALSE),"")</f>
        <v/>
      </c>
      <c r="D850" s="17" t="str">
        <f>IFERROR(VLOOKUP(B850,'MASTER DATA'!$A$1:$E$212,5,FALSE),"")</f>
        <v/>
      </c>
      <c r="E850" s="17"/>
      <c r="F850" s="17" t="str">
        <f>IFERROR(VLOOKUP(B850,'MASTER DATA'!$A$1:$E$212,4,FALSE),"")</f>
        <v/>
      </c>
      <c r="G850" s="17"/>
      <c r="H850" s="17"/>
      <c r="I850" s="17"/>
      <c r="J850" s="17" t="b">
        <v>0</v>
      </c>
    </row>
    <row r="851">
      <c r="A851" s="17"/>
      <c r="B851" s="17"/>
      <c r="C851" s="17" t="str">
        <f>IFERROR(VLOOKUP(B851,'MASTER DATA'!$A$1:$E$212,2,FALSE),"")</f>
        <v/>
      </c>
      <c r="D851" s="17" t="str">
        <f>IFERROR(VLOOKUP(B851,'MASTER DATA'!$A$1:$E$212,5,FALSE),"")</f>
        <v/>
      </c>
      <c r="E851" s="17"/>
      <c r="F851" s="17" t="str">
        <f>IFERROR(VLOOKUP(B851,'MASTER DATA'!$A$1:$E$212,4,FALSE),"")</f>
        <v/>
      </c>
      <c r="G851" s="17"/>
      <c r="H851" s="17"/>
      <c r="I851" s="17"/>
      <c r="J851" s="17" t="b">
        <v>0</v>
      </c>
    </row>
    <row r="852">
      <c r="A852" s="17"/>
      <c r="B852" s="17"/>
      <c r="C852" s="17" t="str">
        <f>IFERROR(VLOOKUP(B852,'MASTER DATA'!$A$1:$E$212,2,FALSE),"")</f>
        <v/>
      </c>
      <c r="D852" s="17" t="str">
        <f>IFERROR(VLOOKUP(B852,'MASTER DATA'!$A$1:$E$212,5,FALSE),"")</f>
        <v/>
      </c>
      <c r="E852" s="17"/>
      <c r="F852" s="17" t="str">
        <f>IFERROR(VLOOKUP(B852,'MASTER DATA'!$A$1:$E$212,4,FALSE),"")</f>
        <v/>
      </c>
      <c r="G852" s="17"/>
      <c r="H852" s="17"/>
      <c r="I852" s="17"/>
      <c r="J852" s="17" t="b">
        <v>0</v>
      </c>
    </row>
    <row r="853">
      <c r="A853" s="17"/>
      <c r="B853" s="17"/>
      <c r="C853" s="17" t="str">
        <f>IFERROR(VLOOKUP(B853,'MASTER DATA'!$A$1:$E$212,2,FALSE),"")</f>
        <v/>
      </c>
      <c r="D853" s="17" t="str">
        <f>IFERROR(VLOOKUP(B853,'MASTER DATA'!$A$1:$E$212,5,FALSE),"")</f>
        <v/>
      </c>
      <c r="E853" s="17"/>
      <c r="F853" s="17" t="str">
        <f>IFERROR(VLOOKUP(B853,'MASTER DATA'!$A$1:$E$212,4,FALSE),"")</f>
        <v/>
      </c>
      <c r="G853" s="17"/>
      <c r="H853" s="17"/>
      <c r="I853" s="17"/>
      <c r="J853" s="17" t="b">
        <v>0</v>
      </c>
    </row>
    <row r="854">
      <c r="A854" s="17"/>
      <c r="B854" s="17"/>
      <c r="C854" s="17" t="str">
        <f>IFERROR(VLOOKUP(B854,'MASTER DATA'!$A$1:$E$212,2,FALSE),"")</f>
        <v/>
      </c>
      <c r="D854" s="17" t="str">
        <f>IFERROR(VLOOKUP(B854,'MASTER DATA'!$A$1:$E$212,5,FALSE),"")</f>
        <v/>
      </c>
      <c r="E854" s="17"/>
      <c r="F854" s="17" t="str">
        <f>IFERROR(VLOOKUP(B854,'MASTER DATA'!$A$1:$E$212,4,FALSE),"")</f>
        <v/>
      </c>
      <c r="G854" s="17"/>
      <c r="H854" s="17"/>
      <c r="I854" s="17"/>
      <c r="J854" s="17" t="b">
        <v>0</v>
      </c>
    </row>
    <row r="855">
      <c r="A855" s="17"/>
      <c r="B855" s="17"/>
      <c r="C855" s="17" t="str">
        <f>IFERROR(VLOOKUP(B855,'MASTER DATA'!$A$1:$E$212,2,FALSE),"")</f>
        <v/>
      </c>
      <c r="D855" s="17" t="str">
        <f>IFERROR(VLOOKUP(B855,'MASTER DATA'!$A$1:$E$212,5,FALSE),"")</f>
        <v/>
      </c>
      <c r="E855" s="17"/>
      <c r="F855" s="17" t="str">
        <f>IFERROR(VLOOKUP(B855,'MASTER DATA'!$A$1:$E$212,4,FALSE),"")</f>
        <v/>
      </c>
      <c r="G855" s="17"/>
      <c r="H855" s="17"/>
      <c r="I855" s="17"/>
      <c r="J855" s="17" t="b">
        <v>0</v>
      </c>
    </row>
    <row r="856">
      <c r="A856" s="17"/>
      <c r="B856" s="17"/>
      <c r="C856" s="17" t="str">
        <f>IFERROR(VLOOKUP(B856,'MASTER DATA'!$A$1:$E$212,2,FALSE),"")</f>
        <v/>
      </c>
      <c r="D856" s="17" t="str">
        <f>IFERROR(VLOOKUP(B856,'MASTER DATA'!$A$1:$E$212,5,FALSE),"")</f>
        <v/>
      </c>
      <c r="E856" s="17"/>
      <c r="F856" s="17" t="str">
        <f>IFERROR(VLOOKUP(B856,'MASTER DATA'!$A$1:$E$212,4,FALSE),"")</f>
        <v/>
      </c>
      <c r="G856" s="17"/>
      <c r="H856" s="17"/>
      <c r="I856" s="17"/>
      <c r="J856" s="17" t="b">
        <v>0</v>
      </c>
    </row>
    <row r="857">
      <c r="A857" s="17"/>
      <c r="B857" s="17"/>
      <c r="C857" s="17" t="str">
        <f>IFERROR(VLOOKUP(B857,'MASTER DATA'!$A$1:$E$212,2,FALSE),"")</f>
        <v/>
      </c>
      <c r="D857" s="17" t="str">
        <f>IFERROR(VLOOKUP(B857,'MASTER DATA'!$A$1:$E$212,5,FALSE),"")</f>
        <v/>
      </c>
      <c r="E857" s="17"/>
      <c r="F857" s="17" t="str">
        <f>IFERROR(VLOOKUP(B857,'MASTER DATA'!$A$1:$E$212,4,FALSE),"")</f>
        <v/>
      </c>
      <c r="G857" s="17"/>
      <c r="H857" s="17"/>
      <c r="I857" s="17"/>
      <c r="J857" s="17" t="b">
        <v>0</v>
      </c>
    </row>
    <row r="858">
      <c r="A858" s="17"/>
      <c r="B858" s="17"/>
      <c r="C858" s="17" t="str">
        <f>IFERROR(VLOOKUP(B858,'MASTER DATA'!$A$1:$E$212,2,FALSE),"")</f>
        <v/>
      </c>
      <c r="D858" s="17" t="str">
        <f>IFERROR(VLOOKUP(B858,'MASTER DATA'!$A$1:$E$212,5,FALSE),"")</f>
        <v/>
      </c>
      <c r="E858" s="17"/>
      <c r="F858" s="17" t="str">
        <f>IFERROR(VLOOKUP(B858,'MASTER DATA'!$A$1:$E$212,4,FALSE),"")</f>
        <v/>
      </c>
      <c r="G858" s="17"/>
      <c r="H858" s="17"/>
      <c r="I858" s="17"/>
      <c r="J858" s="17" t="b">
        <v>0</v>
      </c>
    </row>
    <row r="859">
      <c r="A859" s="17"/>
      <c r="B859" s="17"/>
      <c r="C859" s="17" t="str">
        <f>IFERROR(VLOOKUP(B859,'MASTER DATA'!$A$1:$E$212,2,FALSE),"")</f>
        <v/>
      </c>
      <c r="D859" s="17" t="str">
        <f>IFERROR(VLOOKUP(B859,'MASTER DATA'!$A$1:$E$212,5,FALSE),"")</f>
        <v/>
      </c>
      <c r="E859" s="17"/>
      <c r="F859" s="17" t="str">
        <f>IFERROR(VLOOKUP(B859,'MASTER DATA'!$A$1:$E$212,4,FALSE),"")</f>
        <v/>
      </c>
      <c r="G859" s="17"/>
      <c r="H859" s="17"/>
      <c r="I859" s="17"/>
      <c r="J859" s="17" t="b">
        <v>0</v>
      </c>
    </row>
    <row r="860">
      <c r="A860" s="17"/>
      <c r="B860" s="17"/>
      <c r="C860" s="17" t="str">
        <f>IFERROR(VLOOKUP(B860,'MASTER DATA'!$A$1:$E$212,2,FALSE),"")</f>
        <v/>
      </c>
      <c r="D860" s="17" t="str">
        <f>IFERROR(VLOOKUP(B860,'MASTER DATA'!$A$1:$E$212,5,FALSE),"")</f>
        <v/>
      </c>
      <c r="E860" s="17"/>
      <c r="F860" s="17" t="str">
        <f>IFERROR(VLOOKUP(B860,'MASTER DATA'!$A$1:$E$212,4,FALSE),"")</f>
        <v/>
      </c>
      <c r="G860" s="17"/>
      <c r="H860" s="17"/>
      <c r="I860" s="17"/>
      <c r="J860" s="17" t="b">
        <v>0</v>
      </c>
    </row>
    <row r="861">
      <c r="A861" s="17"/>
      <c r="B861" s="17"/>
      <c r="C861" s="17" t="str">
        <f>IFERROR(VLOOKUP(B861,'MASTER DATA'!$A$1:$E$212,2,FALSE),"")</f>
        <v/>
      </c>
      <c r="D861" s="17" t="str">
        <f>IFERROR(VLOOKUP(B861,'MASTER DATA'!$A$1:$E$212,5,FALSE),"")</f>
        <v/>
      </c>
      <c r="E861" s="17"/>
      <c r="F861" s="17" t="str">
        <f>IFERROR(VLOOKUP(B861,'MASTER DATA'!$A$1:$E$212,4,FALSE),"")</f>
        <v/>
      </c>
      <c r="G861" s="17"/>
      <c r="H861" s="17"/>
      <c r="I861" s="17"/>
      <c r="J861" s="17" t="b">
        <v>0</v>
      </c>
    </row>
    <row r="862">
      <c r="A862" s="17"/>
      <c r="B862" s="17"/>
      <c r="C862" s="17" t="str">
        <f>IFERROR(VLOOKUP(B862,'MASTER DATA'!$A$1:$E$212,2,FALSE),"")</f>
        <v/>
      </c>
      <c r="D862" s="17" t="str">
        <f>IFERROR(VLOOKUP(B862,'MASTER DATA'!$A$1:$E$212,5,FALSE),"")</f>
        <v/>
      </c>
      <c r="E862" s="17"/>
      <c r="F862" s="17" t="str">
        <f>IFERROR(VLOOKUP(B862,'MASTER DATA'!$A$1:$E$212,4,FALSE),"")</f>
        <v/>
      </c>
      <c r="G862" s="17"/>
      <c r="H862" s="17"/>
      <c r="I862" s="17"/>
      <c r="J862" s="17" t="b">
        <v>0</v>
      </c>
    </row>
    <row r="863">
      <c r="A863" s="17"/>
      <c r="B863" s="17"/>
      <c r="C863" s="17" t="str">
        <f>IFERROR(VLOOKUP(B863,'MASTER DATA'!$A$1:$E$212,2,FALSE),"")</f>
        <v/>
      </c>
      <c r="D863" s="17" t="str">
        <f>IFERROR(VLOOKUP(B863,'MASTER DATA'!$A$1:$E$212,5,FALSE),"")</f>
        <v/>
      </c>
      <c r="E863" s="17"/>
      <c r="F863" s="17" t="str">
        <f>IFERROR(VLOOKUP(B863,'MASTER DATA'!$A$1:$E$212,4,FALSE),"")</f>
        <v/>
      </c>
      <c r="G863" s="17"/>
      <c r="H863" s="17"/>
      <c r="I863" s="17"/>
      <c r="J863" s="17" t="b">
        <v>0</v>
      </c>
    </row>
    <row r="864">
      <c r="A864" s="17"/>
      <c r="B864" s="17"/>
      <c r="C864" s="17" t="str">
        <f>IFERROR(VLOOKUP(B864,'MASTER DATA'!$A$1:$E$212,2,FALSE),"")</f>
        <v/>
      </c>
      <c r="D864" s="17" t="str">
        <f>IFERROR(VLOOKUP(B864,'MASTER DATA'!$A$1:$E$212,5,FALSE),"")</f>
        <v/>
      </c>
      <c r="E864" s="17"/>
      <c r="F864" s="17" t="str">
        <f>IFERROR(VLOOKUP(B864,'MASTER DATA'!$A$1:$E$212,4,FALSE),"")</f>
        <v/>
      </c>
      <c r="G864" s="17"/>
      <c r="H864" s="17"/>
      <c r="I864" s="17"/>
      <c r="J864" s="17" t="b">
        <v>0</v>
      </c>
    </row>
    <row r="865">
      <c r="A865" s="17"/>
      <c r="B865" s="17"/>
      <c r="C865" s="17" t="str">
        <f>IFERROR(VLOOKUP(B865,'MASTER DATA'!$A$1:$E$212,2,FALSE),"")</f>
        <v/>
      </c>
      <c r="D865" s="17" t="str">
        <f>IFERROR(VLOOKUP(B865,'MASTER DATA'!$A$1:$E$212,5,FALSE),"")</f>
        <v/>
      </c>
      <c r="E865" s="17"/>
      <c r="F865" s="17" t="str">
        <f>IFERROR(VLOOKUP(B865,'MASTER DATA'!$A$1:$E$212,4,FALSE),"")</f>
        <v/>
      </c>
      <c r="G865" s="17"/>
      <c r="H865" s="17"/>
      <c r="I865" s="17"/>
      <c r="J865" s="17" t="b">
        <v>0</v>
      </c>
    </row>
    <row r="866">
      <c r="A866" s="17"/>
      <c r="B866" s="17"/>
      <c r="C866" s="17" t="str">
        <f>IFERROR(VLOOKUP(B866,'MASTER DATA'!$A$1:$E$212,2,FALSE),"")</f>
        <v/>
      </c>
      <c r="D866" s="17" t="str">
        <f>IFERROR(VLOOKUP(B866,'MASTER DATA'!$A$1:$E$212,5,FALSE),"")</f>
        <v/>
      </c>
      <c r="E866" s="17"/>
      <c r="F866" s="17" t="str">
        <f>IFERROR(VLOOKUP(B866,'MASTER DATA'!$A$1:$E$212,4,FALSE),"")</f>
        <v/>
      </c>
      <c r="G866" s="17"/>
      <c r="H866" s="17"/>
      <c r="I866" s="17"/>
      <c r="J866" s="17" t="b">
        <v>0</v>
      </c>
    </row>
    <row r="867">
      <c r="A867" s="17"/>
      <c r="B867" s="17"/>
      <c r="C867" s="17" t="str">
        <f>IFERROR(VLOOKUP(B867,'MASTER DATA'!$A$1:$E$212,2,FALSE),"")</f>
        <v/>
      </c>
      <c r="D867" s="17" t="str">
        <f>IFERROR(VLOOKUP(B867,'MASTER DATA'!$A$1:$E$212,5,FALSE),"")</f>
        <v/>
      </c>
      <c r="E867" s="17"/>
      <c r="F867" s="17" t="str">
        <f>IFERROR(VLOOKUP(B867,'MASTER DATA'!$A$1:$E$212,4,FALSE),"")</f>
        <v/>
      </c>
      <c r="G867" s="17"/>
      <c r="H867" s="17"/>
      <c r="I867" s="17"/>
      <c r="J867" s="17" t="b">
        <v>0</v>
      </c>
    </row>
    <row r="868">
      <c r="A868" s="17"/>
      <c r="B868" s="17"/>
      <c r="C868" s="17" t="str">
        <f>IFERROR(VLOOKUP(B868,'MASTER DATA'!$A$1:$E$212,2,FALSE),"")</f>
        <v/>
      </c>
      <c r="D868" s="17" t="str">
        <f>IFERROR(VLOOKUP(B868,'MASTER DATA'!$A$1:$E$212,5,FALSE),"")</f>
        <v/>
      </c>
      <c r="E868" s="17"/>
      <c r="F868" s="17" t="str">
        <f>IFERROR(VLOOKUP(B868,'MASTER DATA'!$A$1:$E$212,4,FALSE),"")</f>
        <v/>
      </c>
      <c r="G868" s="17"/>
      <c r="H868" s="17"/>
      <c r="I868" s="17"/>
      <c r="J868" s="17" t="b">
        <v>0</v>
      </c>
    </row>
    <row r="869">
      <c r="A869" s="17"/>
      <c r="B869" s="17"/>
      <c r="C869" s="17" t="str">
        <f>IFERROR(VLOOKUP(B869,'MASTER DATA'!$A$1:$E$212,2,FALSE),"")</f>
        <v/>
      </c>
      <c r="D869" s="17" t="str">
        <f>IFERROR(VLOOKUP(B869,'MASTER DATA'!$A$1:$E$212,5,FALSE),"")</f>
        <v/>
      </c>
      <c r="E869" s="17"/>
      <c r="F869" s="17" t="str">
        <f>IFERROR(VLOOKUP(B869,'MASTER DATA'!$A$1:$E$212,4,FALSE),"")</f>
        <v/>
      </c>
      <c r="G869" s="17"/>
      <c r="H869" s="17"/>
      <c r="I869" s="17"/>
      <c r="J869" s="17" t="b">
        <v>0</v>
      </c>
    </row>
    <row r="870">
      <c r="A870" s="17"/>
      <c r="B870" s="17"/>
      <c r="C870" s="17" t="str">
        <f>IFERROR(VLOOKUP(B870,'MASTER DATA'!$A$1:$E$212,2,FALSE),"")</f>
        <v/>
      </c>
      <c r="D870" s="17" t="str">
        <f>IFERROR(VLOOKUP(B870,'MASTER DATA'!$A$1:$E$212,5,FALSE),"")</f>
        <v/>
      </c>
      <c r="E870" s="17"/>
      <c r="F870" s="17" t="str">
        <f>IFERROR(VLOOKUP(B870,'MASTER DATA'!$A$1:$E$212,4,FALSE),"")</f>
        <v/>
      </c>
      <c r="G870" s="17"/>
      <c r="H870" s="17"/>
      <c r="I870" s="17"/>
      <c r="J870" s="17" t="b">
        <v>0</v>
      </c>
    </row>
    <row r="871">
      <c r="A871" s="17"/>
      <c r="B871" s="17"/>
      <c r="C871" s="17" t="str">
        <f>IFERROR(VLOOKUP(B871,'MASTER DATA'!$A$1:$E$212,2,FALSE),"")</f>
        <v/>
      </c>
      <c r="D871" s="17" t="str">
        <f>IFERROR(VLOOKUP(B871,'MASTER DATA'!$A$1:$E$212,5,FALSE),"")</f>
        <v/>
      </c>
      <c r="E871" s="17"/>
      <c r="F871" s="17" t="str">
        <f>IFERROR(VLOOKUP(B871,'MASTER DATA'!$A$1:$E$212,4,FALSE),"")</f>
        <v/>
      </c>
      <c r="G871" s="17"/>
      <c r="H871" s="17"/>
      <c r="I871" s="17"/>
      <c r="J871" s="17" t="b">
        <v>0</v>
      </c>
    </row>
    <row r="872">
      <c r="A872" s="17"/>
      <c r="B872" s="17"/>
      <c r="C872" s="17" t="str">
        <f>IFERROR(VLOOKUP(B872,'MASTER DATA'!$A$1:$E$212,2,FALSE),"")</f>
        <v/>
      </c>
      <c r="D872" s="17" t="str">
        <f>IFERROR(VLOOKUP(B872,'MASTER DATA'!$A$1:$E$212,5,FALSE),"")</f>
        <v/>
      </c>
      <c r="E872" s="17"/>
      <c r="F872" s="17" t="str">
        <f>IFERROR(VLOOKUP(B872,'MASTER DATA'!$A$1:$E$212,4,FALSE),"")</f>
        <v/>
      </c>
      <c r="G872" s="17"/>
      <c r="H872" s="17"/>
      <c r="I872" s="17"/>
      <c r="J872" s="17" t="b">
        <v>0</v>
      </c>
    </row>
    <row r="873">
      <c r="A873" s="17"/>
      <c r="B873" s="17"/>
      <c r="C873" s="17" t="str">
        <f>IFERROR(VLOOKUP(B873,'MASTER DATA'!$A$1:$E$212,2,FALSE),"")</f>
        <v/>
      </c>
      <c r="D873" s="17" t="str">
        <f>IFERROR(VLOOKUP(B873,'MASTER DATA'!$A$1:$E$212,5,FALSE),"")</f>
        <v/>
      </c>
      <c r="E873" s="17"/>
      <c r="F873" s="17" t="str">
        <f>IFERROR(VLOOKUP(B873,'MASTER DATA'!$A$1:$E$212,4,FALSE),"")</f>
        <v/>
      </c>
      <c r="G873" s="17"/>
      <c r="H873" s="17"/>
      <c r="I873" s="17"/>
      <c r="J873" s="17" t="b">
        <v>0</v>
      </c>
    </row>
    <row r="874">
      <c r="A874" s="17"/>
      <c r="B874" s="17"/>
      <c r="C874" s="17" t="str">
        <f>IFERROR(VLOOKUP(B874,'MASTER DATA'!$A$1:$E$212,2,FALSE),"")</f>
        <v/>
      </c>
      <c r="D874" s="17" t="str">
        <f>IFERROR(VLOOKUP(B874,'MASTER DATA'!$A$1:$E$212,5,FALSE),"")</f>
        <v/>
      </c>
      <c r="E874" s="17"/>
      <c r="F874" s="17" t="str">
        <f>IFERROR(VLOOKUP(B874,'MASTER DATA'!$A$1:$E$212,4,FALSE),"")</f>
        <v/>
      </c>
      <c r="G874" s="17"/>
      <c r="H874" s="17"/>
      <c r="I874" s="17"/>
      <c r="J874" s="17" t="b">
        <v>0</v>
      </c>
    </row>
    <row r="875">
      <c r="A875" s="17"/>
      <c r="B875" s="17"/>
      <c r="C875" s="17" t="str">
        <f>IFERROR(VLOOKUP(B875,'MASTER DATA'!$A$1:$E$212,2,FALSE),"")</f>
        <v/>
      </c>
      <c r="D875" s="17" t="str">
        <f>IFERROR(VLOOKUP(B875,'MASTER DATA'!$A$1:$E$212,5,FALSE),"")</f>
        <v/>
      </c>
      <c r="E875" s="17"/>
      <c r="F875" s="17" t="str">
        <f>IFERROR(VLOOKUP(B875,'MASTER DATA'!$A$1:$E$212,4,FALSE),"")</f>
        <v/>
      </c>
      <c r="G875" s="17"/>
      <c r="H875" s="17"/>
      <c r="I875" s="17"/>
      <c r="J875" s="17" t="b">
        <v>0</v>
      </c>
    </row>
    <row r="876">
      <c r="A876" s="17"/>
      <c r="B876" s="17"/>
      <c r="C876" s="17" t="str">
        <f>IFERROR(VLOOKUP(B876,'MASTER DATA'!$A$1:$E$212,2,FALSE),"")</f>
        <v/>
      </c>
      <c r="D876" s="17" t="str">
        <f>IFERROR(VLOOKUP(B876,'MASTER DATA'!$A$1:$E$212,5,FALSE),"")</f>
        <v/>
      </c>
      <c r="E876" s="17"/>
      <c r="F876" s="17" t="str">
        <f>IFERROR(VLOOKUP(B876,'MASTER DATA'!$A$1:$E$212,4,FALSE),"")</f>
        <v/>
      </c>
      <c r="G876" s="17"/>
      <c r="H876" s="17"/>
      <c r="I876" s="17"/>
      <c r="J876" s="17" t="b">
        <v>0</v>
      </c>
    </row>
    <row r="877">
      <c r="A877" s="17"/>
      <c r="B877" s="17"/>
      <c r="C877" s="17" t="str">
        <f>IFERROR(VLOOKUP(B877,'MASTER DATA'!$A$1:$E$212,2,FALSE),"")</f>
        <v/>
      </c>
      <c r="D877" s="17" t="str">
        <f>IFERROR(VLOOKUP(B877,'MASTER DATA'!$A$1:$E$212,5,FALSE),"")</f>
        <v/>
      </c>
      <c r="E877" s="17"/>
      <c r="F877" s="17" t="str">
        <f>IFERROR(VLOOKUP(B877,'MASTER DATA'!$A$1:$E$212,4,FALSE),"")</f>
        <v/>
      </c>
      <c r="G877" s="17"/>
      <c r="H877" s="17"/>
      <c r="I877" s="17"/>
      <c r="J877" s="17" t="b">
        <v>0</v>
      </c>
    </row>
    <row r="878">
      <c r="A878" s="17"/>
      <c r="B878" s="17"/>
      <c r="C878" s="17" t="str">
        <f>IFERROR(VLOOKUP(B878,'MASTER DATA'!$A$1:$E$212,2,FALSE),"")</f>
        <v/>
      </c>
      <c r="D878" s="17" t="str">
        <f>IFERROR(VLOOKUP(B878,'MASTER DATA'!$A$1:$E$212,5,FALSE),"")</f>
        <v/>
      </c>
      <c r="E878" s="17"/>
      <c r="F878" s="17" t="str">
        <f>IFERROR(VLOOKUP(B878,'MASTER DATA'!$A$1:$E$212,4,FALSE),"")</f>
        <v/>
      </c>
      <c r="G878" s="17"/>
      <c r="H878" s="17"/>
      <c r="I878" s="17"/>
      <c r="J878" s="17" t="b">
        <v>0</v>
      </c>
    </row>
    <row r="879">
      <c r="A879" s="17"/>
      <c r="B879" s="17"/>
      <c r="C879" s="17" t="str">
        <f>IFERROR(VLOOKUP(B879,'MASTER DATA'!$A$1:$E$212,2,FALSE),"")</f>
        <v/>
      </c>
      <c r="D879" s="17" t="str">
        <f>IFERROR(VLOOKUP(B879,'MASTER DATA'!$A$1:$E$212,5,FALSE),"")</f>
        <v/>
      </c>
      <c r="E879" s="17"/>
      <c r="F879" s="17" t="str">
        <f>IFERROR(VLOOKUP(B879,'MASTER DATA'!$A$1:$E$212,4,FALSE),"")</f>
        <v/>
      </c>
      <c r="G879" s="17"/>
      <c r="H879" s="17"/>
      <c r="I879" s="17"/>
      <c r="J879" s="17" t="b">
        <v>0</v>
      </c>
    </row>
    <row r="880">
      <c r="A880" s="17"/>
      <c r="B880" s="17"/>
      <c r="C880" s="17" t="str">
        <f>IFERROR(VLOOKUP(B880,'MASTER DATA'!$A$1:$E$212,2,FALSE),"")</f>
        <v/>
      </c>
      <c r="D880" s="17" t="str">
        <f>IFERROR(VLOOKUP(B880,'MASTER DATA'!$A$1:$E$212,5,FALSE),"")</f>
        <v/>
      </c>
      <c r="E880" s="17"/>
      <c r="F880" s="17" t="str">
        <f>IFERROR(VLOOKUP(B880,'MASTER DATA'!$A$1:$E$212,4,FALSE),"")</f>
        <v/>
      </c>
      <c r="G880" s="17"/>
      <c r="H880" s="17"/>
      <c r="I880" s="17"/>
      <c r="J880" s="17" t="b">
        <v>0</v>
      </c>
    </row>
    <row r="881">
      <c r="A881" s="17"/>
      <c r="B881" s="17"/>
      <c r="C881" s="17" t="str">
        <f>IFERROR(VLOOKUP(B881,'MASTER DATA'!$A$1:$E$212,2,FALSE),"")</f>
        <v/>
      </c>
      <c r="D881" s="17" t="str">
        <f>IFERROR(VLOOKUP(B881,'MASTER DATA'!$A$1:$E$212,5,FALSE),"")</f>
        <v/>
      </c>
      <c r="E881" s="17"/>
      <c r="F881" s="17" t="str">
        <f>IFERROR(VLOOKUP(B881,'MASTER DATA'!$A$1:$E$212,4,FALSE),"")</f>
        <v/>
      </c>
      <c r="G881" s="17"/>
      <c r="H881" s="17"/>
      <c r="I881" s="17"/>
      <c r="J881" s="17" t="b">
        <v>0</v>
      </c>
    </row>
    <row r="882">
      <c r="A882" s="17"/>
      <c r="B882" s="17"/>
      <c r="C882" s="17" t="str">
        <f>IFERROR(VLOOKUP(B882,'MASTER DATA'!$A$1:$E$212,2,FALSE),"")</f>
        <v/>
      </c>
      <c r="D882" s="17" t="str">
        <f>IFERROR(VLOOKUP(B882,'MASTER DATA'!$A$1:$E$212,5,FALSE),"")</f>
        <v/>
      </c>
      <c r="E882" s="17"/>
      <c r="F882" s="17" t="str">
        <f>IFERROR(VLOOKUP(B882,'MASTER DATA'!$A$1:$E$212,4,FALSE),"")</f>
        <v/>
      </c>
      <c r="G882" s="17"/>
      <c r="H882" s="17"/>
      <c r="I882" s="17"/>
      <c r="J882" s="17" t="b">
        <v>0</v>
      </c>
    </row>
    <row r="883">
      <c r="A883" s="17"/>
      <c r="B883" s="17"/>
      <c r="C883" s="17" t="str">
        <f>IFERROR(VLOOKUP(B883,'MASTER DATA'!$A$1:$E$212,2,FALSE),"")</f>
        <v/>
      </c>
      <c r="D883" s="17" t="str">
        <f>IFERROR(VLOOKUP(B883,'MASTER DATA'!$A$1:$E$212,5,FALSE),"")</f>
        <v/>
      </c>
      <c r="E883" s="17"/>
      <c r="F883" s="17" t="str">
        <f>IFERROR(VLOOKUP(B883,'MASTER DATA'!$A$1:$E$212,4,FALSE),"")</f>
        <v/>
      </c>
      <c r="G883" s="17"/>
      <c r="H883" s="17"/>
      <c r="I883" s="17"/>
      <c r="J883" s="17" t="b">
        <v>0</v>
      </c>
    </row>
    <row r="884">
      <c r="A884" s="17"/>
      <c r="B884" s="17"/>
      <c r="C884" s="17" t="str">
        <f>IFERROR(VLOOKUP(B884,'MASTER DATA'!$A$1:$E$212,2,FALSE),"")</f>
        <v/>
      </c>
      <c r="D884" s="17" t="str">
        <f>IFERROR(VLOOKUP(B884,'MASTER DATA'!$A$1:$E$212,5,FALSE),"")</f>
        <v/>
      </c>
      <c r="E884" s="17"/>
      <c r="F884" s="17" t="str">
        <f>IFERROR(VLOOKUP(B884,'MASTER DATA'!$A$1:$E$212,4,FALSE),"")</f>
        <v/>
      </c>
      <c r="G884" s="17"/>
      <c r="H884" s="17"/>
      <c r="I884" s="17"/>
      <c r="J884" s="17" t="b">
        <v>0</v>
      </c>
    </row>
    <row r="885">
      <c r="A885" s="17"/>
      <c r="B885" s="17"/>
      <c r="C885" s="17" t="str">
        <f>IFERROR(VLOOKUP(B885,'MASTER DATA'!$A$1:$E$212,2,FALSE),"")</f>
        <v/>
      </c>
      <c r="D885" s="17" t="str">
        <f>IFERROR(VLOOKUP(B885,'MASTER DATA'!$A$1:$E$212,5,FALSE),"")</f>
        <v/>
      </c>
      <c r="E885" s="17"/>
      <c r="F885" s="17" t="str">
        <f>IFERROR(VLOOKUP(B885,'MASTER DATA'!$A$1:$E$212,4,FALSE),"")</f>
        <v/>
      </c>
      <c r="G885" s="17"/>
      <c r="H885" s="17"/>
      <c r="I885" s="17"/>
      <c r="J885" s="17" t="b">
        <v>0</v>
      </c>
    </row>
    <row r="886">
      <c r="A886" s="17"/>
      <c r="B886" s="17"/>
      <c r="C886" s="17" t="str">
        <f>IFERROR(VLOOKUP(B886,'MASTER DATA'!$A$1:$E$212,2,FALSE),"")</f>
        <v/>
      </c>
      <c r="D886" s="17" t="str">
        <f>IFERROR(VLOOKUP(B886,'MASTER DATA'!$A$1:$E$212,5,FALSE),"")</f>
        <v/>
      </c>
      <c r="E886" s="17"/>
      <c r="F886" s="17" t="str">
        <f>IFERROR(VLOOKUP(B886,'MASTER DATA'!$A$1:$E$212,4,FALSE),"")</f>
        <v/>
      </c>
      <c r="G886" s="17"/>
      <c r="H886" s="17"/>
      <c r="I886" s="17"/>
      <c r="J886" s="17" t="b">
        <v>0</v>
      </c>
    </row>
    <row r="887">
      <c r="A887" s="17"/>
      <c r="B887" s="17"/>
      <c r="C887" s="17" t="str">
        <f>IFERROR(VLOOKUP(B887,'MASTER DATA'!$A$1:$E$212,2,FALSE),"")</f>
        <v/>
      </c>
      <c r="D887" s="17" t="str">
        <f>IFERROR(VLOOKUP(B887,'MASTER DATA'!$A$1:$E$212,5,FALSE),"")</f>
        <v/>
      </c>
      <c r="E887" s="17"/>
      <c r="F887" s="17" t="str">
        <f>IFERROR(VLOOKUP(B887,'MASTER DATA'!$A$1:$E$212,4,FALSE),"")</f>
        <v/>
      </c>
      <c r="G887" s="17"/>
      <c r="H887" s="17"/>
      <c r="I887" s="17"/>
      <c r="J887" s="17" t="b">
        <v>0</v>
      </c>
    </row>
    <row r="888">
      <c r="A888" s="17"/>
      <c r="B888" s="17"/>
      <c r="C888" s="17" t="str">
        <f>IFERROR(VLOOKUP(B888,'MASTER DATA'!$A$1:$E$212,2,FALSE),"")</f>
        <v/>
      </c>
      <c r="D888" s="17" t="str">
        <f>IFERROR(VLOOKUP(B888,'MASTER DATA'!$A$1:$E$212,5,FALSE),"")</f>
        <v/>
      </c>
      <c r="E888" s="17"/>
      <c r="F888" s="17" t="str">
        <f>IFERROR(VLOOKUP(B888,'MASTER DATA'!$A$1:$E$212,4,FALSE),"")</f>
        <v/>
      </c>
      <c r="G888" s="17"/>
      <c r="H888" s="17"/>
      <c r="I888" s="17"/>
      <c r="J888" s="17" t="b">
        <v>0</v>
      </c>
    </row>
    <row r="889">
      <c r="A889" s="17"/>
      <c r="B889" s="17"/>
      <c r="C889" s="17" t="str">
        <f>IFERROR(VLOOKUP(B889,'MASTER DATA'!$A$1:$E$212,2,FALSE),"")</f>
        <v/>
      </c>
      <c r="D889" s="17" t="str">
        <f>IFERROR(VLOOKUP(B889,'MASTER DATA'!$A$1:$E$212,5,FALSE),"")</f>
        <v/>
      </c>
      <c r="E889" s="17"/>
      <c r="F889" s="17" t="str">
        <f>IFERROR(VLOOKUP(B889,'MASTER DATA'!$A$1:$E$212,4,FALSE),"")</f>
        <v/>
      </c>
      <c r="G889" s="17"/>
      <c r="H889" s="17"/>
      <c r="I889" s="17"/>
      <c r="J889" s="17" t="b">
        <v>0</v>
      </c>
    </row>
    <row r="890">
      <c r="A890" s="17"/>
      <c r="B890" s="17"/>
      <c r="C890" s="17" t="str">
        <f>IFERROR(VLOOKUP(B890,'MASTER DATA'!$A$1:$E$212,2,FALSE),"")</f>
        <v/>
      </c>
      <c r="D890" s="17" t="str">
        <f>IFERROR(VLOOKUP(B890,'MASTER DATA'!$A$1:$E$212,5,FALSE),"")</f>
        <v/>
      </c>
      <c r="E890" s="17"/>
      <c r="F890" s="17" t="str">
        <f>IFERROR(VLOOKUP(B890,'MASTER DATA'!$A$1:$E$212,4,FALSE),"")</f>
        <v/>
      </c>
      <c r="G890" s="17"/>
      <c r="H890" s="17"/>
      <c r="I890" s="17"/>
      <c r="J890" s="17" t="b">
        <v>0</v>
      </c>
    </row>
    <row r="891">
      <c r="A891" s="17"/>
      <c r="B891" s="17"/>
      <c r="C891" s="17" t="str">
        <f>IFERROR(VLOOKUP(B891,'MASTER DATA'!$A$1:$E$212,2,FALSE),"")</f>
        <v/>
      </c>
      <c r="D891" s="17" t="str">
        <f>IFERROR(VLOOKUP(B891,'MASTER DATA'!$A$1:$E$212,5,FALSE),"")</f>
        <v/>
      </c>
      <c r="E891" s="17"/>
      <c r="F891" s="17" t="str">
        <f>IFERROR(VLOOKUP(B891,'MASTER DATA'!$A$1:$E$212,4,FALSE),"")</f>
        <v/>
      </c>
      <c r="G891" s="17"/>
      <c r="H891" s="17"/>
      <c r="I891" s="17"/>
      <c r="J891" s="17" t="b">
        <v>0</v>
      </c>
    </row>
    <row r="892">
      <c r="A892" s="17"/>
      <c r="B892" s="17"/>
      <c r="C892" s="17" t="str">
        <f>IFERROR(VLOOKUP(B892,'MASTER DATA'!$A$1:$E$212,2,FALSE),"")</f>
        <v/>
      </c>
      <c r="D892" s="17" t="str">
        <f>IFERROR(VLOOKUP(B892,'MASTER DATA'!$A$1:$E$212,5,FALSE),"")</f>
        <v/>
      </c>
      <c r="E892" s="17"/>
      <c r="F892" s="17" t="str">
        <f>IFERROR(VLOOKUP(B892,'MASTER DATA'!$A$1:$E$212,4,FALSE),"")</f>
        <v/>
      </c>
      <c r="G892" s="17"/>
      <c r="H892" s="17"/>
      <c r="I892" s="17"/>
      <c r="J892" s="17" t="b">
        <v>0</v>
      </c>
    </row>
    <row r="893">
      <c r="A893" s="17"/>
      <c r="B893" s="17"/>
      <c r="C893" s="17" t="str">
        <f>IFERROR(VLOOKUP(B893,'MASTER DATA'!$A$1:$E$212,2,FALSE),"")</f>
        <v/>
      </c>
      <c r="D893" s="17" t="str">
        <f>IFERROR(VLOOKUP(B893,'MASTER DATA'!$A$1:$E$212,5,FALSE),"")</f>
        <v/>
      </c>
      <c r="E893" s="17"/>
      <c r="F893" s="17" t="str">
        <f>IFERROR(VLOOKUP(B893,'MASTER DATA'!$A$1:$E$212,4,FALSE),"")</f>
        <v/>
      </c>
      <c r="G893" s="17"/>
      <c r="H893" s="17"/>
      <c r="I893" s="17"/>
      <c r="J893" s="17" t="b">
        <v>0</v>
      </c>
    </row>
    <row r="894">
      <c r="A894" s="17"/>
      <c r="B894" s="17"/>
      <c r="C894" s="17" t="str">
        <f>IFERROR(VLOOKUP(B894,'MASTER DATA'!$A$1:$E$212,2,FALSE),"")</f>
        <v/>
      </c>
      <c r="D894" s="17" t="str">
        <f>IFERROR(VLOOKUP(B894,'MASTER DATA'!$A$1:$E$212,5,FALSE),"")</f>
        <v/>
      </c>
      <c r="E894" s="17"/>
      <c r="F894" s="17" t="str">
        <f>IFERROR(VLOOKUP(B894,'MASTER DATA'!$A$1:$E$212,4,FALSE),"")</f>
        <v/>
      </c>
      <c r="G894" s="17"/>
      <c r="H894" s="17"/>
      <c r="I894" s="17"/>
      <c r="J894" s="17" t="b">
        <v>0</v>
      </c>
    </row>
    <row r="895">
      <c r="A895" s="17"/>
      <c r="B895" s="17"/>
      <c r="C895" s="17" t="str">
        <f>IFERROR(VLOOKUP(B895,'MASTER DATA'!$A$1:$E$212,2,FALSE),"")</f>
        <v/>
      </c>
      <c r="D895" s="17" t="str">
        <f>IFERROR(VLOOKUP(B895,'MASTER DATA'!$A$1:$E$212,5,FALSE),"")</f>
        <v/>
      </c>
      <c r="E895" s="17"/>
      <c r="F895" s="17" t="str">
        <f>IFERROR(VLOOKUP(B895,'MASTER DATA'!$A$1:$E$212,4,FALSE),"")</f>
        <v/>
      </c>
      <c r="G895" s="17"/>
      <c r="H895" s="17"/>
      <c r="I895" s="17"/>
      <c r="J895" s="17" t="b">
        <v>0</v>
      </c>
    </row>
    <row r="896">
      <c r="A896" s="17"/>
      <c r="B896" s="17"/>
      <c r="C896" s="17" t="str">
        <f>IFERROR(VLOOKUP(B896,'MASTER DATA'!$A$1:$E$212,2,FALSE),"")</f>
        <v/>
      </c>
      <c r="D896" s="17" t="str">
        <f>IFERROR(VLOOKUP(B896,'MASTER DATA'!$A$1:$E$212,5,FALSE),"")</f>
        <v/>
      </c>
      <c r="E896" s="17"/>
      <c r="F896" s="17" t="str">
        <f>IFERROR(VLOOKUP(B896,'MASTER DATA'!$A$1:$E$212,4,FALSE),"")</f>
        <v/>
      </c>
      <c r="G896" s="17"/>
      <c r="H896" s="17"/>
      <c r="I896" s="17"/>
      <c r="J896" s="17" t="b">
        <v>0</v>
      </c>
    </row>
    <row r="897">
      <c r="A897" s="17"/>
      <c r="B897" s="17"/>
      <c r="C897" s="17" t="str">
        <f>IFERROR(VLOOKUP(B897,'MASTER DATA'!$A$1:$E$212,2,FALSE),"")</f>
        <v/>
      </c>
      <c r="D897" s="17" t="str">
        <f>IFERROR(VLOOKUP(B897,'MASTER DATA'!$A$1:$E$212,5,FALSE),"")</f>
        <v/>
      </c>
      <c r="E897" s="17"/>
      <c r="F897" s="17" t="str">
        <f>IFERROR(VLOOKUP(B897,'MASTER DATA'!$A$1:$E$212,4,FALSE),"")</f>
        <v/>
      </c>
      <c r="G897" s="17"/>
      <c r="H897" s="17"/>
      <c r="I897" s="17"/>
      <c r="J897" s="17" t="b">
        <v>0</v>
      </c>
    </row>
    <row r="898">
      <c r="A898" s="17"/>
      <c r="B898" s="17"/>
      <c r="C898" s="17" t="str">
        <f>IFERROR(VLOOKUP(B898,'MASTER DATA'!$A$1:$E$212,2,FALSE),"")</f>
        <v/>
      </c>
      <c r="D898" s="17" t="str">
        <f>IFERROR(VLOOKUP(B898,'MASTER DATA'!$A$1:$E$212,5,FALSE),"")</f>
        <v/>
      </c>
      <c r="E898" s="17"/>
      <c r="F898" s="17" t="str">
        <f>IFERROR(VLOOKUP(B898,'MASTER DATA'!$A$1:$E$212,4,FALSE),"")</f>
        <v/>
      </c>
      <c r="G898" s="17"/>
      <c r="H898" s="17"/>
      <c r="I898" s="17"/>
      <c r="J898" s="17" t="b">
        <v>0</v>
      </c>
    </row>
    <row r="899">
      <c r="A899" s="17"/>
      <c r="B899" s="17"/>
      <c r="C899" s="17" t="str">
        <f>IFERROR(VLOOKUP(B899,'MASTER DATA'!$A$1:$E$212,2,FALSE),"")</f>
        <v/>
      </c>
      <c r="D899" s="17" t="str">
        <f>IFERROR(VLOOKUP(B899,'MASTER DATA'!$A$1:$E$212,5,FALSE),"")</f>
        <v/>
      </c>
      <c r="E899" s="17"/>
      <c r="F899" s="17" t="str">
        <f>IFERROR(VLOOKUP(B899,'MASTER DATA'!$A$1:$E$212,4,FALSE),"")</f>
        <v/>
      </c>
      <c r="G899" s="17"/>
      <c r="H899" s="17"/>
      <c r="I899" s="17"/>
      <c r="J899" s="17" t="b">
        <v>0</v>
      </c>
    </row>
    <row r="900">
      <c r="A900" s="17"/>
      <c r="B900" s="17"/>
      <c r="C900" s="17" t="str">
        <f>IFERROR(VLOOKUP(B900,'MASTER DATA'!$A$1:$E$212,2,FALSE),"")</f>
        <v/>
      </c>
      <c r="D900" s="17" t="str">
        <f>IFERROR(VLOOKUP(B900,'MASTER DATA'!$A$1:$E$212,5,FALSE),"")</f>
        <v/>
      </c>
      <c r="E900" s="17"/>
      <c r="F900" s="17" t="str">
        <f>IFERROR(VLOOKUP(B900,'MASTER DATA'!$A$1:$E$212,4,FALSE),"")</f>
        <v/>
      </c>
      <c r="G900" s="17"/>
      <c r="H900" s="17"/>
      <c r="I900" s="17"/>
      <c r="J900" s="17" t="b">
        <v>0</v>
      </c>
    </row>
    <row r="901">
      <c r="A901" s="17"/>
      <c r="B901" s="17"/>
      <c r="C901" s="17" t="str">
        <f>IFERROR(VLOOKUP(B901,'MASTER DATA'!$A$1:$E$212,2,FALSE),"")</f>
        <v/>
      </c>
      <c r="D901" s="17" t="str">
        <f>IFERROR(VLOOKUP(B901,'MASTER DATA'!$A$1:$E$212,5,FALSE),"")</f>
        <v/>
      </c>
      <c r="E901" s="17"/>
      <c r="F901" s="17" t="str">
        <f>IFERROR(VLOOKUP(B901,'MASTER DATA'!$A$1:$E$212,4,FALSE),"")</f>
        <v/>
      </c>
      <c r="G901" s="17"/>
      <c r="H901" s="17"/>
      <c r="I901" s="17"/>
      <c r="J901" s="17" t="b">
        <v>0</v>
      </c>
    </row>
    <row r="902">
      <c r="A902" s="17"/>
      <c r="B902" s="17"/>
      <c r="C902" s="17" t="str">
        <f>IFERROR(VLOOKUP(B902,'MASTER DATA'!$A$1:$E$212,2,FALSE),"")</f>
        <v/>
      </c>
      <c r="D902" s="17" t="str">
        <f>IFERROR(VLOOKUP(B902,'MASTER DATA'!$A$1:$E$212,5,FALSE),"")</f>
        <v/>
      </c>
      <c r="E902" s="17"/>
      <c r="F902" s="17" t="str">
        <f>IFERROR(VLOOKUP(B902,'MASTER DATA'!$A$1:$E$212,4,FALSE),"")</f>
        <v/>
      </c>
      <c r="G902" s="17"/>
      <c r="H902" s="17"/>
      <c r="I902" s="17"/>
      <c r="J902" s="17" t="b">
        <v>0</v>
      </c>
    </row>
    <row r="903">
      <c r="A903" s="17"/>
      <c r="B903" s="17"/>
      <c r="C903" s="17" t="str">
        <f>IFERROR(VLOOKUP(B903,'MASTER DATA'!$A$1:$E$212,2,FALSE),"")</f>
        <v/>
      </c>
      <c r="D903" s="17" t="str">
        <f>IFERROR(VLOOKUP(B903,'MASTER DATA'!$A$1:$E$212,5,FALSE),"")</f>
        <v/>
      </c>
      <c r="E903" s="17"/>
      <c r="F903" s="17" t="str">
        <f>IFERROR(VLOOKUP(B903,'MASTER DATA'!$A$1:$E$212,4,FALSE),"")</f>
        <v/>
      </c>
      <c r="G903" s="17"/>
      <c r="H903" s="17"/>
      <c r="I903" s="17"/>
      <c r="J903" s="17" t="b">
        <v>0</v>
      </c>
    </row>
    <row r="904">
      <c r="A904" s="17"/>
      <c r="B904" s="17"/>
      <c r="C904" s="17" t="str">
        <f>IFERROR(VLOOKUP(B904,'MASTER DATA'!$A$1:$E$212,2,FALSE),"")</f>
        <v/>
      </c>
      <c r="D904" s="17" t="str">
        <f>IFERROR(VLOOKUP(B904,'MASTER DATA'!$A$1:$E$212,5,FALSE),"")</f>
        <v/>
      </c>
      <c r="E904" s="17"/>
      <c r="F904" s="17" t="str">
        <f>IFERROR(VLOOKUP(B904,'MASTER DATA'!$A$1:$E$212,4,FALSE),"")</f>
        <v/>
      </c>
      <c r="G904" s="17"/>
      <c r="H904" s="17"/>
      <c r="I904" s="17"/>
      <c r="J904" s="17" t="b">
        <v>0</v>
      </c>
    </row>
    <row r="905">
      <c r="A905" s="17"/>
      <c r="B905" s="17"/>
      <c r="C905" s="17" t="str">
        <f>IFERROR(VLOOKUP(B905,'MASTER DATA'!$A$1:$E$212,2,FALSE),"")</f>
        <v/>
      </c>
      <c r="D905" s="17" t="str">
        <f>IFERROR(VLOOKUP(B905,'MASTER DATA'!$A$1:$E$212,5,FALSE),"")</f>
        <v/>
      </c>
      <c r="E905" s="17"/>
      <c r="F905" s="17" t="str">
        <f>IFERROR(VLOOKUP(B905,'MASTER DATA'!$A$1:$E$212,4,FALSE),"")</f>
        <v/>
      </c>
      <c r="G905" s="17"/>
      <c r="H905" s="17"/>
      <c r="I905" s="17"/>
      <c r="J905" s="17" t="b">
        <v>0</v>
      </c>
    </row>
    <row r="906">
      <c r="A906" s="17"/>
      <c r="B906" s="17"/>
      <c r="C906" s="17" t="str">
        <f>IFERROR(VLOOKUP(B906,'MASTER DATA'!$A$1:$E$212,2,FALSE),"")</f>
        <v/>
      </c>
      <c r="D906" s="17" t="str">
        <f>IFERROR(VLOOKUP(B906,'MASTER DATA'!$A$1:$E$212,5,FALSE),"")</f>
        <v/>
      </c>
      <c r="E906" s="17"/>
      <c r="F906" s="17" t="str">
        <f>IFERROR(VLOOKUP(B906,'MASTER DATA'!$A$1:$E$212,4,FALSE),"")</f>
        <v/>
      </c>
      <c r="G906" s="17"/>
      <c r="H906" s="17"/>
      <c r="I906" s="17"/>
      <c r="J906" s="17" t="b">
        <v>0</v>
      </c>
    </row>
    <row r="907">
      <c r="A907" s="17"/>
      <c r="B907" s="17"/>
      <c r="C907" s="17" t="str">
        <f>IFERROR(VLOOKUP(B907,'MASTER DATA'!$A$1:$E$212,2,FALSE),"")</f>
        <v/>
      </c>
      <c r="D907" s="17" t="str">
        <f>IFERROR(VLOOKUP(B907,'MASTER DATA'!$A$1:$E$212,5,FALSE),"")</f>
        <v/>
      </c>
      <c r="E907" s="17"/>
      <c r="F907" s="17" t="str">
        <f>IFERROR(VLOOKUP(B907,'MASTER DATA'!$A$1:$E$212,4,FALSE),"")</f>
        <v/>
      </c>
      <c r="G907" s="17"/>
      <c r="H907" s="17"/>
      <c r="I907" s="17"/>
      <c r="J907" s="17" t="b">
        <v>0</v>
      </c>
    </row>
    <row r="908">
      <c r="A908" s="17"/>
      <c r="B908" s="17"/>
      <c r="C908" s="17" t="str">
        <f>IFERROR(VLOOKUP(B908,'MASTER DATA'!$A$1:$E$212,2,FALSE),"")</f>
        <v/>
      </c>
      <c r="D908" s="17" t="str">
        <f>IFERROR(VLOOKUP(B908,'MASTER DATA'!$A$1:$E$212,5,FALSE),"")</f>
        <v/>
      </c>
      <c r="E908" s="17"/>
      <c r="F908" s="17" t="str">
        <f>IFERROR(VLOOKUP(B908,'MASTER DATA'!$A$1:$E$212,4,FALSE),"")</f>
        <v/>
      </c>
      <c r="G908" s="17"/>
      <c r="H908" s="17"/>
      <c r="I908" s="17"/>
      <c r="J908" s="17" t="b">
        <v>0</v>
      </c>
    </row>
    <row r="909">
      <c r="A909" s="17"/>
      <c r="B909" s="17"/>
      <c r="C909" s="17" t="str">
        <f>IFERROR(VLOOKUP(B909,'MASTER DATA'!$A$1:$E$212,2,FALSE),"")</f>
        <v/>
      </c>
      <c r="D909" s="17" t="str">
        <f>IFERROR(VLOOKUP(B909,'MASTER DATA'!$A$1:$E$212,5,FALSE),"")</f>
        <v/>
      </c>
      <c r="E909" s="17"/>
      <c r="F909" s="17" t="str">
        <f>IFERROR(VLOOKUP(B909,'MASTER DATA'!$A$1:$E$212,4,FALSE),"")</f>
        <v/>
      </c>
      <c r="G909" s="17"/>
      <c r="H909" s="17"/>
      <c r="I909" s="17"/>
      <c r="J909" s="17" t="b">
        <v>0</v>
      </c>
    </row>
    <row r="910">
      <c r="A910" s="17"/>
      <c r="B910" s="17"/>
      <c r="C910" s="17" t="str">
        <f>IFERROR(VLOOKUP(B910,'MASTER DATA'!$A$1:$E$212,2,FALSE),"")</f>
        <v/>
      </c>
      <c r="D910" s="17" t="str">
        <f>IFERROR(VLOOKUP(B910,'MASTER DATA'!$A$1:$E$212,5,FALSE),"")</f>
        <v/>
      </c>
      <c r="E910" s="17"/>
      <c r="F910" s="17" t="str">
        <f>IFERROR(VLOOKUP(B910,'MASTER DATA'!$A$1:$E$212,4,FALSE),"")</f>
        <v/>
      </c>
      <c r="G910" s="17"/>
      <c r="H910" s="17"/>
      <c r="I910" s="17"/>
      <c r="J910" s="17" t="b">
        <v>0</v>
      </c>
    </row>
    <row r="911">
      <c r="A911" s="17"/>
      <c r="B911" s="17"/>
      <c r="C911" s="17" t="str">
        <f>IFERROR(VLOOKUP(B911,'MASTER DATA'!$A$1:$E$212,2,FALSE),"")</f>
        <v/>
      </c>
      <c r="D911" s="17" t="str">
        <f>IFERROR(VLOOKUP(B911,'MASTER DATA'!$A$1:$E$212,5,FALSE),"")</f>
        <v/>
      </c>
      <c r="E911" s="17"/>
      <c r="F911" s="17" t="str">
        <f>IFERROR(VLOOKUP(B911,'MASTER DATA'!$A$1:$E$212,4,FALSE),"")</f>
        <v/>
      </c>
      <c r="G911" s="17"/>
      <c r="H911" s="17"/>
      <c r="I911" s="17"/>
      <c r="J911" s="17" t="b">
        <v>0</v>
      </c>
    </row>
    <row r="912">
      <c r="A912" s="17"/>
      <c r="B912" s="17"/>
      <c r="C912" s="17" t="str">
        <f>IFERROR(VLOOKUP(B912,'MASTER DATA'!$A$1:$E$212,2,FALSE),"")</f>
        <v/>
      </c>
      <c r="D912" s="17" t="str">
        <f>IFERROR(VLOOKUP(B912,'MASTER DATA'!$A$1:$E$212,5,FALSE),"")</f>
        <v/>
      </c>
      <c r="E912" s="17"/>
      <c r="F912" s="17" t="str">
        <f>IFERROR(VLOOKUP(B912,'MASTER DATA'!$A$1:$E$212,4,FALSE),"")</f>
        <v/>
      </c>
      <c r="G912" s="17"/>
      <c r="H912" s="17"/>
      <c r="I912" s="17"/>
      <c r="J912" s="17" t="b">
        <v>0</v>
      </c>
    </row>
    <row r="913">
      <c r="A913" s="17"/>
      <c r="B913" s="17"/>
      <c r="C913" s="17" t="str">
        <f>IFERROR(VLOOKUP(B913,'MASTER DATA'!$A$1:$E$212,2,FALSE),"")</f>
        <v/>
      </c>
      <c r="D913" s="17" t="str">
        <f>IFERROR(VLOOKUP(B913,'MASTER DATA'!$A$1:$E$212,5,FALSE),"")</f>
        <v/>
      </c>
      <c r="E913" s="17"/>
      <c r="F913" s="17" t="str">
        <f>IFERROR(VLOOKUP(B913,'MASTER DATA'!$A$1:$E$212,4,FALSE),"")</f>
        <v/>
      </c>
      <c r="G913" s="17"/>
      <c r="H913" s="17"/>
      <c r="I913" s="17"/>
      <c r="J913" s="17" t="b">
        <v>0</v>
      </c>
    </row>
    <row r="914">
      <c r="A914" s="17"/>
      <c r="B914" s="17"/>
      <c r="C914" s="17" t="str">
        <f>IFERROR(VLOOKUP(B914,'MASTER DATA'!$A$1:$E$212,2,FALSE),"")</f>
        <v/>
      </c>
      <c r="D914" s="17" t="str">
        <f>IFERROR(VLOOKUP(B914,'MASTER DATA'!$A$1:$E$212,5,FALSE),"")</f>
        <v/>
      </c>
      <c r="E914" s="17"/>
      <c r="F914" s="17" t="str">
        <f>IFERROR(VLOOKUP(B914,'MASTER DATA'!$A$1:$E$212,4,FALSE),"")</f>
        <v/>
      </c>
      <c r="G914" s="17"/>
      <c r="H914" s="17"/>
      <c r="I914" s="17"/>
      <c r="J914" s="17" t="b">
        <v>0</v>
      </c>
    </row>
    <row r="915">
      <c r="A915" s="17"/>
      <c r="B915" s="17"/>
      <c r="C915" s="17" t="str">
        <f>IFERROR(VLOOKUP(B915,'MASTER DATA'!$A$1:$E$212,2,FALSE),"")</f>
        <v/>
      </c>
      <c r="D915" s="17" t="str">
        <f>IFERROR(VLOOKUP(B915,'MASTER DATA'!$A$1:$E$212,5,FALSE),"")</f>
        <v/>
      </c>
      <c r="E915" s="17"/>
      <c r="F915" s="17" t="str">
        <f>IFERROR(VLOOKUP(B915,'MASTER DATA'!$A$1:$E$212,4,FALSE),"")</f>
        <v/>
      </c>
      <c r="G915" s="17"/>
      <c r="H915" s="17"/>
      <c r="I915" s="17"/>
      <c r="J915" s="17" t="b">
        <v>0</v>
      </c>
    </row>
    <row r="916">
      <c r="A916" s="17"/>
      <c r="B916" s="17"/>
      <c r="C916" s="17" t="str">
        <f>IFERROR(VLOOKUP(B916,'MASTER DATA'!$A$1:$E$212,2,FALSE),"")</f>
        <v/>
      </c>
      <c r="D916" s="17" t="str">
        <f>IFERROR(VLOOKUP(B916,'MASTER DATA'!$A$1:$E$212,5,FALSE),"")</f>
        <v/>
      </c>
      <c r="E916" s="17"/>
      <c r="F916" s="17" t="str">
        <f>IFERROR(VLOOKUP(B916,'MASTER DATA'!$A$1:$E$212,4,FALSE),"")</f>
        <v/>
      </c>
      <c r="G916" s="17"/>
      <c r="H916" s="17"/>
      <c r="I916" s="17"/>
      <c r="J916" s="17" t="b">
        <v>0</v>
      </c>
    </row>
    <row r="917">
      <c r="A917" s="17"/>
      <c r="B917" s="17"/>
      <c r="C917" s="17" t="str">
        <f>IFERROR(VLOOKUP(B917,'MASTER DATA'!$A$1:$E$212,2,FALSE),"")</f>
        <v/>
      </c>
      <c r="D917" s="17" t="str">
        <f>IFERROR(VLOOKUP(B917,'MASTER DATA'!$A$1:$E$212,5,FALSE),"")</f>
        <v/>
      </c>
      <c r="E917" s="17"/>
      <c r="F917" s="17" t="str">
        <f>IFERROR(VLOOKUP(B917,'MASTER DATA'!$A$1:$E$212,4,FALSE),"")</f>
        <v/>
      </c>
      <c r="G917" s="17"/>
      <c r="H917" s="17"/>
      <c r="I917" s="17"/>
      <c r="J917" s="17" t="b">
        <v>0</v>
      </c>
    </row>
    <row r="918">
      <c r="A918" s="17"/>
      <c r="B918" s="17"/>
      <c r="C918" s="17" t="str">
        <f>IFERROR(VLOOKUP(B918,'MASTER DATA'!$A$1:$E$212,2,FALSE),"")</f>
        <v/>
      </c>
      <c r="D918" s="17" t="str">
        <f>IFERROR(VLOOKUP(B918,'MASTER DATA'!$A$1:$E$212,5,FALSE),"")</f>
        <v/>
      </c>
      <c r="E918" s="17"/>
      <c r="F918" s="17" t="str">
        <f>IFERROR(VLOOKUP(B918,'MASTER DATA'!$A$1:$E$212,4,FALSE),"")</f>
        <v/>
      </c>
      <c r="G918" s="17"/>
      <c r="H918" s="17"/>
      <c r="I918" s="17"/>
      <c r="J918" s="17" t="b">
        <v>0</v>
      </c>
    </row>
    <row r="919">
      <c r="A919" s="17"/>
      <c r="B919" s="17"/>
      <c r="C919" s="17" t="str">
        <f>IFERROR(VLOOKUP(B919,'MASTER DATA'!$A$1:$E$212,2,FALSE),"")</f>
        <v/>
      </c>
      <c r="D919" s="17" t="str">
        <f>IFERROR(VLOOKUP(B919,'MASTER DATA'!$A$1:$E$212,5,FALSE),"")</f>
        <v/>
      </c>
      <c r="E919" s="17"/>
      <c r="F919" s="17" t="str">
        <f>IFERROR(VLOOKUP(B919,'MASTER DATA'!$A$1:$E$212,4,FALSE),"")</f>
        <v/>
      </c>
      <c r="G919" s="17"/>
      <c r="H919" s="17"/>
      <c r="I919" s="17"/>
      <c r="J919" s="17" t="b">
        <v>0</v>
      </c>
    </row>
    <row r="920">
      <c r="A920" s="17"/>
      <c r="B920" s="17"/>
      <c r="C920" s="17" t="str">
        <f>IFERROR(VLOOKUP(B920,'MASTER DATA'!$A$1:$E$212,2,FALSE),"")</f>
        <v/>
      </c>
      <c r="D920" s="17" t="str">
        <f>IFERROR(VLOOKUP(B920,'MASTER DATA'!$A$1:$E$212,5,FALSE),"")</f>
        <v/>
      </c>
      <c r="E920" s="17"/>
      <c r="F920" s="17" t="str">
        <f>IFERROR(VLOOKUP(B920,'MASTER DATA'!$A$1:$E$212,4,FALSE),"")</f>
        <v/>
      </c>
      <c r="G920" s="17"/>
      <c r="H920" s="17"/>
      <c r="I920" s="17"/>
      <c r="J920" s="17" t="b">
        <v>0</v>
      </c>
    </row>
    <row r="921">
      <c r="A921" s="17"/>
      <c r="B921" s="17"/>
      <c r="C921" s="17" t="str">
        <f>IFERROR(VLOOKUP(B921,'MASTER DATA'!$A$1:$E$212,2,FALSE),"")</f>
        <v/>
      </c>
      <c r="D921" s="17" t="str">
        <f>IFERROR(VLOOKUP(B921,'MASTER DATA'!$A$1:$E$212,5,FALSE),"")</f>
        <v/>
      </c>
      <c r="E921" s="17"/>
      <c r="F921" s="17" t="str">
        <f>IFERROR(VLOOKUP(B921,'MASTER DATA'!$A$1:$E$212,4,FALSE),"")</f>
        <v/>
      </c>
      <c r="G921" s="17"/>
      <c r="H921" s="17"/>
      <c r="I921" s="17"/>
      <c r="J921" s="17" t="b">
        <v>0</v>
      </c>
    </row>
    <row r="922">
      <c r="A922" s="17"/>
      <c r="B922" s="17"/>
      <c r="C922" s="17" t="str">
        <f>IFERROR(VLOOKUP(B922,'MASTER DATA'!$A$1:$E$212,2,FALSE),"")</f>
        <v/>
      </c>
      <c r="D922" s="17" t="str">
        <f>IFERROR(VLOOKUP(B922,'MASTER DATA'!$A$1:$E$212,5,FALSE),"")</f>
        <v/>
      </c>
      <c r="E922" s="17"/>
      <c r="F922" s="17" t="str">
        <f>IFERROR(VLOOKUP(B922,'MASTER DATA'!$A$1:$E$212,4,FALSE),"")</f>
        <v/>
      </c>
      <c r="G922" s="17"/>
      <c r="H922" s="17"/>
      <c r="I922" s="17"/>
      <c r="J922" s="17" t="b">
        <v>0</v>
      </c>
    </row>
    <row r="923">
      <c r="A923" s="17"/>
      <c r="B923" s="17"/>
      <c r="C923" s="17" t="str">
        <f>IFERROR(VLOOKUP(B923,'MASTER DATA'!$A$1:$E$212,2,FALSE),"")</f>
        <v/>
      </c>
      <c r="D923" s="17" t="str">
        <f>IFERROR(VLOOKUP(B923,'MASTER DATA'!$A$1:$E$212,5,FALSE),"")</f>
        <v/>
      </c>
      <c r="E923" s="17"/>
      <c r="F923" s="17" t="str">
        <f>IFERROR(VLOOKUP(B923,'MASTER DATA'!$A$1:$E$212,4,FALSE),"")</f>
        <v/>
      </c>
      <c r="G923" s="17"/>
      <c r="H923" s="17"/>
      <c r="I923" s="17"/>
      <c r="J923" s="17" t="b">
        <v>0</v>
      </c>
    </row>
    <row r="924">
      <c r="A924" s="17"/>
      <c r="B924" s="17"/>
      <c r="C924" s="17" t="str">
        <f>IFERROR(VLOOKUP(B924,'MASTER DATA'!$A$1:$E$212,2,FALSE),"")</f>
        <v/>
      </c>
      <c r="D924" s="17" t="str">
        <f>IFERROR(VLOOKUP(B924,'MASTER DATA'!$A$1:$E$212,5,FALSE),"")</f>
        <v/>
      </c>
      <c r="E924" s="17"/>
      <c r="F924" s="17" t="str">
        <f>IFERROR(VLOOKUP(B924,'MASTER DATA'!$A$1:$E$212,4,FALSE),"")</f>
        <v/>
      </c>
      <c r="G924" s="17"/>
      <c r="H924" s="17"/>
      <c r="I924" s="17"/>
      <c r="J924" s="17" t="b">
        <v>0</v>
      </c>
    </row>
    <row r="925">
      <c r="A925" s="17"/>
      <c r="B925" s="17"/>
      <c r="C925" s="17" t="str">
        <f>IFERROR(VLOOKUP(B925,'MASTER DATA'!$A$1:$E$212,2,FALSE),"")</f>
        <v/>
      </c>
      <c r="D925" s="17" t="str">
        <f>IFERROR(VLOOKUP(B925,'MASTER DATA'!$A$1:$E$212,5,FALSE),"")</f>
        <v/>
      </c>
      <c r="E925" s="17"/>
      <c r="F925" s="17" t="str">
        <f>IFERROR(VLOOKUP(B925,'MASTER DATA'!$A$1:$E$212,4,FALSE),"")</f>
        <v/>
      </c>
      <c r="G925" s="17"/>
      <c r="H925" s="17"/>
      <c r="I925" s="17"/>
      <c r="J925" s="17" t="b">
        <v>0</v>
      </c>
    </row>
    <row r="926">
      <c r="A926" s="17"/>
      <c r="B926" s="17"/>
      <c r="C926" s="17" t="str">
        <f>IFERROR(VLOOKUP(B926,'MASTER DATA'!$A$1:$E$212,2,FALSE),"")</f>
        <v/>
      </c>
      <c r="D926" s="17" t="str">
        <f>IFERROR(VLOOKUP(B926,'MASTER DATA'!$A$1:$E$212,5,FALSE),"")</f>
        <v/>
      </c>
      <c r="E926" s="17"/>
      <c r="F926" s="17" t="str">
        <f>IFERROR(VLOOKUP(B926,'MASTER DATA'!$A$1:$E$212,4,FALSE),"")</f>
        <v/>
      </c>
      <c r="G926" s="17"/>
      <c r="H926" s="17"/>
      <c r="I926" s="17"/>
      <c r="J926" s="17" t="b">
        <v>0</v>
      </c>
    </row>
    <row r="927">
      <c r="A927" s="17"/>
      <c r="B927" s="17"/>
      <c r="C927" s="17" t="str">
        <f>IFERROR(VLOOKUP(B927,'MASTER DATA'!$A$1:$E$212,2,FALSE),"")</f>
        <v/>
      </c>
      <c r="D927" s="17" t="str">
        <f>IFERROR(VLOOKUP(B927,'MASTER DATA'!$A$1:$E$212,5,FALSE),"")</f>
        <v/>
      </c>
      <c r="E927" s="17"/>
      <c r="F927" s="17" t="str">
        <f>IFERROR(VLOOKUP(B927,'MASTER DATA'!$A$1:$E$212,4,FALSE),"")</f>
        <v/>
      </c>
      <c r="G927" s="17"/>
      <c r="H927" s="17"/>
      <c r="I927" s="17"/>
      <c r="J927" s="17" t="b">
        <v>0</v>
      </c>
    </row>
    <row r="928">
      <c r="A928" s="17"/>
      <c r="B928" s="17"/>
      <c r="C928" s="17" t="str">
        <f>IFERROR(VLOOKUP(B928,'MASTER DATA'!$A$1:$E$212,2,FALSE),"")</f>
        <v/>
      </c>
      <c r="D928" s="17" t="str">
        <f>IFERROR(VLOOKUP(B928,'MASTER DATA'!$A$1:$E$212,5,FALSE),"")</f>
        <v/>
      </c>
      <c r="E928" s="17"/>
      <c r="F928" s="17" t="str">
        <f>IFERROR(VLOOKUP(B928,'MASTER DATA'!$A$1:$E$212,4,FALSE),"")</f>
        <v/>
      </c>
      <c r="G928" s="17"/>
      <c r="H928" s="17"/>
      <c r="I928" s="17"/>
      <c r="J928" s="17" t="b">
        <v>0</v>
      </c>
    </row>
    <row r="929">
      <c r="A929" s="17"/>
      <c r="B929" s="17"/>
      <c r="C929" s="17" t="str">
        <f>IFERROR(VLOOKUP(B929,'MASTER DATA'!$A$1:$E$212,2,FALSE),"")</f>
        <v/>
      </c>
      <c r="D929" s="17" t="str">
        <f>IFERROR(VLOOKUP(B929,'MASTER DATA'!$A$1:$E$212,5,FALSE),"")</f>
        <v/>
      </c>
      <c r="E929" s="17"/>
      <c r="F929" s="17" t="str">
        <f>IFERROR(VLOOKUP(B929,'MASTER DATA'!$A$1:$E$212,4,FALSE),"")</f>
        <v/>
      </c>
      <c r="G929" s="17"/>
      <c r="H929" s="17"/>
      <c r="I929" s="17"/>
      <c r="J929" s="17" t="b">
        <v>0</v>
      </c>
    </row>
    <row r="930">
      <c r="A930" s="17"/>
      <c r="B930" s="17"/>
      <c r="C930" s="17" t="str">
        <f>IFERROR(VLOOKUP(B930,'MASTER DATA'!$A$1:$E$212,2,FALSE),"")</f>
        <v/>
      </c>
      <c r="D930" s="17" t="str">
        <f>IFERROR(VLOOKUP(B930,'MASTER DATA'!$A$1:$E$212,5,FALSE),"")</f>
        <v/>
      </c>
      <c r="E930" s="17"/>
      <c r="F930" s="17" t="str">
        <f>IFERROR(VLOOKUP(B930,'MASTER DATA'!$A$1:$E$212,4,FALSE),"")</f>
        <v/>
      </c>
      <c r="G930" s="17"/>
      <c r="H930" s="17"/>
      <c r="I930" s="17"/>
      <c r="J930" s="17" t="b">
        <v>0</v>
      </c>
    </row>
    <row r="931">
      <c r="A931" s="17"/>
      <c r="B931" s="17"/>
      <c r="C931" s="17" t="str">
        <f>IFERROR(VLOOKUP(B931,'MASTER DATA'!$A$1:$E$212,2,FALSE),"")</f>
        <v/>
      </c>
      <c r="D931" s="17" t="str">
        <f>IFERROR(VLOOKUP(B931,'MASTER DATA'!$A$1:$E$212,5,FALSE),"")</f>
        <v/>
      </c>
      <c r="E931" s="17"/>
      <c r="F931" s="17" t="str">
        <f>IFERROR(VLOOKUP(B931,'MASTER DATA'!$A$1:$E$212,4,FALSE),"")</f>
        <v/>
      </c>
      <c r="G931" s="17"/>
      <c r="H931" s="17"/>
      <c r="I931" s="17"/>
      <c r="J931" s="17" t="b">
        <v>0</v>
      </c>
    </row>
    <row r="932">
      <c r="A932" s="17"/>
      <c r="B932" s="17"/>
      <c r="C932" s="17" t="str">
        <f>IFERROR(VLOOKUP(B932,'MASTER DATA'!$A$1:$E$212,2,FALSE),"")</f>
        <v/>
      </c>
      <c r="D932" s="17" t="str">
        <f>IFERROR(VLOOKUP(B932,'MASTER DATA'!$A$1:$E$212,5,FALSE),"")</f>
        <v/>
      </c>
      <c r="E932" s="17"/>
      <c r="F932" s="17" t="str">
        <f>IFERROR(VLOOKUP(B932,'MASTER DATA'!$A$1:$E$212,4,FALSE),"")</f>
        <v/>
      </c>
      <c r="G932" s="17"/>
      <c r="H932" s="17"/>
      <c r="I932" s="17"/>
      <c r="J932" s="17" t="b">
        <v>0</v>
      </c>
    </row>
    <row r="933">
      <c r="A933" s="17"/>
      <c r="B933" s="17"/>
      <c r="C933" s="17" t="str">
        <f>IFERROR(VLOOKUP(B933,'MASTER DATA'!$A$1:$E$212,2,FALSE),"")</f>
        <v/>
      </c>
      <c r="D933" s="17" t="str">
        <f>IFERROR(VLOOKUP(B933,'MASTER DATA'!$A$1:$E$212,5,FALSE),"")</f>
        <v/>
      </c>
      <c r="E933" s="17"/>
      <c r="F933" s="17" t="str">
        <f>IFERROR(VLOOKUP(B933,'MASTER DATA'!$A$1:$E$212,4,FALSE),"")</f>
        <v/>
      </c>
      <c r="G933" s="17"/>
      <c r="H933" s="17"/>
      <c r="I933" s="17"/>
      <c r="J933" s="17" t="b">
        <v>0</v>
      </c>
    </row>
    <row r="934">
      <c r="A934" s="17"/>
      <c r="B934" s="17"/>
      <c r="C934" s="17" t="str">
        <f>IFERROR(VLOOKUP(B934,'MASTER DATA'!$A$1:$E$212,2,FALSE),"")</f>
        <v/>
      </c>
      <c r="D934" s="17" t="str">
        <f>IFERROR(VLOOKUP(B934,'MASTER DATA'!$A$1:$E$212,5,FALSE),"")</f>
        <v/>
      </c>
      <c r="E934" s="17"/>
      <c r="F934" s="17" t="str">
        <f>IFERROR(VLOOKUP(B934,'MASTER DATA'!$A$1:$E$212,4,FALSE),"")</f>
        <v/>
      </c>
      <c r="G934" s="17"/>
      <c r="H934" s="17"/>
      <c r="I934" s="17"/>
      <c r="J934" s="17" t="b">
        <v>0</v>
      </c>
    </row>
    <row r="935">
      <c r="A935" s="17"/>
      <c r="B935" s="17"/>
      <c r="C935" s="17" t="str">
        <f>IFERROR(VLOOKUP(B935,'MASTER DATA'!$A$1:$E$212,2,FALSE),"")</f>
        <v/>
      </c>
      <c r="D935" s="17" t="str">
        <f>IFERROR(VLOOKUP(B935,'MASTER DATA'!$A$1:$E$212,5,FALSE),"")</f>
        <v/>
      </c>
      <c r="E935" s="17"/>
      <c r="F935" s="17" t="str">
        <f>IFERROR(VLOOKUP(B935,'MASTER DATA'!$A$1:$E$212,4,FALSE),"")</f>
        <v/>
      </c>
      <c r="G935" s="17"/>
      <c r="H935" s="17"/>
      <c r="I935" s="17"/>
      <c r="J935" s="17" t="b">
        <v>0</v>
      </c>
    </row>
    <row r="936">
      <c r="A936" s="17"/>
      <c r="B936" s="17"/>
      <c r="C936" s="17" t="str">
        <f>IFERROR(VLOOKUP(B936,'MASTER DATA'!$A$1:$E$212,2,FALSE),"")</f>
        <v/>
      </c>
      <c r="D936" s="17" t="str">
        <f>IFERROR(VLOOKUP(B936,'MASTER DATA'!$A$1:$E$212,5,FALSE),"")</f>
        <v/>
      </c>
      <c r="E936" s="17"/>
      <c r="F936" s="17" t="str">
        <f>IFERROR(VLOOKUP(B936,'MASTER DATA'!$A$1:$E$212,4,FALSE),"")</f>
        <v/>
      </c>
      <c r="G936" s="17"/>
      <c r="H936" s="17"/>
      <c r="I936" s="17"/>
      <c r="J936" s="17" t="b">
        <v>0</v>
      </c>
    </row>
    <row r="937">
      <c r="A937" s="17"/>
      <c r="B937" s="17"/>
      <c r="C937" s="17" t="str">
        <f>IFERROR(VLOOKUP(B937,'MASTER DATA'!$A$1:$E$212,2,FALSE),"")</f>
        <v/>
      </c>
      <c r="D937" s="17" t="str">
        <f>IFERROR(VLOOKUP(B937,'MASTER DATA'!$A$1:$E$212,5,FALSE),"")</f>
        <v/>
      </c>
      <c r="E937" s="17"/>
      <c r="F937" s="17" t="str">
        <f>IFERROR(VLOOKUP(B937,'MASTER DATA'!$A$1:$E$212,4,FALSE),"")</f>
        <v/>
      </c>
      <c r="G937" s="17"/>
      <c r="H937" s="17"/>
      <c r="I937" s="17"/>
      <c r="J937" s="17" t="b">
        <v>0</v>
      </c>
    </row>
    <row r="938">
      <c r="A938" s="17"/>
      <c r="B938" s="17"/>
      <c r="C938" s="17" t="str">
        <f>IFERROR(VLOOKUP(B938,'MASTER DATA'!$A$1:$E$212,2,FALSE),"")</f>
        <v/>
      </c>
      <c r="D938" s="17" t="str">
        <f>IFERROR(VLOOKUP(B938,'MASTER DATA'!$A$1:$E$212,5,FALSE),"")</f>
        <v/>
      </c>
      <c r="E938" s="17"/>
      <c r="F938" s="17" t="str">
        <f>IFERROR(VLOOKUP(B938,'MASTER DATA'!$A$1:$E$212,4,FALSE),"")</f>
        <v/>
      </c>
      <c r="G938" s="17"/>
      <c r="H938" s="17"/>
      <c r="I938" s="17"/>
      <c r="J938" s="17" t="b">
        <v>0</v>
      </c>
    </row>
    <row r="939">
      <c r="A939" s="17"/>
      <c r="B939" s="17"/>
      <c r="C939" s="17" t="str">
        <f>IFERROR(VLOOKUP(B939,'MASTER DATA'!$A$1:$E$212,2,FALSE),"")</f>
        <v/>
      </c>
      <c r="D939" s="17" t="str">
        <f>IFERROR(VLOOKUP(B939,'MASTER DATA'!$A$1:$E$212,5,FALSE),"")</f>
        <v/>
      </c>
      <c r="E939" s="17"/>
      <c r="F939" s="17" t="str">
        <f>IFERROR(VLOOKUP(B939,'MASTER DATA'!$A$1:$E$212,4,FALSE),"")</f>
        <v/>
      </c>
      <c r="G939" s="17"/>
      <c r="H939" s="17"/>
      <c r="I939" s="17"/>
      <c r="J939" s="17" t="b">
        <v>0</v>
      </c>
    </row>
    <row r="940">
      <c r="A940" s="17"/>
      <c r="B940" s="17"/>
      <c r="C940" s="17" t="str">
        <f>IFERROR(VLOOKUP(B940,'MASTER DATA'!$A$1:$E$212,2,FALSE),"")</f>
        <v/>
      </c>
      <c r="D940" s="17" t="str">
        <f>IFERROR(VLOOKUP(B940,'MASTER DATA'!$A$1:$E$212,5,FALSE),"")</f>
        <v/>
      </c>
      <c r="E940" s="17"/>
      <c r="F940" s="17" t="str">
        <f>IFERROR(VLOOKUP(B940,'MASTER DATA'!$A$1:$E$212,4,FALSE),"")</f>
        <v/>
      </c>
      <c r="G940" s="17"/>
      <c r="H940" s="17"/>
      <c r="I940" s="17"/>
      <c r="J940" s="17" t="b">
        <v>0</v>
      </c>
    </row>
    <row r="941">
      <c r="A941" s="17"/>
      <c r="B941" s="17"/>
      <c r="C941" s="17" t="str">
        <f>IFERROR(VLOOKUP(B941,'MASTER DATA'!$A$1:$E$212,2,FALSE),"")</f>
        <v/>
      </c>
      <c r="D941" s="17" t="str">
        <f>IFERROR(VLOOKUP(B941,'MASTER DATA'!$A$1:$E$212,5,FALSE),"")</f>
        <v/>
      </c>
      <c r="E941" s="17"/>
      <c r="F941" s="17" t="str">
        <f>IFERROR(VLOOKUP(B941,'MASTER DATA'!$A$1:$E$212,4,FALSE),"")</f>
        <v/>
      </c>
      <c r="G941" s="17"/>
      <c r="H941" s="17"/>
      <c r="I941" s="17"/>
      <c r="J941" s="17" t="b">
        <v>0</v>
      </c>
    </row>
    <row r="942">
      <c r="A942" s="17"/>
      <c r="B942" s="17"/>
      <c r="C942" s="17" t="str">
        <f>IFERROR(VLOOKUP(B942,'MASTER DATA'!$A$1:$E$212,2,FALSE),"")</f>
        <v/>
      </c>
      <c r="D942" s="17" t="str">
        <f>IFERROR(VLOOKUP(B942,'MASTER DATA'!$A$1:$E$212,5,FALSE),"")</f>
        <v/>
      </c>
      <c r="E942" s="17"/>
      <c r="F942" s="17" t="str">
        <f>IFERROR(VLOOKUP(B942,'MASTER DATA'!$A$1:$E$212,4,FALSE),"")</f>
        <v/>
      </c>
      <c r="G942" s="17"/>
      <c r="H942" s="17"/>
      <c r="I942" s="17"/>
      <c r="J942" s="17" t="b">
        <v>0</v>
      </c>
    </row>
    <row r="943">
      <c r="A943" s="17"/>
      <c r="B943" s="17"/>
      <c r="C943" s="17" t="str">
        <f>IFERROR(VLOOKUP(B943,'MASTER DATA'!$A$1:$E$212,2,FALSE),"")</f>
        <v/>
      </c>
      <c r="D943" s="17" t="str">
        <f>IFERROR(VLOOKUP(B943,'MASTER DATA'!$A$1:$E$212,5,FALSE),"")</f>
        <v/>
      </c>
      <c r="E943" s="17"/>
      <c r="F943" s="17" t="str">
        <f>IFERROR(VLOOKUP(B943,'MASTER DATA'!$A$1:$E$212,4,FALSE),"")</f>
        <v/>
      </c>
      <c r="G943" s="17"/>
      <c r="H943" s="17"/>
      <c r="I943" s="17"/>
      <c r="J943" s="17" t="b">
        <v>0</v>
      </c>
    </row>
    <row r="944">
      <c r="A944" s="17"/>
      <c r="B944" s="17"/>
      <c r="C944" s="17" t="str">
        <f>IFERROR(VLOOKUP(B944,'MASTER DATA'!$A$1:$E$212,2,FALSE),"")</f>
        <v/>
      </c>
      <c r="D944" s="17" t="str">
        <f>IFERROR(VLOOKUP(B944,'MASTER DATA'!$A$1:$E$212,5,FALSE),"")</f>
        <v/>
      </c>
      <c r="E944" s="17"/>
      <c r="F944" s="17" t="str">
        <f>IFERROR(VLOOKUP(B944,'MASTER DATA'!$A$1:$E$212,4,FALSE),"")</f>
        <v/>
      </c>
      <c r="G944" s="17"/>
      <c r="H944" s="17"/>
      <c r="I944" s="17"/>
      <c r="J944" s="17" t="b">
        <v>0</v>
      </c>
    </row>
    <row r="945">
      <c r="A945" s="17"/>
      <c r="B945" s="17"/>
      <c r="C945" s="17" t="str">
        <f>IFERROR(VLOOKUP(B945,'MASTER DATA'!$A$1:$E$212,2,FALSE),"")</f>
        <v/>
      </c>
      <c r="D945" s="17" t="str">
        <f>IFERROR(VLOOKUP(B945,'MASTER DATA'!$A$1:$E$212,5,FALSE),"")</f>
        <v/>
      </c>
      <c r="E945" s="17"/>
      <c r="F945" s="17" t="str">
        <f>IFERROR(VLOOKUP(B945,'MASTER DATA'!$A$1:$E$212,4,FALSE),"")</f>
        <v/>
      </c>
      <c r="G945" s="17"/>
      <c r="H945" s="17"/>
      <c r="I945" s="17"/>
      <c r="J945" s="17" t="b">
        <v>0</v>
      </c>
    </row>
    <row r="946">
      <c r="A946" s="17"/>
      <c r="B946" s="17"/>
      <c r="C946" s="17" t="str">
        <f>IFERROR(VLOOKUP(B946,'MASTER DATA'!$A$1:$E$212,2,FALSE),"")</f>
        <v/>
      </c>
      <c r="D946" s="17" t="str">
        <f>IFERROR(VLOOKUP(B946,'MASTER DATA'!$A$1:$E$212,5,FALSE),"")</f>
        <v/>
      </c>
      <c r="E946" s="17"/>
      <c r="F946" s="17" t="str">
        <f>IFERROR(VLOOKUP(B946,'MASTER DATA'!$A$1:$E$212,4,FALSE),"")</f>
        <v/>
      </c>
      <c r="G946" s="17"/>
      <c r="H946" s="17"/>
      <c r="I946" s="17"/>
      <c r="J946" s="17" t="b">
        <v>0</v>
      </c>
    </row>
    <row r="947">
      <c r="A947" s="17"/>
      <c r="B947" s="17"/>
      <c r="C947" s="17" t="str">
        <f>IFERROR(VLOOKUP(B947,'MASTER DATA'!$A$1:$E$212,2,FALSE),"")</f>
        <v/>
      </c>
      <c r="D947" s="17" t="str">
        <f>IFERROR(VLOOKUP(B947,'MASTER DATA'!$A$1:$E$212,5,FALSE),"")</f>
        <v/>
      </c>
      <c r="E947" s="17"/>
      <c r="F947" s="17" t="str">
        <f>IFERROR(VLOOKUP(B947,'MASTER DATA'!$A$1:$E$212,4,FALSE),"")</f>
        <v/>
      </c>
      <c r="G947" s="17"/>
      <c r="H947" s="17"/>
      <c r="I947" s="17"/>
      <c r="J947" s="17" t="b">
        <v>0</v>
      </c>
    </row>
    <row r="948">
      <c r="A948" s="17"/>
      <c r="B948" s="17"/>
      <c r="C948" s="17" t="str">
        <f>IFERROR(VLOOKUP(B948,'MASTER DATA'!$A$1:$E$212,2,FALSE),"")</f>
        <v/>
      </c>
      <c r="D948" s="17" t="str">
        <f>IFERROR(VLOOKUP(B948,'MASTER DATA'!$A$1:$E$212,5,FALSE),"")</f>
        <v/>
      </c>
      <c r="E948" s="17"/>
      <c r="F948" s="17" t="str">
        <f>IFERROR(VLOOKUP(B948,'MASTER DATA'!$A$1:$E$212,4,FALSE),"")</f>
        <v/>
      </c>
      <c r="G948" s="17"/>
      <c r="H948" s="17"/>
      <c r="I948" s="17"/>
      <c r="J948" s="17" t="b">
        <v>0</v>
      </c>
    </row>
    <row r="949">
      <c r="A949" s="17"/>
      <c r="B949" s="17"/>
      <c r="C949" s="17" t="str">
        <f>IFERROR(VLOOKUP(B949,'MASTER DATA'!$A$1:$E$212,2,FALSE),"")</f>
        <v/>
      </c>
      <c r="D949" s="17" t="str">
        <f>IFERROR(VLOOKUP(B949,'MASTER DATA'!$A$1:$E$212,5,FALSE),"")</f>
        <v/>
      </c>
      <c r="E949" s="17"/>
      <c r="F949" s="17" t="str">
        <f>IFERROR(VLOOKUP(B949,'MASTER DATA'!$A$1:$E$212,4,FALSE),"")</f>
        <v/>
      </c>
      <c r="G949" s="17"/>
      <c r="H949" s="17"/>
      <c r="I949" s="17"/>
      <c r="J949" s="17" t="b">
        <v>0</v>
      </c>
    </row>
    <row r="950">
      <c r="A950" s="17"/>
      <c r="B950" s="17"/>
      <c r="C950" s="17" t="str">
        <f>IFERROR(VLOOKUP(B950,'MASTER DATA'!$A$1:$E$212,2,FALSE),"")</f>
        <v/>
      </c>
      <c r="D950" s="17" t="str">
        <f>IFERROR(VLOOKUP(B950,'MASTER DATA'!$A$1:$E$212,5,FALSE),"")</f>
        <v/>
      </c>
      <c r="E950" s="17"/>
      <c r="F950" s="17" t="str">
        <f>IFERROR(VLOOKUP(B950,'MASTER DATA'!$A$1:$E$212,4,FALSE),"")</f>
        <v/>
      </c>
      <c r="G950" s="17"/>
      <c r="H950" s="17"/>
      <c r="I950" s="17"/>
      <c r="J950" s="17" t="b">
        <v>0</v>
      </c>
    </row>
    <row r="951">
      <c r="A951" s="17"/>
      <c r="B951" s="17"/>
      <c r="C951" s="17" t="str">
        <f>IFERROR(VLOOKUP(B951,'MASTER DATA'!$A$1:$E$212,2,FALSE),"")</f>
        <v/>
      </c>
      <c r="D951" s="17" t="str">
        <f>IFERROR(VLOOKUP(B951,'MASTER DATA'!$A$1:$E$212,5,FALSE),"")</f>
        <v/>
      </c>
      <c r="E951" s="17"/>
      <c r="F951" s="17" t="str">
        <f>IFERROR(VLOOKUP(B951,'MASTER DATA'!$A$1:$E$212,4,FALSE),"")</f>
        <v/>
      </c>
      <c r="G951" s="17"/>
      <c r="H951" s="17"/>
      <c r="I951" s="17"/>
      <c r="J951" s="17" t="b">
        <v>0</v>
      </c>
    </row>
    <row r="952">
      <c r="A952" s="17"/>
      <c r="B952" s="17"/>
      <c r="C952" s="17" t="str">
        <f>IFERROR(VLOOKUP(B952,'MASTER DATA'!$A$1:$E$212,2,FALSE),"")</f>
        <v/>
      </c>
      <c r="D952" s="17" t="str">
        <f>IFERROR(VLOOKUP(B952,'MASTER DATA'!$A$1:$E$212,5,FALSE),"")</f>
        <v/>
      </c>
      <c r="E952" s="17"/>
      <c r="F952" s="17" t="str">
        <f>IFERROR(VLOOKUP(B952,'MASTER DATA'!$A$1:$E$212,4,FALSE),"")</f>
        <v/>
      </c>
      <c r="G952" s="17"/>
      <c r="H952" s="17"/>
      <c r="I952" s="17"/>
      <c r="J952" s="17" t="b">
        <v>0</v>
      </c>
    </row>
    <row r="953">
      <c r="A953" s="17"/>
      <c r="B953" s="17"/>
      <c r="C953" s="17" t="str">
        <f>IFERROR(VLOOKUP(B953,'MASTER DATA'!$A$1:$E$212,2,FALSE),"")</f>
        <v/>
      </c>
      <c r="D953" s="17" t="str">
        <f>IFERROR(VLOOKUP(B953,'MASTER DATA'!$A$1:$E$212,5,FALSE),"")</f>
        <v/>
      </c>
      <c r="E953" s="17"/>
      <c r="F953" s="17" t="str">
        <f>IFERROR(VLOOKUP(B953,'MASTER DATA'!$A$1:$E$212,4,FALSE),"")</f>
        <v/>
      </c>
      <c r="G953" s="17"/>
      <c r="H953" s="17"/>
      <c r="I953" s="17"/>
      <c r="J953" s="17" t="b">
        <v>0</v>
      </c>
    </row>
    <row r="954">
      <c r="A954" s="17"/>
      <c r="B954" s="17"/>
      <c r="C954" s="17" t="str">
        <f>IFERROR(VLOOKUP(B954,'MASTER DATA'!$A$1:$E$212,2,FALSE),"")</f>
        <v/>
      </c>
      <c r="D954" s="17" t="str">
        <f>IFERROR(VLOOKUP(B954,'MASTER DATA'!$A$1:$E$212,5,FALSE),"")</f>
        <v/>
      </c>
      <c r="E954" s="17"/>
      <c r="F954" s="17" t="str">
        <f>IFERROR(VLOOKUP(B954,'MASTER DATA'!$A$1:$E$212,4,FALSE),"")</f>
        <v/>
      </c>
      <c r="G954" s="17"/>
      <c r="H954" s="17"/>
      <c r="I954" s="17"/>
      <c r="J954" s="17" t="b">
        <v>0</v>
      </c>
    </row>
    <row r="955">
      <c r="A955" s="17"/>
      <c r="B955" s="17"/>
      <c r="C955" s="17" t="str">
        <f>IFERROR(VLOOKUP(B955,'MASTER DATA'!$A$1:$E$212,2,FALSE),"")</f>
        <v/>
      </c>
      <c r="D955" s="17" t="str">
        <f>IFERROR(VLOOKUP(B955,'MASTER DATA'!$A$1:$E$212,5,FALSE),"")</f>
        <v/>
      </c>
      <c r="E955" s="17"/>
      <c r="F955" s="17" t="str">
        <f>IFERROR(VLOOKUP(B955,'MASTER DATA'!$A$1:$E$212,4,FALSE),"")</f>
        <v/>
      </c>
      <c r="G955" s="17"/>
      <c r="H955" s="17"/>
      <c r="I955" s="17"/>
      <c r="J955" s="17" t="b">
        <v>0</v>
      </c>
    </row>
    <row r="956">
      <c r="A956" s="17"/>
      <c r="B956" s="17"/>
      <c r="C956" s="17" t="str">
        <f>IFERROR(VLOOKUP(B956,'MASTER DATA'!$A$1:$E$212,2,FALSE),"")</f>
        <v/>
      </c>
      <c r="D956" s="17" t="str">
        <f>IFERROR(VLOOKUP(B956,'MASTER DATA'!$A$1:$E$212,5,FALSE),"")</f>
        <v/>
      </c>
      <c r="E956" s="17"/>
      <c r="F956" s="17" t="str">
        <f>IFERROR(VLOOKUP(B956,'MASTER DATA'!$A$1:$E$212,4,FALSE),"")</f>
        <v/>
      </c>
      <c r="G956" s="17"/>
      <c r="H956" s="17"/>
      <c r="I956" s="17"/>
      <c r="J956" s="17" t="b">
        <v>0</v>
      </c>
    </row>
    <row r="957">
      <c r="A957" s="17"/>
      <c r="B957" s="17"/>
      <c r="C957" s="17" t="str">
        <f>IFERROR(VLOOKUP(B957,'MASTER DATA'!$A$1:$E$212,2,FALSE),"")</f>
        <v/>
      </c>
      <c r="D957" s="17" t="str">
        <f>IFERROR(VLOOKUP(B957,'MASTER DATA'!$A$1:$E$212,5,FALSE),"")</f>
        <v/>
      </c>
      <c r="E957" s="17"/>
      <c r="F957" s="17" t="str">
        <f>IFERROR(VLOOKUP(B957,'MASTER DATA'!$A$1:$E$212,4,FALSE),"")</f>
        <v/>
      </c>
      <c r="G957" s="17"/>
      <c r="H957" s="17"/>
      <c r="I957" s="17"/>
      <c r="J957" s="17" t="b">
        <v>0</v>
      </c>
    </row>
    <row r="958">
      <c r="A958" s="17"/>
      <c r="B958" s="17"/>
      <c r="C958" s="17" t="str">
        <f>IFERROR(VLOOKUP(B958,'MASTER DATA'!$A$1:$E$212,2,FALSE),"")</f>
        <v/>
      </c>
      <c r="D958" s="17" t="str">
        <f>IFERROR(VLOOKUP(B958,'MASTER DATA'!$A$1:$E$212,5,FALSE),"")</f>
        <v/>
      </c>
      <c r="E958" s="17"/>
      <c r="F958" s="17" t="str">
        <f>IFERROR(VLOOKUP(B958,'MASTER DATA'!$A$1:$E$212,4,FALSE),"")</f>
        <v/>
      </c>
      <c r="G958" s="17"/>
      <c r="H958" s="17"/>
      <c r="I958" s="17"/>
      <c r="J958" s="17" t="b">
        <v>0</v>
      </c>
    </row>
    <row r="959">
      <c r="A959" s="17"/>
      <c r="B959" s="17"/>
      <c r="C959" s="17" t="str">
        <f>IFERROR(VLOOKUP(B959,'MASTER DATA'!$A$1:$E$212,2,FALSE),"")</f>
        <v/>
      </c>
      <c r="D959" s="17" t="str">
        <f>IFERROR(VLOOKUP(B959,'MASTER DATA'!$A$1:$E$212,5,FALSE),"")</f>
        <v/>
      </c>
      <c r="E959" s="17"/>
      <c r="F959" s="17" t="str">
        <f>IFERROR(VLOOKUP(B959,'MASTER DATA'!$A$1:$E$212,4,FALSE),"")</f>
        <v/>
      </c>
      <c r="G959" s="17"/>
      <c r="H959" s="17"/>
      <c r="I959" s="17"/>
      <c r="J959" s="17" t="b">
        <v>0</v>
      </c>
    </row>
    <row r="960">
      <c r="A960" s="17"/>
      <c r="B960" s="17"/>
      <c r="C960" s="17" t="str">
        <f>IFERROR(VLOOKUP(B960,'MASTER DATA'!$A$1:$E$212,2,FALSE),"")</f>
        <v/>
      </c>
      <c r="D960" s="17" t="str">
        <f>IFERROR(VLOOKUP(B960,'MASTER DATA'!$A$1:$E$212,5,FALSE),"")</f>
        <v/>
      </c>
      <c r="E960" s="17"/>
      <c r="F960" s="17" t="str">
        <f>IFERROR(VLOOKUP(B960,'MASTER DATA'!$A$1:$E$212,4,FALSE),"")</f>
        <v/>
      </c>
      <c r="G960" s="17"/>
      <c r="H960" s="17"/>
      <c r="I960" s="17"/>
      <c r="J960" s="17" t="b">
        <v>0</v>
      </c>
    </row>
    <row r="961">
      <c r="A961" s="17"/>
      <c r="B961" s="17"/>
      <c r="C961" s="17" t="str">
        <f>IFERROR(VLOOKUP(B961,'MASTER DATA'!$A$1:$E$212,2,FALSE),"")</f>
        <v/>
      </c>
      <c r="D961" s="17" t="str">
        <f>IFERROR(VLOOKUP(B961,'MASTER DATA'!$A$1:$E$212,5,FALSE),"")</f>
        <v/>
      </c>
      <c r="E961" s="17"/>
      <c r="F961" s="17" t="str">
        <f>IFERROR(VLOOKUP(B961,'MASTER DATA'!$A$1:$E$212,4,FALSE),"")</f>
        <v/>
      </c>
      <c r="G961" s="17"/>
      <c r="H961" s="17"/>
      <c r="I961" s="17"/>
      <c r="J961" s="17" t="b">
        <v>0</v>
      </c>
    </row>
    <row r="962">
      <c r="A962" s="17"/>
      <c r="B962" s="17"/>
      <c r="C962" s="17" t="str">
        <f>IFERROR(VLOOKUP(B962,'MASTER DATA'!$A$1:$E$212,2,FALSE),"")</f>
        <v/>
      </c>
      <c r="D962" s="17" t="str">
        <f>IFERROR(VLOOKUP(B962,'MASTER DATA'!$A$1:$E$212,5,FALSE),"")</f>
        <v/>
      </c>
      <c r="E962" s="17"/>
      <c r="F962" s="17" t="str">
        <f>IFERROR(VLOOKUP(B962,'MASTER DATA'!$A$1:$E$212,4,FALSE),"")</f>
        <v/>
      </c>
      <c r="G962" s="17"/>
      <c r="H962" s="17"/>
      <c r="I962" s="17"/>
      <c r="J962" s="17" t="b">
        <v>0</v>
      </c>
    </row>
    <row r="963">
      <c r="A963" s="17"/>
      <c r="B963" s="17"/>
      <c r="C963" s="17" t="str">
        <f>IFERROR(VLOOKUP(B963,'MASTER DATA'!$A$1:$E$212,2,FALSE),"")</f>
        <v/>
      </c>
      <c r="D963" s="17" t="str">
        <f>IFERROR(VLOOKUP(B963,'MASTER DATA'!$A$1:$E$212,5,FALSE),"")</f>
        <v/>
      </c>
      <c r="E963" s="17"/>
      <c r="F963" s="17" t="str">
        <f>IFERROR(VLOOKUP(B963,'MASTER DATA'!$A$1:$E$212,4,FALSE),"")</f>
        <v/>
      </c>
      <c r="G963" s="17"/>
      <c r="H963" s="17"/>
      <c r="I963" s="17"/>
      <c r="J963" s="17" t="b">
        <v>0</v>
      </c>
    </row>
    <row r="964">
      <c r="A964" s="17"/>
      <c r="B964" s="17"/>
      <c r="C964" s="17" t="str">
        <f>IFERROR(VLOOKUP(B964,'MASTER DATA'!$A$1:$E$212,2,FALSE),"")</f>
        <v/>
      </c>
      <c r="D964" s="17" t="str">
        <f>IFERROR(VLOOKUP(B964,'MASTER DATA'!$A$1:$E$212,5,FALSE),"")</f>
        <v/>
      </c>
      <c r="E964" s="17"/>
      <c r="F964" s="17" t="str">
        <f>IFERROR(VLOOKUP(B964,'MASTER DATA'!$A$1:$E$212,4,FALSE),"")</f>
        <v/>
      </c>
      <c r="G964" s="17"/>
      <c r="H964" s="17"/>
      <c r="I964" s="17"/>
      <c r="J964" s="17" t="b">
        <v>0</v>
      </c>
    </row>
    <row r="965">
      <c r="A965" s="17"/>
      <c r="B965" s="17"/>
      <c r="C965" s="17" t="str">
        <f>IFERROR(VLOOKUP(B965,'MASTER DATA'!$A$1:$E$212,2,FALSE),"")</f>
        <v/>
      </c>
      <c r="D965" s="17" t="str">
        <f>IFERROR(VLOOKUP(B965,'MASTER DATA'!$A$1:$E$212,5,FALSE),"")</f>
        <v/>
      </c>
      <c r="E965" s="17"/>
      <c r="F965" s="17" t="str">
        <f>IFERROR(VLOOKUP(B965,'MASTER DATA'!$A$1:$E$212,4,FALSE),"")</f>
        <v/>
      </c>
      <c r="G965" s="17"/>
      <c r="H965" s="17"/>
      <c r="I965" s="17"/>
      <c r="J965" s="17" t="b">
        <v>0</v>
      </c>
    </row>
    <row r="966">
      <c r="A966" s="17"/>
      <c r="B966" s="17"/>
      <c r="C966" s="17" t="str">
        <f>IFERROR(VLOOKUP(B966,'MASTER DATA'!$A$1:$E$212,2,FALSE),"")</f>
        <v/>
      </c>
      <c r="D966" s="17" t="str">
        <f>IFERROR(VLOOKUP(B966,'MASTER DATA'!$A$1:$E$212,5,FALSE),"")</f>
        <v/>
      </c>
      <c r="E966" s="17"/>
      <c r="F966" s="17" t="str">
        <f>IFERROR(VLOOKUP(B966,'MASTER DATA'!$A$1:$E$212,4,FALSE),"")</f>
        <v/>
      </c>
      <c r="G966" s="17"/>
      <c r="H966" s="17"/>
      <c r="I966" s="17"/>
      <c r="J966" s="17" t="b">
        <v>0</v>
      </c>
    </row>
    <row r="967">
      <c r="A967" s="17"/>
      <c r="B967" s="17"/>
      <c r="C967" s="17" t="str">
        <f>IFERROR(VLOOKUP(B967,'MASTER DATA'!$A$1:$E$212,2,FALSE),"")</f>
        <v/>
      </c>
      <c r="D967" s="17" t="str">
        <f>IFERROR(VLOOKUP(B967,'MASTER DATA'!$A$1:$E$212,5,FALSE),"")</f>
        <v/>
      </c>
      <c r="E967" s="17"/>
      <c r="F967" s="17" t="str">
        <f>IFERROR(VLOOKUP(B967,'MASTER DATA'!$A$1:$E$212,4,FALSE),"")</f>
        <v/>
      </c>
      <c r="G967" s="17"/>
      <c r="H967" s="17"/>
      <c r="I967" s="17"/>
      <c r="J967" s="17" t="b">
        <v>0</v>
      </c>
    </row>
    <row r="968">
      <c r="A968" s="17"/>
      <c r="B968" s="17"/>
      <c r="C968" s="17" t="str">
        <f>IFERROR(VLOOKUP(B968,'MASTER DATA'!$A$1:$E$212,2,FALSE),"")</f>
        <v/>
      </c>
      <c r="D968" s="17" t="str">
        <f>IFERROR(VLOOKUP(B968,'MASTER DATA'!$A$1:$E$212,5,FALSE),"")</f>
        <v/>
      </c>
      <c r="E968" s="17"/>
      <c r="F968" s="17" t="str">
        <f>IFERROR(VLOOKUP(B968,'MASTER DATA'!$A$1:$E$212,4,FALSE),"")</f>
        <v/>
      </c>
      <c r="G968" s="17"/>
      <c r="H968" s="17"/>
      <c r="I968" s="17"/>
      <c r="J968" s="17" t="b">
        <v>0</v>
      </c>
    </row>
    <row r="969">
      <c r="A969" s="17"/>
      <c r="B969" s="17"/>
      <c r="C969" s="17" t="str">
        <f>IFERROR(VLOOKUP(B969,'MASTER DATA'!$A$1:$E$212,2,FALSE),"")</f>
        <v/>
      </c>
      <c r="D969" s="17" t="str">
        <f>IFERROR(VLOOKUP(B969,'MASTER DATA'!$A$1:$E$212,5,FALSE),"")</f>
        <v/>
      </c>
      <c r="E969" s="17"/>
      <c r="F969" s="17" t="str">
        <f>IFERROR(VLOOKUP(B969,'MASTER DATA'!$A$1:$E$212,4,FALSE),"")</f>
        <v/>
      </c>
      <c r="G969" s="17"/>
      <c r="H969" s="17"/>
      <c r="I969" s="17"/>
      <c r="J969" s="17" t="b">
        <v>0</v>
      </c>
    </row>
    <row r="970">
      <c r="A970" s="17"/>
      <c r="B970" s="17"/>
      <c r="C970" s="17" t="str">
        <f>IFERROR(VLOOKUP(B970,'MASTER DATA'!$A$1:$E$212,2,FALSE),"")</f>
        <v/>
      </c>
      <c r="D970" s="17" t="str">
        <f>IFERROR(VLOOKUP(B970,'MASTER DATA'!$A$1:$E$212,5,FALSE),"")</f>
        <v/>
      </c>
      <c r="E970" s="17"/>
      <c r="F970" s="17" t="str">
        <f>IFERROR(VLOOKUP(B970,'MASTER DATA'!$A$1:$E$212,4,FALSE),"")</f>
        <v/>
      </c>
      <c r="G970" s="17"/>
      <c r="H970" s="17"/>
      <c r="I970" s="17"/>
      <c r="J970" s="17" t="b">
        <v>0</v>
      </c>
    </row>
    <row r="971">
      <c r="A971" s="17"/>
      <c r="B971" s="17"/>
      <c r="C971" s="17" t="str">
        <f>IFERROR(VLOOKUP(B971,'MASTER DATA'!$A$1:$E$212,2,FALSE),"")</f>
        <v/>
      </c>
      <c r="D971" s="17" t="str">
        <f>IFERROR(VLOOKUP(B971,'MASTER DATA'!$A$1:$E$212,5,FALSE),"")</f>
        <v/>
      </c>
      <c r="E971" s="17"/>
      <c r="F971" s="17" t="str">
        <f>IFERROR(VLOOKUP(B971,'MASTER DATA'!$A$1:$E$212,4,FALSE),"")</f>
        <v/>
      </c>
      <c r="G971" s="17"/>
      <c r="H971" s="17"/>
      <c r="I971" s="17"/>
      <c r="J971" s="17" t="b">
        <v>0</v>
      </c>
    </row>
    <row r="972">
      <c r="A972" s="17"/>
      <c r="B972" s="17"/>
      <c r="C972" s="17" t="str">
        <f>IFERROR(VLOOKUP(B972,'MASTER DATA'!$A$1:$E$212,2,FALSE),"")</f>
        <v/>
      </c>
      <c r="D972" s="17" t="str">
        <f>IFERROR(VLOOKUP(B972,'MASTER DATA'!$A$1:$E$212,5,FALSE),"")</f>
        <v/>
      </c>
      <c r="E972" s="17"/>
      <c r="F972" s="17" t="str">
        <f>IFERROR(VLOOKUP(B972,'MASTER DATA'!$A$1:$E$212,4,FALSE),"")</f>
        <v/>
      </c>
      <c r="G972" s="17"/>
      <c r="H972" s="17"/>
      <c r="I972" s="17"/>
      <c r="J972" s="17" t="b">
        <v>0</v>
      </c>
    </row>
    <row r="973">
      <c r="A973" s="17"/>
      <c r="B973" s="17"/>
      <c r="C973" s="17" t="str">
        <f>IFERROR(VLOOKUP(B973,'MASTER DATA'!$A$1:$E$212,2,FALSE),"")</f>
        <v/>
      </c>
      <c r="D973" s="17" t="str">
        <f>IFERROR(VLOOKUP(B973,'MASTER DATA'!$A$1:$E$212,5,FALSE),"")</f>
        <v/>
      </c>
      <c r="E973" s="17"/>
      <c r="F973" s="17" t="str">
        <f>IFERROR(VLOOKUP(B973,'MASTER DATA'!$A$1:$E$212,4,FALSE),"")</f>
        <v/>
      </c>
      <c r="G973" s="17"/>
      <c r="H973" s="17"/>
      <c r="I973" s="17"/>
      <c r="J973" s="17" t="b">
        <v>0</v>
      </c>
    </row>
    <row r="974">
      <c r="A974" s="17"/>
      <c r="B974" s="17"/>
      <c r="C974" s="17" t="str">
        <f>IFERROR(VLOOKUP(B974,'MASTER DATA'!$A$1:$E$212,2,FALSE),"")</f>
        <v/>
      </c>
      <c r="D974" s="17" t="str">
        <f>IFERROR(VLOOKUP(B974,'MASTER DATA'!$A$1:$E$212,5,FALSE),"")</f>
        <v/>
      </c>
      <c r="E974" s="17"/>
      <c r="F974" s="17" t="str">
        <f>IFERROR(VLOOKUP(B974,'MASTER DATA'!$A$1:$E$212,4,FALSE),"")</f>
        <v/>
      </c>
      <c r="G974" s="17"/>
      <c r="H974" s="17"/>
      <c r="I974" s="17"/>
      <c r="J974" s="17" t="b">
        <v>0</v>
      </c>
    </row>
    <row r="975">
      <c r="A975" s="17"/>
      <c r="B975" s="17"/>
      <c r="C975" s="17" t="str">
        <f>IFERROR(VLOOKUP(B975,'MASTER DATA'!$A$1:$E$212,2,FALSE),"")</f>
        <v/>
      </c>
      <c r="D975" s="17" t="str">
        <f>IFERROR(VLOOKUP(B975,'MASTER DATA'!$A$1:$E$212,5,FALSE),"")</f>
        <v/>
      </c>
      <c r="E975" s="17"/>
      <c r="F975" s="17" t="str">
        <f>IFERROR(VLOOKUP(B975,'MASTER DATA'!$A$1:$E$212,4,FALSE),"")</f>
        <v/>
      </c>
      <c r="G975" s="17"/>
      <c r="H975" s="17"/>
      <c r="I975" s="17"/>
      <c r="J975" s="17" t="b">
        <v>0</v>
      </c>
    </row>
    <row r="976">
      <c r="A976" s="17"/>
      <c r="B976" s="17"/>
      <c r="C976" s="17" t="str">
        <f>IFERROR(VLOOKUP(B976,'MASTER DATA'!$A$1:$E$212,2,FALSE),"")</f>
        <v/>
      </c>
      <c r="D976" s="17" t="str">
        <f>IFERROR(VLOOKUP(B976,'MASTER DATA'!$A$1:$E$212,5,FALSE),"")</f>
        <v/>
      </c>
      <c r="E976" s="17"/>
      <c r="F976" s="17" t="str">
        <f>IFERROR(VLOOKUP(B976,'MASTER DATA'!$A$1:$E$212,4,FALSE),"")</f>
        <v/>
      </c>
      <c r="G976" s="17"/>
      <c r="H976" s="17"/>
      <c r="I976" s="17"/>
      <c r="J976" s="17" t="b">
        <v>0</v>
      </c>
    </row>
    <row r="977">
      <c r="A977" s="17"/>
      <c r="B977" s="17"/>
      <c r="C977" s="17" t="str">
        <f>IFERROR(VLOOKUP(B977,'MASTER DATA'!$A$1:$E$212,2,FALSE),"")</f>
        <v/>
      </c>
      <c r="D977" s="17" t="str">
        <f>IFERROR(VLOOKUP(B977,'MASTER DATA'!$A$1:$E$212,5,FALSE),"")</f>
        <v/>
      </c>
      <c r="E977" s="17"/>
      <c r="F977" s="17" t="str">
        <f>IFERROR(VLOOKUP(B977,'MASTER DATA'!$A$1:$E$212,4,FALSE),"")</f>
        <v/>
      </c>
      <c r="G977" s="17"/>
      <c r="H977" s="17"/>
      <c r="I977" s="17"/>
      <c r="J977" s="17" t="b">
        <v>0</v>
      </c>
    </row>
    <row r="978">
      <c r="A978" s="17"/>
      <c r="B978" s="17"/>
      <c r="C978" s="17" t="str">
        <f>IFERROR(VLOOKUP(B978,'MASTER DATA'!$A$1:$E$212,2,FALSE),"")</f>
        <v/>
      </c>
      <c r="D978" s="17" t="str">
        <f>IFERROR(VLOOKUP(B978,'MASTER DATA'!$A$1:$E$212,5,FALSE),"")</f>
        <v/>
      </c>
      <c r="E978" s="17"/>
      <c r="F978" s="17" t="str">
        <f>IFERROR(VLOOKUP(B978,'MASTER DATA'!$A$1:$E$212,4,FALSE),"")</f>
        <v/>
      </c>
      <c r="G978" s="17"/>
      <c r="H978" s="17"/>
      <c r="I978" s="17"/>
      <c r="J978" s="17" t="b">
        <v>0</v>
      </c>
    </row>
    <row r="979">
      <c r="A979" s="17"/>
      <c r="B979" s="17"/>
      <c r="C979" s="17" t="str">
        <f>IFERROR(VLOOKUP(B979,'MASTER DATA'!$A$1:$E$212,2,FALSE),"")</f>
        <v/>
      </c>
      <c r="D979" s="17" t="str">
        <f>IFERROR(VLOOKUP(B979,'MASTER DATA'!$A$1:$E$212,5,FALSE),"")</f>
        <v/>
      </c>
      <c r="E979" s="17"/>
      <c r="F979" s="17" t="str">
        <f>IFERROR(VLOOKUP(B979,'MASTER DATA'!$A$1:$E$212,4,FALSE),"")</f>
        <v/>
      </c>
      <c r="G979" s="17"/>
      <c r="H979" s="17"/>
      <c r="I979" s="17"/>
      <c r="J979" s="17" t="b">
        <v>0</v>
      </c>
    </row>
    <row r="980">
      <c r="A980" s="17"/>
      <c r="B980" s="17"/>
      <c r="C980" s="17" t="str">
        <f>IFERROR(VLOOKUP(B980,'MASTER DATA'!$A$1:$E$212,2,FALSE),"")</f>
        <v/>
      </c>
      <c r="D980" s="17" t="str">
        <f>IFERROR(VLOOKUP(B980,'MASTER DATA'!$A$1:$E$212,5,FALSE),"")</f>
        <v/>
      </c>
      <c r="E980" s="17"/>
      <c r="F980" s="17" t="str">
        <f>IFERROR(VLOOKUP(B980,'MASTER DATA'!$A$1:$E$212,4,FALSE),"")</f>
        <v/>
      </c>
      <c r="G980" s="17"/>
      <c r="H980" s="17"/>
      <c r="I980" s="17"/>
      <c r="J980" s="17" t="b">
        <v>0</v>
      </c>
    </row>
    <row r="981">
      <c r="A981" s="17"/>
      <c r="B981" s="17"/>
      <c r="C981" s="17" t="str">
        <f>IFERROR(VLOOKUP(B981,'MASTER DATA'!$A$1:$E$212,2,FALSE),"")</f>
        <v/>
      </c>
      <c r="D981" s="17" t="str">
        <f>IFERROR(VLOOKUP(B981,'MASTER DATA'!$A$1:$E$212,5,FALSE),"")</f>
        <v/>
      </c>
      <c r="E981" s="17"/>
      <c r="F981" s="17" t="str">
        <f>IFERROR(VLOOKUP(B981,'MASTER DATA'!$A$1:$E$212,4,FALSE),"")</f>
        <v/>
      </c>
      <c r="G981" s="17"/>
      <c r="H981" s="17"/>
      <c r="I981" s="17"/>
      <c r="J981" s="17" t="b">
        <v>0</v>
      </c>
    </row>
    <row r="982">
      <c r="A982" s="17"/>
      <c r="B982" s="17"/>
      <c r="C982" s="17" t="str">
        <f>IFERROR(VLOOKUP(B982,'MASTER DATA'!$A$1:$E$212,2,FALSE),"")</f>
        <v/>
      </c>
      <c r="D982" s="17" t="str">
        <f>IFERROR(VLOOKUP(B982,'MASTER DATA'!$A$1:$E$212,5,FALSE),"")</f>
        <v/>
      </c>
      <c r="E982" s="17"/>
      <c r="F982" s="17" t="str">
        <f>IFERROR(VLOOKUP(B982,'MASTER DATA'!$A$1:$E$212,4,FALSE),"")</f>
        <v/>
      </c>
      <c r="G982" s="17"/>
      <c r="H982" s="17"/>
      <c r="I982" s="17"/>
      <c r="J982" s="17" t="b">
        <v>0</v>
      </c>
    </row>
    <row r="983">
      <c r="A983" s="17"/>
      <c r="B983" s="17"/>
      <c r="C983" s="17" t="str">
        <f>IFERROR(VLOOKUP(B983,'MASTER DATA'!$A$1:$E$212,2,FALSE),"")</f>
        <v/>
      </c>
      <c r="D983" s="17" t="str">
        <f>IFERROR(VLOOKUP(B983,'MASTER DATA'!$A$1:$E$212,5,FALSE),"")</f>
        <v/>
      </c>
      <c r="E983" s="17"/>
      <c r="F983" s="17" t="str">
        <f>IFERROR(VLOOKUP(B983,'MASTER DATA'!$A$1:$E$212,4,FALSE),"")</f>
        <v/>
      </c>
      <c r="G983" s="17"/>
      <c r="H983" s="17"/>
      <c r="I983" s="17"/>
      <c r="J983" s="17" t="b">
        <v>0</v>
      </c>
    </row>
    <row r="984">
      <c r="A984" s="17"/>
      <c r="B984" s="17"/>
      <c r="C984" s="17" t="str">
        <f>IFERROR(VLOOKUP(B984,'MASTER DATA'!$A$1:$E$212,2,FALSE),"")</f>
        <v/>
      </c>
      <c r="D984" s="17" t="str">
        <f>IFERROR(VLOOKUP(B984,'MASTER DATA'!$A$1:$E$212,5,FALSE),"")</f>
        <v/>
      </c>
      <c r="E984" s="17"/>
      <c r="F984" s="17" t="str">
        <f>IFERROR(VLOOKUP(B984,'MASTER DATA'!$A$1:$E$212,4,FALSE),"")</f>
        <v/>
      </c>
      <c r="G984" s="17"/>
      <c r="H984" s="17"/>
      <c r="I984" s="17"/>
      <c r="J984" s="17" t="b">
        <v>0</v>
      </c>
    </row>
    <row r="985">
      <c r="A985" s="17"/>
      <c r="B985" s="17"/>
      <c r="C985" s="17" t="str">
        <f>IFERROR(VLOOKUP(B985,'MASTER DATA'!$A$1:$E$212,2,FALSE),"")</f>
        <v/>
      </c>
      <c r="D985" s="17" t="str">
        <f>IFERROR(VLOOKUP(B985,'MASTER DATA'!$A$1:$E$212,5,FALSE),"")</f>
        <v/>
      </c>
      <c r="E985" s="17"/>
      <c r="F985" s="17" t="str">
        <f>IFERROR(VLOOKUP(B985,'MASTER DATA'!$A$1:$E$212,4,FALSE),"")</f>
        <v/>
      </c>
      <c r="G985" s="17"/>
      <c r="H985" s="17"/>
      <c r="I985" s="17"/>
      <c r="J985" s="17" t="b">
        <v>0</v>
      </c>
    </row>
    <row r="986">
      <c r="A986" s="17"/>
      <c r="B986" s="17"/>
      <c r="C986" s="17" t="str">
        <f>IFERROR(VLOOKUP(B986,'MASTER DATA'!$A$1:$E$212,2,FALSE),"")</f>
        <v/>
      </c>
      <c r="D986" s="17" t="str">
        <f>IFERROR(VLOOKUP(B986,'MASTER DATA'!$A$1:$E$212,5,FALSE),"")</f>
        <v/>
      </c>
      <c r="E986" s="17"/>
      <c r="F986" s="17" t="str">
        <f>IFERROR(VLOOKUP(B986,'MASTER DATA'!$A$1:$E$212,4,FALSE),"")</f>
        <v/>
      </c>
      <c r="G986" s="17"/>
      <c r="H986" s="17"/>
      <c r="I986" s="17"/>
      <c r="J986" s="17" t="b">
        <v>0</v>
      </c>
    </row>
    <row r="987">
      <c r="A987" s="17"/>
      <c r="B987" s="17"/>
      <c r="C987" s="17" t="str">
        <f>IFERROR(VLOOKUP(B987,'MASTER DATA'!$A$1:$E$212,2,FALSE),"")</f>
        <v/>
      </c>
      <c r="D987" s="17" t="str">
        <f>IFERROR(VLOOKUP(B987,'MASTER DATA'!$A$1:$E$212,5,FALSE),"")</f>
        <v/>
      </c>
      <c r="E987" s="17"/>
      <c r="F987" s="17" t="str">
        <f>IFERROR(VLOOKUP(B987,'MASTER DATA'!$A$1:$E$212,4,FALSE),"")</f>
        <v/>
      </c>
      <c r="G987" s="17"/>
      <c r="H987" s="17"/>
      <c r="I987" s="17"/>
      <c r="J987" s="17" t="b">
        <v>0</v>
      </c>
    </row>
    <row r="988">
      <c r="A988" s="17"/>
      <c r="B988" s="17"/>
      <c r="C988" s="17" t="str">
        <f>IFERROR(VLOOKUP(B988,'MASTER DATA'!$A$1:$E$212,2,FALSE),"")</f>
        <v/>
      </c>
      <c r="D988" s="17" t="str">
        <f>IFERROR(VLOOKUP(B988,'MASTER DATA'!$A$1:$E$212,5,FALSE),"")</f>
        <v/>
      </c>
      <c r="E988" s="17"/>
      <c r="F988" s="17" t="str">
        <f>IFERROR(VLOOKUP(B988,'MASTER DATA'!$A$1:$E$212,4,FALSE),"")</f>
        <v/>
      </c>
      <c r="G988" s="17"/>
      <c r="H988" s="17"/>
      <c r="I988" s="17"/>
      <c r="J988" s="17" t="b">
        <v>0</v>
      </c>
    </row>
    <row r="989">
      <c r="A989" s="17"/>
      <c r="B989" s="17"/>
      <c r="C989" s="17" t="str">
        <f>IFERROR(VLOOKUP(B989,'MASTER DATA'!$A$1:$E$212,2,FALSE),"")</f>
        <v/>
      </c>
      <c r="D989" s="17" t="str">
        <f>IFERROR(VLOOKUP(B989,'MASTER DATA'!$A$1:$E$212,5,FALSE),"")</f>
        <v/>
      </c>
      <c r="E989" s="17"/>
      <c r="F989" s="17" t="str">
        <f>IFERROR(VLOOKUP(B989,'MASTER DATA'!$A$1:$E$212,4,FALSE),"")</f>
        <v/>
      </c>
      <c r="G989" s="17"/>
      <c r="H989" s="17"/>
      <c r="I989" s="17"/>
      <c r="J989" s="17" t="b">
        <v>0</v>
      </c>
    </row>
    <row r="990">
      <c r="A990" s="17"/>
      <c r="B990" s="17"/>
      <c r="C990" s="17" t="str">
        <f>IFERROR(VLOOKUP(B990,'MASTER DATA'!$A$1:$E$212,2,FALSE),"")</f>
        <v/>
      </c>
      <c r="D990" s="17" t="str">
        <f>IFERROR(VLOOKUP(B990,'MASTER DATA'!$A$1:$E$212,5,FALSE),"")</f>
        <v/>
      </c>
      <c r="E990" s="17"/>
      <c r="F990" s="17" t="str">
        <f>IFERROR(VLOOKUP(B990,'MASTER DATA'!$A$1:$E$212,4,FALSE),"")</f>
        <v/>
      </c>
      <c r="G990" s="17"/>
      <c r="H990" s="17"/>
      <c r="I990" s="17"/>
      <c r="J990" s="17" t="b">
        <v>0</v>
      </c>
    </row>
    <row r="991">
      <c r="A991" s="17"/>
      <c r="B991" s="17"/>
      <c r="C991" s="17" t="str">
        <f>IFERROR(VLOOKUP(B991,'MASTER DATA'!$A$1:$E$212,2,FALSE),"")</f>
        <v/>
      </c>
      <c r="D991" s="17" t="str">
        <f>IFERROR(VLOOKUP(B991,'MASTER DATA'!$A$1:$E$212,5,FALSE),"")</f>
        <v/>
      </c>
      <c r="E991" s="17"/>
      <c r="F991" s="17" t="str">
        <f>IFERROR(VLOOKUP(B991,'MASTER DATA'!$A$1:$E$212,4,FALSE),"")</f>
        <v/>
      </c>
      <c r="G991" s="17"/>
      <c r="H991" s="17"/>
      <c r="I991" s="17"/>
      <c r="J991" s="17" t="b">
        <v>0</v>
      </c>
    </row>
    <row r="992">
      <c r="A992" s="17"/>
      <c r="B992" s="17"/>
      <c r="C992" s="17" t="str">
        <f>IFERROR(VLOOKUP(B992,'MASTER DATA'!$A$1:$E$212,2,FALSE),"")</f>
        <v/>
      </c>
      <c r="D992" s="17" t="str">
        <f>IFERROR(VLOOKUP(B992,'MASTER DATA'!$A$1:$E$212,5,FALSE),"")</f>
        <v/>
      </c>
      <c r="E992" s="17"/>
      <c r="F992" s="17" t="str">
        <f>IFERROR(VLOOKUP(B992,'MASTER DATA'!$A$1:$E$212,4,FALSE),"")</f>
        <v/>
      </c>
      <c r="G992" s="17"/>
      <c r="H992" s="17"/>
      <c r="I992" s="17"/>
      <c r="J992" s="17" t="b">
        <v>0</v>
      </c>
    </row>
    <row r="993">
      <c r="A993" s="17"/>
      <c r="B993" s="17"/>
      <c r="C993" s="17" t="str">
        <f>IFERROR(VLOOKUP(B993,'MASTER DATA'!$A$1:$E$212,2,FALSE),"")</f>
        <v/>
      </c>
      <c r="D993" s="17" t="str">
        <f>IFERROR(VLOOKUP(B993,'MASTER DATA'!$A$1:$E$212,5,FALSE),"")</f>
        <v/>
      </c>
      <c r="E993" s="17"/>
      <c r="F993" s="17" t="str">
        <f>IFERROR(VLOOKUP(B993,'MASTER DATA'!$A$1:$E$212,4,FALSE),"")</f>
        <v/>
      </c>
      <c r="G993" s="17"/>
      <c r="H993" s="17"/>
      <c r="I993" s="17"/>
      <c r="J993" s="17" t="b">
        <v>0</v>
      </c>
    </row>
    <row r="994">
      <c r="A994" s="17"/>
      <c r="B994" s="17"/>
      <c r="C994" s="17" t="str">
        <f>IFERROR(VLOOKUP(B994,'MASTER DATA'!$A$1:$E$212,2,FALSE),"")</f>
        <v/>
      </c>
      <c r="D994" s="17" t="str">
        <f>IFERROR(VLOOKUP(B994,'MASTER DATA'!$A$1:$E$212,5,FALSE),"")</f>
        <v/>
      </c>
      <c r="E994" s="17"/>
      <c r="F994" s="17" t="str">
        <f>IFERROR(VLOOKUP(B994,'MASTER DATA'!$A$1:$E$212,4,FALSE),"")</f>
        <v/>
      </c>
      <c r="G994" s="17"/>
      <c r="H994" s="17"/>
      <c r="I994" s="17"/>
      <c r="J994" s="17" t="b">
        <v>0</v>
      </c>
    </row>
    <row r="995">
      <c r="A995" s="17"/>
      <c r="B995" s="17"/>
      <c r="C995" s="17" t="str">
        <f>IFERROR(VLOOKUP(B995,'MASTER DATA'!$A$1:$E$212,2,FALSE),"")</f>
        <v/>
      </c>
      <c r="D995" s="17" t="str">
        <f>IFERROR(VLOOKUP(B995,'MASTER DATA'!$A$1:$E$212,5,FALSE),"")</f>
        <v/>
      </c>
      <c r="E995" s="17"/>
      <c r="F995" s="17" t="str">
        <f>IFERROR(VLOOKUP(B995,'MASTER DATA'!$A$1:$E$212,4,FALSE),"")</f>
        <v/>
      </c>
      <c r="G995" s="17"/>
      <c r="H995" s="17"/>
      <c r="I995" s="17"/>
      <c r="J995" s="17" t="b">
        <v>0</v>
      </c>
    </row>
    <row r="996">
      <c r="A996" s="17"/>
      <c r="B996" s="17"/>
      <c r="C996" s="17" t="str">
        <f>IFERROR(VLOOKUP(B996,'MASTER DATA'!$A$1:$E$212,2,FALSE),"")</f>
        <v/>
      </c>
      <c r="D996" s="17" t="str">
        <f>IFERROR(VLOOKUP(B996,'MASTER DATA'!$A$1:$E$212,5,FALSE),"")</f>
        <v/>
      </c>
      <c r="E996" s="17"/>
      <c r="F996" s="17" t="str">
        <f>IFERROR(VLOOKUP(B996,'MASTER DATA'!$A$1:$E$212,4,FALSE),"")</f>
        <v/>
      </c>
      <c r="G996" s="17"/>
      <c r="H996" s="17"/>
      <c r="I996" s="17"/>
      <c r="J996" s="17" t="b">
        <v>0</v>
      </c>
    </row>
    <row r="997">
      <c r="A997" s="17"/>
      <c r="B997" s="17"/>
      <c r="C997" s="17" t="str">
        <f>IFERROR(VLOOKUP(B997,'MASTER DATA'!$A$1:$E$212,2,FALSE),"")</f>
        <v/>
      </c>
      <c r="D997" s="17" t="str">
        <f>IFERROR(VLOOKUP(B997,'MASTER DATA'!$A$1:$E$212,5,FALSE),"")</f>
        <v/>
      </c>
      <c r="E997" s="17"/>
      <c r="F997" s="17" t="str">
        <f>IFERROR(VLOOKUP(B997,'MASTER DATA'!$A$1:$E$212,4,FALSE),"")</f>
        <v/>
      </c>
      <c r="G997" s="17"/>
      <c r="H997" s="17"/>
      <c r="I997" s="17"/>
      <c r="J997" s="17" t="b">
        <v>0</v>
      </c>
    </row>
    <row r="998">
      <c r="A998" s="17"/>
      <c r="B998" s="17"/>
      <c r="C998" s="17" t="str">
        <f>IFERROR(VLOOKUP(B998,'MASTER DATA'!$A$1:$E$212,2,FALSE),"")</f>
        <v/>
      </c>
      <c r="D998" s="17" t="str">
        <f>IFERROR(VLOOKUP(B998,'MASTER DATA'!$A$1:$E$212,5,FALSE),"")</f>
        <v/>
      </c>
      <c r="E998" s="17"/>
      <c r="F998" s="17" t="str">
        <f>IFERROR(VLOOKUP(B998,'MASTER DATA'!$A$1:$E$212,4,FALSE),"")</f>
        <v/>
      </c>
      <c r="G998" s="17"/>
      <c r="H998" s="17"/>
      <c r="I998" s="17"/>
      <c r="J998" s="17" t="b">
        <v>0</v>
      </c>
    </row>
    <row r="999">
      <c r="A999" s="17"/>
      <c r="B999" s="17"/>
      <c r="C999" s="17" t="str">
        <f>IFERROR(VLOOKUP(B999,'MASTER DATA'!$A$1:$E$212,2,FALSE),"")</f>
        <v/>
      </c>
      <c r="D999" s="17" t="str">
        <f>IFERROR(VLOOKUP(B999,'MASTER DATA'!$A$1:$E$212,5,FALSE),"")</f>
        <v/>
      </c>
      <c r="E999" s="17"/>
      <c r="F999" s="17" t="str">
        <f>IFERROR(VLOOKUP(B999,'MASTER DATA'!$A$1:$E$212,4,FALSE),"")</f>
        <v/>
      </c>
      <c r="G999" s="17"/>
      <c r="H999" s="17"/>
      <c r="I999" s="17"/>
      <c r="J999" s="17" t="b">
        <v>0</v>
      </c>
    </row>
    <row r="1000">
      <c r="A1000" s="17"/>
      <c r="B1000" s="17"/>
      <c r="C1000" s="17" t="str">
        <f>IFERROR(VLOOKUP(B1000,'MASTER DATA'!$A$1:$E$212,2,FALSE),"")</f>
        <v/>
      </c>
      <c r="D1000" s="17" t="str">
        <f>IFERROR(VLOOKUP(B1000,'MASTER DATA'!$A$1:$E$212,5,FALSE),"")</f>
        <v/>
      </c>
      <c r="E1000" s="17"/>
      <c r="F1000" s="17" t="str">
        <f>IFERROR(VLOOKUP(B1000,'MASTER DATA'!$A$1:$E$212,4,FALSE),"")</f>
        <v/>
      </c>
      <c r="G1000" s="17"/>
      <c r="H1000" s="17"/>
      <c r="I1000" s="17"/>
      <c r="J1000" s="17" t="b">
        <v>0</v>
      </c>
    </row>
    <row r="1001">
      <c r="A1001" s="17"/>
      <c r="B1001" s="17"/>
      <c r="C1001" s="17" t="str">
        <f>IFERROR(VLOOKUP(B1001,'MASTER DATA'!$A$1:$E$212,2,FALSE),"")</f>
        <v/>
      </c>
      <c r="D1001" s="17" t="str">
        <f>IFERROR(VLOOKUP(B1001,'MASTER DATA'!$A$1:$E$212,5,FALSE),"")</f>
        <v/>
      </c>
      <c r="E1001" s="17"/>
      <c r="F1001" s="17" t="str">
        <f>IFERROR(VLOOKUP(B1001,'MASTER DATA'!$A$1:$E$212,4,FALSE),"")</f>
        <v/>
      </c>
      <c r="G1001" s="17"/>
      <c r="H1001" s="17"/>
      <c r="I1001" s="17"/>
      <c r="J1001" s="17" t="b">
        <v>0</v>
      </c>
    </row>
    <row r="1002">
      <c r="A1002" s="17"/>
      <c r="B1002" s="17"/>
      <c r="C1002" s="17" t="str">
        <f>IFERROR(VLOOKUP(B1002,'MASTER DATA'!$A$1:$E$212,2,FALSE),"")</f>
        <v/>
      </c>
      <c r="D1002" s="17" t="str">
        <f>IFERROR(VLOOKUP(B1002,'MASTER DATA'!$A$1:$E$212,5,FALSE),"")</f>
        <v/>
      </c>
      <c r="E1002" s="17"/>
      <c r="F1002" s="17" t="str">
        <f>IFERROR(VLOOKUP(B1002,'MASTER DATA'!$A$1:$E$212,4,FALSE),"")</f>
        <v/>
      </c>
      <c r="G1002" s="17"/>
      <c r="H1002" s="17"/>
      <c r="I1002" s="17"/>
      <c r="J1002" s="17" t="b">
        <v>0</v>
      </c>
    </row>
  </sheetData>
  <mergeCells count="4">
    <mergeCell ref="A1:J1"/>
    <mergeCell ref="A2:J2"/>
    <mergeCell ref="A3:J3"/>
    <mergeCell ref="A4:J4"/>
  </mergeCells>
  <dataValidations>
    <dataValidation type="list" allowBlank="1" showDropDown="1" showErrorMessage="1" sqref="B7:B59 B61:B1002">
      <formula1>'MASTER DATA'!$A$2:$A$215</formula1>
    </dataValidation>
    <dataValidation type="list" allowBlank="1" showErrorMessage="1" sqref="I7:I1002">
      <formula1>"Waste,Spoil,Training,Discontinued,Test food/kalibrasi"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2025-12-11T04:37:21Z</dcterms:created>
  <dc:creator>Finance</dc:creator>
</cp:coreProperties>
</file>